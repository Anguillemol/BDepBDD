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12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kfplc.sharepoint.com/teams/OGRP-Marketingdesventes/Shared Documents/Animation commerciale de gamme/2023/09_animco_F&amp;R/2. Région/"/>
    </mc:Choice>
  </mc:AlternateContent>
  <xr:revisionPtr revIDLastSave="10" documentId="11_A5437F28B0AC0F6BCA9841AA5CF5635BCBCEDC60" xr6:coauthVersionLast="47" xr6:coauthVersionMax="47" xr10:uidLastSave="{5A2912CB-40BE-4375-B479-89983BD1F3BA}"/>
  <bookViews>
    <workbookView xWindow="-110" yWindow="-110" windowWidth="19420" windowHeight="10420" firstSheet="1" activeTab="1" xr2:uid="{00000000-000D-0000-FFFF-FFFF00000000}"/>
  </bookViews>
  <sheets>
    <sheet name="Info" sheetId="5" r:id="rId1"/>
    <sheet name="OUEST" sheetId="1" r:id="rId2"/>
    <sheet name="Graphique" sheetId="4" r:id="rId3"/>
  </sheets>
  <externalReferences>
    <externalReference r:id="rId4"/>
  </externalReferences>
  <definedNames>
    <definedName name="_xlnm._FilterDatabase" localSheetId="1" hidden="1">OUEST!$A$1:$Z$39</definedName>
    <definedName name="liste">[1]LISTE!$B:$O</definedName>
    <definedName name="liste_data">#REF!</definedName>
    <definedName name="liste_test">#REF!</definedName>
  </definedNames>
  <calcPr calcId="191028"/>
  <pivotCaches>
    <pivotCache cacheId="2843" r:id="rId5"/>
    <pivotCache cacheId="2844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6" i="1" l="1"/>
  <c r="F65" i="1"/>
  <c r="F64" i="1"/>
  <c r="F63" i="1" l="1"/>
  <c r="F62" i="1"/>
  <c r="F61" i="1"/>
  <c r="F60" i="1"/>
  <c r="F59" i="1"/>
  <c r="F58" i="1"/>
  <c r="F57" i="1" l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 l="1"/>
  <c r="F41" i="1"/>
  <c r="F40" i="1"/>
  <c r="F39" i="1" l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 l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<sst xmlns="http://schemas.openxmlformats.org/spreadsheetml/2006/main" count="379" uniqueCount="111">
  <si>
    <t>INFO A COMPLETER</t>
  </si>
  <si>
    <t>Mois</t>
  </si>
  <si>
    <t>Année</t>
  </si>
  <si>
    <t>Région</t>
  </si>
  <si>
    <t>Octobre</t>
  </si>
  <si>
    <t>OUEST</t>
  </si>
  <si>
    <t>O11</t>
  </si>
  <si>
    <t>Region</t>
  </si>
  <si>
    <t>Rayon</t>
  </si>
  <si>
    <t>codes</t>
  </si>
  <si>
    <t>Typo</t>
  </si>
  <si>
    <t>Occurrence</t>
  </si>
  <si>
    <t>Ean</t>
  </si>
  <si>
    <t>Libellé</t>
  </si>
  <si>
    <t>PCB</t>
  </si>
  <si>
    <t>taux de rattachement</t>
  </si>
  <si>
    <t>CA Engage</t>
  </si>
  <si>
    <t>Marge</t>
  </si>
  <si>
    <t>Couverture</t>
  </si>
  <si>
    <t xml:space="preserve">Min </t>
  </si>
  <si>
    <t>1 facing</t>
  </si>
  <si>
    <t>2 facings</t>
  </si>
  <si>
    <t>3 facings</t>
  </si>
  <si>
    <t>4 facings</t>
  </si>
  <si>
    <t>5 facings</t>
  </si>
  <si>
    <t>6 facings</t>
  </si>
  <si>
    <t>7 facings</t>
  </si>
  <si>
    <t>8 facings</t>
  </si>
  <si>
    <t>9 facings</t>
  </si>
  <si>
    <t>10 facings</t>
  </si>
  <si>
    <t>11 facings</t>
  </si>
  <si>
    <t>FLAG CODE SIEGE</t>
  </si>
  <si>
    <t>Septembre</t>
  </si>
  <si>
    <t>R50</t>
  </si>
  <si>
    <t>T1</t>
  </si>
  <si>
    <t>CHAUFFE EAU STEATITE 200L</t>
  </si>
  <si>
    <t>-</t>
  </si>
  <si>
    <t>TUBE PER GAINE EAU CHAUDE D16 25ML</t>
  </si>
  <si>
    <t>TUBE PER GAINE EAU FROIDE D16 25ML</t>
  </si>
  <si>
    <t>R80</t>
  </si>
  <si>
    <t>REGLETTE ETANCHE T8126CM BLANC COLOURS</t>
  </si>
  <si>
    <t>REGLETTE FLUO 120CM IP20 BLANC COLOURS</t>
  </si>
  <si>
    <t>REGLETTE FLUO 18CM IP20 BLANC COLOURS</t>
  </si>
  <si>
    <t>LOT 6 AMPOULES GU10 430LM 4000K</t>
  </si>
  <si>
    <t>LOT 6 AMPOULES GU10 430LM 2700K</t>
  </si>
  <si>
    <t>LOT 6 AMPOULES B22 470LM 2700K</t>
  </si>
  <si>
    <t>LOT 6 AMPOULES B22 470LM 4000K</t>
  </si>
  <si>
    <t>LOT 6 AMPOULES E27 806LM 2700K</t>
  </si>
  <si>
    <t>LOT 6 AMPOULES E27 806LM 4000K</t>
  </si>
  <si>
    <t>R20</t>
  </si>
  <si>
    <t>SAC A OUTILS 59 PIECES MAGNUSSON</t>
  </si>
  <si>
    <t>BACHE BLEU 70GM 3X4M</t>
  </si>
  <si>
    <t>T2</t>
  </si>
  <si>
    <t>BACHE LEGERE 2X3M 70G</t>
  </si>
  <si>
    <t>BACHE LEGERE 4X5M 70G</t>
  </si>
  <si>
    <t>BACHE LOURDE 2X3M 140G</t>
  </si>
  <si>
    <t>VISIERE DE PROTECTION SITE</t>
  </si>
  <si>
    <t>LOT 3 CHAUSSETTES NOIR/GRIS 41-43</t>
  </si>
  <si>
    <t>HACHE MANCHE COMPOSITE 600G MAGNUSSON</t>
  </si>
  <si>
    <t>CISAILLE A HAIE MAGNUSSON</t>
  </si>
  <si>
    <t>RATEAU A FEUILLES XL MAGNUSSON</t>
  </si>
  <si>
    <t>FOURCHE MAGNUSSON</t>
  </si>
  <si>
    <t>SECATEUR POIGNEE REGLABLE MAGNUSSON</t>
  </si>
  <si>
    <t>CHEVALET METAL MAGNUSSON</t>
  </si>
  <si>
    <t>DEBROUSSAILLEUSE 43CC 25CM TITAN</t>
  </si>
  <si>
    <t>BOBINE DEBROUSSAILLEUSE 43CM TITAN</t>
  </si>
  <si>
    <t>TAILLE-HAIE PERCHE ELEC 550W 50CM TITAN</t>
  </si>
  <si>
    <t>TAILLE HAIES 18V 55CM TITAN</t>
  </si>
  <si>
    <t>TAILLE-HAIE BATTERIE 18V 51CM ERBAUER</t>
  </si>
  <si>
    <t>TITAN ASPIRATEUR 16L 1300W POLY</t>
  </si>
  <si>
    <t>KARCHER ASPIRATEUR 15L 1000W WD2+</t>
  </si>
  <si>
    <t>TITAN SAC ASPI 16L 5 PIECES</t>
  </si>
  <si>
    <t>TITAN FILTRE CARTOUCHE ASPIRATEUR</t>
  </si>
  <si>
    <t>POMPE VIDE CAVE EAUX CHARG. 250W KARCHER</t>
  </si>
  <si>
    <t>POMPE VIDE-CAVE EAUX CLAIRES 250W</t>
  </si>
  <si>
    <t>POMPE VIDE-CAVE EAUX CHARGEES 750W TITAN</t>
  </si>
  <si>
    <t>KIT ASPIRATION 7M</t>
  </si>
  <si>
    <t>R70</t>
  </si>
  <si>
    <t>KIT ISOLATION PORTE DE GARAGE THERMEO</t>
  </si>
  <si>
    <t>ROULEAU LIÈGE 5MX0,50M 4 MM</t>
  </si>
  <si>
    <t>ROULEAU LIÈGE 5MX0,50M 6 MM</t>
  </si>
  <si>
    <t>RECHARGE ABS.HUMIDITE SACHET GRANULES</t>
  </si>
  <si>
    <t>ABSORBEUR HUMIDITE GRANDE SURFACE</t>
  </si>
  <si>
    <t>ABSORBEUR HUMIDITE</t>
  </si>
  <si>
    <t>COLLE LIEGE 3KG</t>
  </si>
  <si>
    <t>COLLE ISOLANTS THERMIQUE 1KG</t>
  </si>
  <si>
    <t>JOINT MOUSSE BLANC 10M 9MM</t>
  </si>
  <si>
    <t>JOINT MOUSSE MARRON 10M 19MM</t>
  </si>
  <si>
    <t>JOINT MOUSSE UNIVERSEL BLANC 6M 9MM</t>
  </si>
  <si>
    <t>JOINT MOUSSE UNIVERSEL NOIR 6M 9MM</t>
  </si>
  <si>
    <t>BAS DE PORTE ADHESIF PVC BROSSE 1M BLANC</t>
  </si>
  <si>
    <t>BAS DE PORTE ADHESIF BROSSE MARRON 1M</t>
  </si>
  <si>
    <t>JOINT PORTE DOUBLE BOUDIN 1M</t>
  </si>
  <si>
    <t>BLANC 10L VELOURS EVALUX 2 EN 1</t>
  </si>
  <si>
    <t>BLANC 10L SATIN EVALUX 2 EN 1</t>
  </si>
  <si>
    <t>BLANC 10L MAT EVALUX 2 EN 1</t>
  </si>
  <si>
    <t>KIT VMC FLOREA HV S/FLUX HYGROVARIABLE</t>
  </si>
  <si>
    <t>2 COLLIERS PLAT A TETE BASCULANTE</t>
  </si>
  <si>
    <t>GAINE PVC SOUPLE DIAM 102X3M VRAC</t>
  </si>
  <si>
    <t>GAINE PVC SOUPLE DIAM 82X6M VRAC</t>
  </si>
  <si>
    <t>GAINE PVC SOUPLE ISOLEE DIAM 80 X 6M</t>
  </si>
  <si>
    <t>KIT VMC BASSE CONSO S/FLUX HYGROVARIABLE</t>
  </si>
  <si>
    <t>RADIATEUR INERTIE FLUIDE VERSILIA 1000W</t>
  </si>
  <si>
    <t>RADIATEUR INERTIE FLUIDE VERSILIA 1500W</t>
  </si>
  <si>
    <t>RADIATEUR INERTIE FLUIDE VERSILIA 1800W</t>
  </si>
  <si>
    <t>Rayons</t>
  </si>
  <si>
    <t>Repartition des Rayons</t>
  </si>
  <si>
    <t>Somme de CA Engage</t>
  </si>
  <si>
    <t>Repartiton des rayons</t>
  </si>
  <si>
    <t>CA Engagé</t>
  </si>
  <si>
    <t>Total général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</si>
</sst>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€&quot;"/>
    <numFmt numFmtId="165" formatCode="_-* #,##0.00\ [$€-40C]_-;\-* #,##0.00\ [$€-40C]_-;_-* &quot;-&quot;??\ [$€-40C]_-;_-@_-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8"/>
      <color rgb="FF9C5700"/>
      <name val="Calibri"/>
      <family val="2"/>
    </font>
    <font>
      <b/>
      <u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FF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9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6795556505021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7">
    <xf numFmtId="0" fontId="0" fillId="0" borderId="0"/>
    <xf numFmtId="0" fontId="3" fillId="2" borderId="0" applyNumberFormat="0" applyBorder="0" applyAlignment="0" applyProtection="0"/>
    <xf numFmtId="0" fontId="5" fillId="2" borderId="0" applyNumberFormat="0" applyBorder="0" applyAlignment="0" applyProtection="0"/>
    <xf numFmtId="9" fontId="4" fillId="0" borderId="0" applyFont="0" applyFill="0" applyBorder="0" applyAlignment="0" applyProtection="0"/>
    <xf numFmtId="4" fontId="4" fillId="8" borderId="3" applyNumberFormat="0" applyProtection="0">
      <alignment horizontal="left" vertical="center" indent="1"/>
    </xf>
    <xf numFmtId="4" fontId="4" fillId="8" borderId="3" applyNumberFormat="0" applyProtection="0">
      <alignment horizontal="left" vertical="center" indent="1"/>
    </xf>
    <xf numFmtId="4" fontId="4" fillId="0" borderId="3" applyNumberFormat="0" applyProtection="0">
      <alignment horizontal="right" vertical="center"/>
    </xf>
  </cellStyleXfs>
  <cellXfs count="52">
    <xf numFmtId="0" fontId="0" fillId="0" borderId="0" xfId="0"/>
    <xf numFmtId="0" fontId="0" fillId="3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1" fontId="0" fillId="5" borderId="1" xfId="0" applyNumberForma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10" fontId="2" fillId="7" borderId="0" xfId="0" applyNumberFormat="1" applyFont="1" applyFill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0" fontId="0" fillId="0" borderId="0" xfId="0" applyNumberFormat="1"/>
    <xf numFmtId="0" fontId="0" fillId="0" borderId="1" xfId="0" applyBorder="1" applyAlignment="1">
      <alignment horizontal="center" vertical="center"/>
    </xf>
    <xf numFmtId="2" fontId="0" fillId="0" borderId="0" xfId="0" applyNumberFormat="1"/>
    <xf numFmtId="0" fontId="1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pivotButton="1"/>
    <xf numFmtId="2" fontId="0" fillId="3" borderId="1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0" fontId="0" fillId="3" borderId="1" xfId="0" applyNumberFormat="1" applyFill="1" applyBorder="1" applyAlignment="1">
      <alignment horizontal="center" vertical="center"/>
    </xf>
    <xf numFmtId="0" fontId="0" fillId="9" borderId="0" xfId="0" applyFill="1"/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8" fillId="10" borderId="0" xfId="0" applyFont="1" applyFill="1" applyAlignment="1">
      <alignment horizontal="center" vertical="center"/>
    </xf>
    <xf numFmtId="1" fontId="10" fillId="6" borderId="1" xfId="0" applyNumberFormat="1" applyFont="1" applyFill="1" applyBorder="1" applyAlignment="1">
      <alignment horizontal="center" vertical="center"/>
    </xf>
    <xf numFmtId="1" fontId="10" fillId="0" borderId="1" xfId="0" applyNumberFormat="1" applyFont="1" applyBorder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/>
    <xf numFmtId="1" fontId="0" fillId="3" borderId="1" xfId="0" applyNumberFormat="1" applyFill="1" applyBorder="1" applyAlignment="1">
      <alignment horizontal="center" vertical="center"/>
    </xf>
    <xf numFmtId="1" fontId="0" fillId="0" borderId="0" xfId="0" applyNumberFormat="1"/>
    <xf numFmtId="0" fontId="11" fillId="0" borderId="0" xfId="0" applyFont="1"/>
    <xf numFmtId="165" fontId="0" fillId="0" borderId="0" xfId="0" applyNumberFormat="1"/>
    <xf numFmtId="14" fontId="0" fillId="12" borderId="2" xfId="0" applyNumberFormat="1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1" fontId="10" fillId="12" borderId="1" xfId="0" applyNumberFormat="1" applyFont="1" applyFill="1" applyBorder="1" applyAlignment="1">
      <alignment horizontal="center" vertical="center"/>
    </xf>
    <xf numFmtId="1" fontId="0" fillId="12" borderId="1" xfId="0" applyNumberFormat="1" applyFill="1" applyBorder="1" applyAlignment="1">
      <alignment horizontal="center" vertical="center"/>
    </xf>
    <xf numFmtId="10" fontId="0" fillId="12" borderId="0" xfId="0" applyNumberFormat="1" applyFill="1" applyAlignment="1">
      <alignment horizontal="center" vertical="center"/>
    </xf>
    <xf numFmtId="164" fontId="0" fillId="12" borderId="0" xfId="0" applyNumberFormat="1" applyFill="1" applyAlignment="1">
      <alignment horizontal="center" vertical="center"/>
    </xf>
    <xf numFmtId="2" fontId="0" fillId="12" borderId="0" xfId="0" applyNumberFormat="1" applyFill="1" applyAlignment="1">
      <alignment horizontal="center" vertical="center"/>
    </xf>
    <xf numFmtId="0" fontId="0" fillId="12" borderId="1" xfId="0" applyFill="1" applyBorder="1" applyAlignment="1">
      <alignment horizontal="center"/>
    </xf>
    <xf numFmtId="0" fontId="0" fillId="12" borderId="0" xfId="0" applyFill="1"/>
    <xf numFmtId="1" fontId="12" fillId="12" borderId="1" xfId="0" applyNumberFormat="1" applyFont="1" applyFill="1" applyBorder="1" applyAlignment="1">
      <alignment horizontal="center" vertical="center"/>
    </xf>
    <xf numFmtId="1" fontId="12" fillId="0" borderId="1" xfId="0" applyNumberFormat="1" applyFont="1" applyBorder="1" applyAlignment="1">
      <alignment horizontal="center" vertical="center"/>
    </xf>
    <xf numFmtId="0" fontId="9" fillId="11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6" fillId="10" borderId="0" xfId="0" applyFont="1" applyFill="1" applyAlignment="1">
      <alignment horizontal="center" vertical="center"/>
    </xf>
  </cellXfs>
  <cellStyles count="7">
    <cellStyle name="Neutre 2" xfId="2" xr:uid="{00000000-0005-0000-0000-000000000000}"/>
    <cellStyle name="Neutre 3" xfId="1" xr:uid="{00000000-0005-0000-0000-000001000000}"/>
    <cellStyle name="Normal" xfId="0" builtinId="0"/>
    <cellStyle name="Pourcentage 2" xfId="3" xr:uid="{00000000-0005-0000-0000-000003000000}"/>
    <cellStyle name="SAPBEXchaText" xfId="4" xr:uid="{00000000-0005-0000-0000-000004000000}"/>
    <cellStyle name="SAPBEXstdData" xfId="6" xr:uid="{00000000-0005-0000-0000-000005000000}"/>
    <cellStyle name="SAPBEXstdItem" xfId="5" xr:uid="{00000000-0005-0000-0000-000006000000}"/>
  </cellStyles>
  <dxfs count="3"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  <dxf>
      <numFmt numFmtId="165" formatCode="_-* #,##0.00\ [$€-40C]_-;\-* #,##0.00\ [$€-40C]_-;_-* &quot;-&quot;??\ [$€-40C]_-;_-@_-"/>
    </dxf>
  </dxfs>
  <tableStyles count="0" defaultTableStyle="TableStyleMedium2" defaultPivotStyle="PivotStyleLight16"/>
  <colors>
    <mruColors>
      <color rgb="FF6600FF"/>
      <color rgb="FFFF00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[09_OUEST.xlsm]Graphique!repartition_rayon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Graphique!$B$1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F14-4FD5-A5AD-FF96C0642CF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F14-4FD5-A5AD-FF96C0642CF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F14-4FD5-A5AD-FF96C0642CF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F14-4FD5-A5AD-FF96C0642CF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C1C-4729-A366-B6448E0262C4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0F6-44E8-BC68-BEDFF8D2839E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Graphique!$A$2:$A$6</c:f>
              <c:strCache>
                <c:ptCount val="4"/>
                <c:pt idx="0">
                  <c:v>R50</c:v>
                </c:pt>
                <c:pt idx="1">
                  <c:v>R20</c:v>
                </c:pt>
                <c:pt idx="2">
                  <c:v>R70</c:v>
                </c:pt>
                <c:pt idx="3">
                  <c:v>R80</c:v>
                </c:pt>
              </c:strCache>
            </c:strRef>
          </c:cat>
          <c:val>
            <c:numRef>
              <c:f>Graphique!$B$2:$B$6</c:f>
              <c:numCache>
                <c:formatCode>General</c:formatCode>
                <c:ptCount val="4"/>
                <c:pt idx="0">
                  <c:v>3</c:v>
                </c:pt>
                <c:pt idx="1">
                  <c:v>26</c:v>
                </c:pt>
                <c:pt idx="2">
                  <c:v>18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DF-48C4-84AD-0FD7FB51A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[09_OUEST.xlsm]Graphique!ca_engage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Graphique!$J$1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09-4036-B86E-B86777C6B6A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09-4036-B86E-B86777C6B6A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09-4036-B86E-B86777C6B6A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09-4036-B86E-B86777C6B6A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F61-4E37-BAD9-A49F653F767A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7B17-44DA-A7E6-8CC6215A47F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Graphique!$I$2:$I$6</c:f>
              <c:strCache>
                <c:ptCount val="4"/>
                <c:pt idx="0">
                  <c:v>R50</c:v>
                </c:pt>
                <c:pt idx="1">
                  <c:v>R70</c:v>
                </c:pt>
                <c:pt idx="2">
                  <c:v>R20</c:v>
                </c:pt>
                <c:pt idx="3">
                  <c:v>R80</c:v>
                </c:pt>
              </c:strCache>
            </c:strRef>
          </c:cat>
          <c:val>
            <c:numRef>
              <c:f>Graphique!$J$2:$J$6</c:f>
              <c:numCache>
                <c:formatCode>_-* #,##0.00\ [$€-40C]_-;\-* #,##0.00\ [$€-40C]_-;_-* "-"??\ [$€-40C]_-;_-@_-</c:formatCode>
                <c:ptCount val="4"/>
                <c:pt idx="0">
                  <c:v>3993.608948326204</c:v>
                </c:pt>
                <c:pt idx="1">
                  <c:v>13216.616796034839</c:v>
                </c:pt>
                <c:pt idx="2">
                  <c:v>12443.075008574733</c:v>
                </c:pt>
                <c:pt idx="3">
                  <c:v>21750.408794957399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9-4CDE-B8DA-478BAE525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4</xdr:row>
      <xdr:rowOff>74295</xdr:rowOff>
    </xdr:from>
    <xdr:to>
      <xdr:col>3</xdr:col>
      <xdr:colOff>1196340</xdr:colOff>
      <xdr:row>13</xdr:row>
      <xdr:rowOff>66675</xdr:rowOff>
    </xdr:to>
    <xdr:sp macro="[0]!Button1_Click" textlink="">
      <xdr:nvSpPr>
        <xdr:cNvPr id="5" name="Organigramme : Processu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85750" y="1569720"/>
          <a:ext cx="3510915" cy="1706880"/>
        </a:xfrm>
        <a:prstGeom prst="flowChartProcess">
          <a:avLst/>
        </a:prstGeom>
        <a:scene3d>
          <a:camera prst="orthographicFront"/>
          <a:lightRig rig="threePt" dir="t"/>
        </a:scene3d>
        <a:sp3d>
          <a:bevelT prst="angle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dk1"/>
              </a:solidFill>
              <a:latin typeface="+mn-lt"/>
              <a:ea typeface="+mn-lt"/>
              <a:cs typeface="+mn-lt"/>
            </a:rPr>
            <a:t>APPUYER ICI POUR LANCER LE FORMULAIRE DE SAISIE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7</xdr:col>
      <xdr:colOff>0</xdr:colOff>
      <xdr:row>26</xdr:row>
      <xdr:rowOff>30480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7620</xdr:colOff>
      <xdr:row>10</xdr:row>
      <xdr:rowOff>0</xdr:rowOff>
    </xdr:from>
    <xdr:to>
      <xdr:col>13</xdr:col>
      <xdr:colOff>464820</xdr:colOff>
      <xdr:row>26</xdr:row>
      <xdr:rowOff>0</xdr:rowOff>
    </xdr:to>
    <xdr:graphicFrame macro="">
      <xdr:nvGraphicFramePr>
        <xdr:cNvPr id="3" name="graph_ca_engag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/kuete_rl_frbd_kfplc_com/Documents/Documents/Rose%20Larissa/template%20travail/01%20PARAMETRAGE_F&amp;R_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 COMPLETER DEPOT"/>
      <sheetName val="FP et ARR"/>
      <sheetName val="LISTE"/>
    </sheetNames>
    <sheetDataSet>
      <sheetData sheetId="0" refreshError="1"/>
      <sheetData sheetId="1" refreshError="1"/>
      <sheetData sheetId="2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ery, Sebastien" refreshedDate="45001.385312152779" createdVersion="6" refreshedVersion="8" minRefreshableVersion="3" recordCount="66" xr:uid="{00000000-000A-0000-FFFF-FFFF1E000000}">
  <cacheSource type="worksheet">
    <worksheetSource ref="C1:C1048576" sheet="OUEST"/>
  </cacheSource>
  <cacheFields count="1">
    <cacheField name="Rayon" numFmtId="0">
      <sharedItems containsBlank="1" count="10">
        <s v="R50"/>
        <s v="R80"/>
        <s v="R20"/>
        <s v="R70"/>
        <m/>
        <s v="R00" u="1"/>
        <s v="R40" u="1"/>
        <s v="R10" u="1"/>
        <s v="R30" u="1"/>
        <s v="R9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ery, Sebastien" refreshedDate="45001.385312384256" createdVersion="6" refreshedVersion="8" minRefreshableVersion="3" recordCount="66" xr:uid="{00000000-000A-0000-FFFF-FFFF21000000}">
  <cacheSource type="worksheet">
    <worksheetSource ref="C1:K1048576" sheet="OUEST"/>
  </cacheSource>
  <cacheFields count="9">
    <cacheField name="Rayon" numFmtId="0">
      <sharedItems containsBlank="1" count="10">
        <s v="R50"/>
        <s v="R80"/>
        <s v="R20"/>
        <s v="R70"/>
        <m/>
        <s v="R00" u="1"/>
        <s v="R40" u="1"/>
        <s v="R10" u="1"/>
        <s v="R30" u="1"/>
        <s v="R90" u="1"/>
      </sharedItems>
    </cacheField>
    <cacheField name="codes" numFmtId="1">
      <sharedItems containsString="0" containsBlank="1" containsNumber="1" containsInteger="1" minValue="200417" maxValue="842181"/>
    </cacheField>
    <cacheField name="Typo" numFmtId="1">
      <sharedItems containsBlank="1"/>
    </cacheField>
    <cacheField name="Occurrence" numFmtId="0">
      <sharedItems containsString="0" containsBlank="1" containsNumber="1" containsInteger="1" minValue="1" maxValue="1"/>
    </cacheField>
    <cacheField name="Ean" numFmtId="0">
      <sharedItems containsString="0" containsBlank="1" containsNumber="1" containsInteger="1" minValue="3388530908018" maxValue="8053600001849"/>
    </cacheField>
    <cacheField name="Libellé" numFmtId="0">
      <sharedItems containsBlank="1"/>
    </cacheField>
    <cacheField name="PCB" numFmtId="0">
      <sharedItems containsBlank="1" containsMixedTypes="1" containsNumber="1" containsInteger="1" minValue="1" maxValue="540"/>
    </cacheField>
    <cacheField name="taux de rattachement" numFmtId="10">
      <sharedItems containsBlank="1" containsMixedTypes="1" containsNumber="1" minValue="0.8" maxValue="1"/>
    </cacheField>
    <cacheField name="CA Engage" numFmtId="164">
      <sharedItems containsString="0" containsBlank="1" containsNumber="1" minValue="43.193589480172498" maxValue="4159.0958904109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</r>
  <r>
    <x v="0"/>
  </r>
  <r>
    <x v="0"/>
  </r>
  <r>
    <x v="1"/>
  </r>
  <r>
    <x v="1"/>
  </r>
  <r>
    <x v="1"/>
  </r>
  <r>
    <x v="1"/>
  </r>
  <r>
    <x v="1"/>
  </r>
  <r>
    <x v="1"/>
  </r>
  <r>
    <x v="1"/>
  </r>
  <r>
    <x v="1"/>
  </r>
  <r>
    <x v="1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2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3"/>
  </r>
  <r>
    <x v="1"/>
  </r>
  <r>
    <x v="1"/>
  </r>
  <r>
    <x v="1"/>
  </r>
  <r>
    <x v="1"/>
  </r>
  <r>
    <x v="1"/>
  </r>
  <r>
    <x v="1"/>
  </r>
  <r>
    <x v="1"/>
  </r>
  <r>
    <x v="1"/>
  </r>
  <r>
    <x v="1"/>
  </r>
  <r>
    <x v="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n v="500097"/>
    <s v="T1"/>
    <n v="1"/>
    <n v="8020351001312"/>
    <s v="CHAUFFE EAU STEATITE 200L"/>
    <n v="4"/>
    <n v="1"/>
    <n v="1750.3471711711679"/>
  </r>
  <r>
    <x v="0"/>
    <n v="500112"/>
    <s v="T1"/>
    <n v="1"/>
    <n v="3540731131125"/>
    <s v="TUBE PER GAINE EAU CHAUDE D16 25ML"/>
    <n v="27"/>
    <n v="1"/>
    <n v="1121.6105490848597"/>
  </r>
  <r>
    <x v="0"/>
    <n v="500114"/>
    <s v="T1"/>
    <n v="1"/>
    <n v="3540731115163"/>
    <s v="TUBE PER GAINE EAU FROIDE D16 25ML"/>
    <n v="27"/>
    <n v="1"/>
    <n v="1121.6512280701763"/>
  </r>
  <r>
    <x v="1"/>
    <n v="842181"/>
    <s v="T1"/>
    <n v="1"/>
    <n v="3663602760993"/>
    <s v="REGLETTE ETANCHE T8126CM BLANC COLOURS"/>
    <n v="8"/>
    <n v="1"/>
    <n v="2039.2781003799232"/>
  </r>
  <r>
    <x v="1"/>
    <n v="842175"/>
    <s v="T1"/>
    <n v="1"/>
    <n v="3663602761129"/>
    <s v="REGLETTE FLUO 120CM IP20 BLANC COLOURS"/>
    <n v="8"/>
    <n v="1"/>
    <n v="372.23258706467749"/>
  </r>
  <r>
    <x v="1"/>
    <n v="842159"/>
    <s v="T1"/>
    <n v="1"/>
    <n v="3663602761112"/>
    <s v="REGLETTE FLUO 18CM IP20 BLANC COLOURS"/>
    <n v="8"/>
    <n v="1"/>
    <n v="288.7854064039409"/>
  </r>
  <r>
    <x v="1"/>
    <n v="801775"/>
    <s v="T1"/>
    <n v="1"/>
    <n v="5059340359076"/>
    <s v="LOT 6 AMPOULES GU10 430LM 4000K"/>
    <n v="18"/>
    <n v="1"/>
    <n v="696.17033898304942"/>
  </r>
  <r>
    <x v="1"/>
    <n v="801774"/>
    <s v="T1"/>
    <n v="1"/>
    <n v="5059340359083"/>
    <s v="LOT 6 AMPOULES GU10 430LM 2700K"/>
    <n v="18"/>
    <n v="1"/>
    <n v="371.84327784891116"/>
  </r>
  <r>
    <x v="1"/>
    <n v="801776"/>
    <s v="T1"/>
    <n v="1"/>
    <n v="5059340346854"/>
    <s v="LOT 6 AMPOULES B22 470LM 2700K"/>
    <n v="15"/>
    <n v="1"/>
    <n v="377.93888439773758"/>
  </r>
  <r>
    <x v="1"/>
    <n v="801777"/>
    <s v="T1"/>
    <n v="1"/>
    <n v="5059340346861"/>
    <s v="LOT 6 AMPOULES B22 470LM 4000K"/>
    <n v="15"/>
    <n v="1"/>
    <n v="323.92680722891521"/>
  </r>
  <r>
    <x v="1"/>
    <n v="801772"/>
    <s v="T1"/>
    <n v="1"/>
    <n v="5059340346427"/>
    <s v="LOT 6 AMPOULES E27 806LM 2700K"/>
    <n v="15"/>
    <n v="1"/>
    <n v="624.77106227106003"/>
  </r>
  <r>
    <x v="1"/>
    <n v="801773"/>
    <s v="T1"/>
    <n v="1"/>
    <n v="5059340346434"/>
    <s v="LOT 6 AMPOULES E27 806LM 4000K"/>
    <n v="15"/>
    <n v="1"/>
    <n v="773.64217479674573"/>
  </r>
  <r>
    <x v="2"/>
    <n v="267012"/>
    <s v="T1"/>
    <n v="1"/>
    <n v="3663602816638"/>
    <s v="SAC A OUTILS 59 PIECES MAGNUSSON"/>
    <n v="2"/>
    <n v="1"/>
    <n v="1045.8663768115937"/>
  </r>
  <r>
    <x v="2"/>
    <n v="200417"/>
    <s v="T1"/>
    <n v="1"/>
    <n v="5059340095189"/>
    <s v="BACHE BLEU 70GM 3X4M"/>
    <n v="25"/>
    <n v="1"/>
    <n v="488.29992698598153"/>
  </r>
  <r>
    <x v="2"/>
    <n v="284557"/>
    <s v="T2"/>
    <n v="1"/>
    <n v="3663602576174"/>
    <s v="BACHE LEGERE 2X3M 70G"/>
    <n v="48"/>
    <n v="1"/>
    <n v="398.90313113215603"/>
  </r>
  <r>
    <x v="2"/>
    <n v="284558"/>
    <s v="T1"/>
    <n v="1"/>
    <n v="3663602576181"/>
    <s v="BACHE LEGERE 4X5M 70G"/>
    <n v="15"/>
    <n v="1"/>
    <n v="290.0275904353158"/>
  </r>
  <r>
    <x v="2"/>
    <n v="284560"/>
    <s v="T1"/>
    <n v="1"/>
    <n v="3663602576204"/>
    <s v="BACHE LOURDE 2X3M 140G"/>
    <n v="25"/>
    <n v="1"/>
    <n v="235.03372031662261"/>
  </r>
  <r>
    <x v="2"/>
    <n v="201149"/>
    <s v="T1"/>
    <n v="1"/>
    <n v="5059340046419"/>
    <s v="VISIERE DE PROTECTION SITE"/>
    <n v="8"/>
    <n v="1"/>
    <n v="148.45714285714291"/>
  </r>
  <r>
    <x v="2"/>
    <n v="282372"/>
    <s v="T1"/>
    <n v="1"/>
    <n v="3663602547730"/>
    <s v="LOT 3 CHAUSSETTES NOIR/GRIS 41-43"/>
    <n v="18"/>
    <n v="1"/>
    <n v="435.46625"/>
  </r>
  <r>
    <x v="2"/>
    <n v="200564"/>
    <s v="T1"/>
    <n v="1"/>
    <n v="5059340086446"/>
    <s v="HACHE MANCHE COMPOSITE 600G MAGNUSSON"/>
    <n v="4"/>
    <n v="1"/>
    <n v="194.47274611398902"/>
  </r>
  <r>
    <x v="2"/>
    <n v="200565"/>
    <s v="T1"/>
    <n v="1"/>
    <n v="5059340086125"/>
    <s v="CISAILLE A HAIE MAGNUSSON"/>
    <n v="5"/>
    <n v="1"/>
    <n v="293"/>
  </r>
  <r>
    <x v="2"/>
    <n v="200577"/>
    <s v="T1"/>
    <n v="1"/>
    <n v="5059340086903"/>
    <s v="RATEAU A FEUILLES XL MAGNUSSON"/>
    <n v="5"/>
    <n v="1"/>
    <n v="384.65000000000003"/>
  </r>
  <r>
    <x v="2"/>
    <n v="200585"/>
    <s v="T1"/>
    <n v="1"/>
    <n v="5059340086569"/>
    <s v="FOURCHE MAGNUSSON"/>
    <n v="5"/>
    <n v="1"/>
    <n v="322.13647058823483"/>
  </r>
  <r>
    <x v="2"/>
    <n v="201127"/>
    <s v="T1"/>
    <n v="1"/>
    <n v="5059340086187"/>
    <s v="SECATEUR POIGNEE REGLABLE MAGNUSSON"/>
    <n v="12"/>
    <n v="1"/>
    <n v="339.71063829787249"/>
  </r>
  <r>
    <x v="2"/>
    <n v="201128"/>
    <s v="T1"/>
    <n v="1"/>
    <n v="5059340086491"/>
    <s v="CHEVALET METAL MAGNUSSON"/>
    <n v="3"/>
    <n v="1"/>
    <n v="334.6048314606744"/>
  </r>
  <r>
    <x v="2"/>
    <n v="200613"/>
    <s v="T1"/>
    <n v="1"/>
    <n v="5059340124278"/>
    <s v="DEBROUSSAILLEUSE 43CC 25CM TITAN"/>
    <n v="1"/>
    <n v="1"/>
    <n v="1684.7368421052599"/>
  </r>
  <r>
    <x v="2"/>
    <n v="200869"/>
    <s v="T1"/>
    <n v="1"/>
    <n v="5059340143620"/>
    <s v="BOBINE DEBROUSSAILLEUSE 43CM TITAN"/>
    <n v="40"/>
    <n v="1"/>
    <n v="89"/>
  </r>
  <r>
    <x v="2"/>
    <n v="202021"/>
    <s v="T1"/>
    <n v="1"/>
    <n v="5059340240183"/>
    <s v="TAILLE-HAIE PERCHE ELEC 550W 50CM TITAN"/>
    <n v="2"/>
    <n v="1"/>
    <n v="447.8315789473686"/>
  </r>
  <r>
    <x v="2"/>
    <n v="202694"/>
    <s v="T1"/>
    <n v="1"/>
    <n v="5059340240268"/>
    <s v="TAILLE HAIES 18V 55CM TITAN"/>
    <s v="-"/>
    <n v="1"/>
    <m/>
  </r>
  <r>
    <x v="2"/>
    <n v="251328"/>
    <s v="T1"/>
    <n v="1"/>
    <n v="3663602418269"/>
    <s v="TAILLE-HAIE BATTERIE 18V 51CM ERBAUER"/>
    <n v="1"/>
    <n v="1"/>
    <n v="690"/>
  </r>
  <r>
    <x v="2"/>
    <n v="201910"/>
    <s v="T1"/>
    <n v="1"/>
    <n v="5059340254555"/>
    <s v="TITAN ASPIRATEUR 16L 1300W POLY"/>
    <n v="1"/>
    <n v="1"/>
    <n v="1375.886462882097"/>
  </r>
  <r>
    <x v="2"/>
    <n v="202620"/>
    <s v="T1"/>
    <n v="1"/>
    <n v="4054278874579"/>
    <s v="KARCHER ASPIRATEUR 15L 1000W WD2+"/>
    <n v="1"/>
    <n v="1"/>
    <n v="972.57185886402749"/>
  </r>
  <r>
    <x v="2"/>
    <n v="201922"/>
    <s v="T1"/>
    <n v="1"/>
    <n v="5059340106304"/>
    <s v="TITAN SAC ASPI 16L 5 PIECES"/>
    <n v="540"/>
    <n v="1"/>
    <n v="247.45436946902652"/>
  </r>
  <r>
    <x v="2"/>
    <n v="201924"/>
    <s v="T1"/>
    <n v="1"/>
    <n v="5059340106335"/>
    <s v="TITAN FILTRE CARTOUCHE ASPIRATEUR"/>
    <n v="216"/>
    <n v="1"/>
    <n v="129.9"/>
  </r>
  <r>
    <x v="2"/>
    <n v="250593"/>
    <s v="T1"/>
    <n v="1"/>
    <n v="4054278059396"/>
    <s v="POMPE VIDE CAVE EAUX CHARG. 250W KARCHER"/>
    <n v="1"/>
    <s v="-"/>
    <n v="359.14846153846139"/>
  </r>
  <r>
    <x v="2"/>
    <n v="201701"/>
    <s v="T1"/>
    <n v="1"/>
    <n v="5059340250342"/>
    <s v="POMPE VIDE-CAVE EAUX CLAIRES 250W"/>
    <n v="4"/>
    <n v="1"/>
    <n v="346.79999999999995"/>
  </r>
  <r>
    <x v="2"/>
    <n v="201432"/>
    <s v="T1"/>
    <n v="1"/>
    <n v="5059340250410"/>
    <s v="POMPE VIDE-CAVE EAUX CHARGEES 750W TITAN"/>
    <n v="4"/>
    <n v="1"/>
    <n v="723.38067226890803"/>
  </r>
  <r>
    <x v="2"/>
    <n v="251066"/>
    <s v="T1"/>
    <n v="1"/>
    <n v="3663602940562"/>
    <s v="KIT ASPIRATION 7M"/>
    <n v="3"/>
    <n v="1"/>
    <n v="465.73593750000003"/>
  </r>
  <r>
    <x v="3"/>
    <n v="700393"/>
    <s v="T1"/>
    <n v="1"/>
    <n v="3700101801069"/>
    <s v="KIT ISOLATION PORTE DE GARAGE THERMEO"/>
    <n v="15"/>
    <n v="1"/>
    <n v="655.22686822589708"/>
  </r>
  <r>
    <x v="3"/>
    <n v="704307"/>
    <s v="T1"/>
    <n v="1"/>
    <n v="3663602884330"/>
    <s v="ROULEAU LIÈGE 5MX0,50M 4 MM"/>
    <n v="9"/>
    <n v="1"/>
    <n v="617.22274229074799"/>
  </r>
  <r>
    <x v="3"/>
    <n v="704306"/>
    <s v="T1"/>
    <n v="1"/>
    <n v="3663602884347"/>
    <s v="ROULEAU LIÈGE 5MX0,50M 6 MM"/>
    <n v="5"/>
    <n v="1"/>
    <n v="1019.8249427917621"/>
  </r>
  <r>
    <x v="3"/>
    <n v="770634"/>
    <s v="T1"/>
    <n v="1"/>
    <n v="3663602576303"/>
    <s v="RECHARGE ABS.HUMIDITE SACHET GRANULES"/>
    <n v="28"/>
    <n v="1"/>
    <n v="724.68095599392996"/>
  </r>
  <r>
    <x v="3"/>
    <n v="770627"/>
    <s v="T1"/>
    <n v="1"/>
    <n v="3663602564942"/>
    <s v="ABSORBEUR HUMIDITE GRANDE SURFACE"/>
    <n v="6"/>
    <n v="1"/>
    <n v="694.64934409686998"/>
  </r>
  <r>
    <x v="3"/>
    <n v="770630"/>
    <s v="T1"/>
    <n v="1"/>
    <n v="3663602564973"/>
    <s v="ABSORBEUR HUMIDITE"/>
    <n v="240"/>
    <n v="1"/>
    <n v="294.55641233766249"/>
  </r>
  <r>
    <x v="3"/>
    <n v="700417"/>
    <s v="T1"/>
    <n v="1"/>
    <n v="3549212478520"/>
    <s v="COLLE LIEGE 3KG"/>
    <n v="1"/>
    <n v="1"/>
    <n v="159.941391941392"/>
  </r>
  <r>
    <x v="3"/>
    <n v="700418"/>
    <s v="T1"/>
    <n v="1"/>
    <n v="3549212478544"/>
    <s v="COLLE ISOLANTS THERMIQUE 1KG"/>
    <n v="12"/>
    <n v="1"/>
    <n v="98.981700554528601"/>
  </r>
  <r>
    <x v="3"/>
    <n v="721720"/>
    <s v="T1"/>
    <n v="1"/>
    <n v="3663602885320"/>
    <s v="JOINT MOUSSE BLANC 10M 9MM"/>
    <n v="20"/>
    <n v="1"/>
    <n v="43.193589480172498"/>
  </r>
  <r>
    <x v="3"/>
    <n v="721722"/>
    <s v="T1"/>
    <n v="1"/>
    <n v="3663602885344"/>
    <s v="JOINT MOUSSE MARRON 10M 19MM"/>
    <n v="10"/>
    <n v="1"/>
    <n v="112.1643086816721"/>
  </r>
  <r>
    <x v="3"/>
    <n v="721723"/>
    <s v="T1"/>
    <n v="1"/>
    <n v="3663602883630"/>
    <s v="JOINT MOUSSE UNIVERSEL BLANC 6M 9MM"/>
    <n v="30"/>
    <n v="1"/>
    <n v="146.9655091917129"/>
  </r>
  <r>
    <x v="3"/>
    <n v="721724"/>
    <s v="T1"/>
    <n v="1"/>
    <n v="3663602883647"/>
    <s v="JOINT MOUSSE UNIVERSEL NOIR 6M 9MM"/>
    <n v="30"/>
    <n v="0.8"/>
    <n v="146.97362214816718"/>
  </r>
  <r>
    <x v="3"/>
    <n v="721746"/>
    <s v="T1"/>
    <n v="1"/>
    <n v="3663602885375"/>
    <s v="BAS DE PORTE ADHESIF PVC BROSSE 1M BLANC"/>
    <n v="80"/>
    <n v="1"/>
    <n v="89.375506756756806"/>
  </r>
  <r>
    <x v="3"/>
    <n v="721747"/>
    <s v="T1"/>
    <n v="1"/>
    <n v="3663602885382"/>
    <s v="BAS DE PORTE ADHESIF BROSSE MARRON 1M"/>
    <n v="80"/>
    <n v="1"/>
    <n v="89.395271739130493"/>
  </r>
  <r>
    <x v="3"/>
    <n v="721757"/>
    <s v="T1"/>
    <n v="1"/>
    <n v="3663602883951"/>
    <s v="JOINT PORTE DOUBLE BOUDIN 1M"/>
    <n v="10"/>
    <n v="1"/>
    <n v="194.66556586933228"/>
  </r>
  <r>
    <x v="3"/>
    <n v="700658"/>
    <s v="T1"/>
    <n v="1"/>
    <n v="5059340264493"/>
    <s v="BLANC 10L VELOURS EVALUX 2 EN 1"/>
    <n v="1"/>
    <n v="1"/>
    <n v="2743.389354568315"/>
  </r>
  <r>
    <x v="3"/>
    <n v="700656"/>
    <s v="T1"/>
    <n v="1"/>
    <n v="5059340264479"/>
    <s v="BLANC 10L SATIN EVALUX 2 EN 1"/>
    <n v="1"/>
    <n v="1"/>
    <n v="2992.184757167935"/>
  </r>
  <r>
    <x v="3"/>
    <n v="700654"/>
    <s v="T1"/>
    <n v="1"/>
    <n v="5059340264455"/>
    <s v="BLANC 10L MAT EVALUX 2 EN 1"/>
    <n v="1"/>
    <n v="1"/>
    <n v="2393.2249521988547"/>
  </r>
  <r>
    <x v="1"/>
    <n v="811686"/>
    <s v="T1"/>
    <n v="1"/>
    <n v="3419860101128"/>
    <s v="KIT VMC FLOREA HV S/FLUX HYGROVARIABLE"/>
    <n v="32"/>
    <n v="1"/>
    <n v="2325.0335283993122"/>
  </r>
  <r>
    <x v="1"/>
    <n v="811770"/>
    <s v="T1"/>
    <n v="1"/>
    <n v="3388530908018"/>
    <s v="2 COLLIERS PLAT A TETE BASCULANTE"/>
    <n v="50"/>
    <n v="1"/>
    <n v="253.92882646988821"/>
  </r>
  <r>
    <x v="1"/>
    <n v="821393"/>
    <s v="T1"/>
    <n v="1"/>
    <n v="3701071981102"/>
    <s v="GAINE PVC SOUPLE DIAM 102X3M VRAC"/>
    <n v="24"/>
    <n v="1"/>
    <n v="129.2776287932252"/>
  </r>
  <r>
    <x v="1"/>
    <n v="821399"/>
    <s v="T1"/>
    <n v="1"/>
    <n v="3701071981140"/>
    <s v="GAINE PVC SOUPLE DIAM 82X6M VRAC"/>
    <n v="24"/>
    <n v="1"/>
    <n v="331.57921464762791"/>
  </r>
  <r>
    <x v="1"/>
    <n v="821397"/>
    <s v="T1"/>
    <n v="1"/>
    <n v="3701071981034"/>
    <s v="GAINE PVC SOUPLE ISOLEE DIAM 80 X 6M"/>
    <n v="1"/>
    <n v="1"/>
    <n v="633.69933953767497"/>
  </r>
  <r>
    <x v="1"/>
    <n v="811687"/>
    <s v="T1"/>
    <n v="1"/>
    <n v="3419860101081"/>
    <s v="KIT VMC BASSE CONSO S/FLUX HYGROVARIABLE"/>
    <n v="16"/>
    <n v="1"/>
    <n v="2099.8968692449403"/>
  </r>
  <r>
    <x v="1"/>
    <n v="801644"/>
    <s v="T1"/>
    <n v="1"/>
    <n v="8053600001825"/>
    <s v="RADIATEUR INERTIE FLUIDE VERSILIA 1000W"/>
    <n v="10"/>
    <n v="1"/>
    <n v="4159.0958904109493"/>
  </r>
  <r>
    <x v="1"/>
    <n v="801645"/>
    <s v="T1"/>
    <n v="1"/>
    <n v="8053600001832"/>
    <s v="RADIATEUR INERTIE FLUIDE VERSILIA 1500W"/>
    <n v="10"/>
    <n v="1"/>
    <n v="3765.4152410575398"/>
  </r>
  <r>
    <x v="1"/>
    <n v="801646"/>
    <s v="T1"/>
    <n v="1"/>
    <n v="8053600001849"/>
    <s v="RADIATEUR INERTIE FLUIDE VERSILIA 1800W"/>
    <n v="10"/>
    <n v="1"/>
    <n v="2183.8936170212801"/>
  </r>
  <r>
    <x v="4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ca_engage" cacheId="2844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2" rowHeaderCaption="Rayons">
  <location ref="I1:J6" firstHeaderRow="1" firstDataRow="1" firstDataCol="1"/>
  <pivotFields count="9">
    <pivotField axis="axisRow" showAll="0">
      <items count="11">
        <item m="1" x="8"/>
        <item m="1" x="6"/>
        <item x="0"/>
        <item x="4"/>
        <item x="3"/>
        <item x="2"/>
        <item m="1" x="7"/>
        <item m="1" x="9"/>
        <item m="1" x="5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5">
    <i>
      <x v="2"/>
    </i>
    <i>
      <x v="4"/>
    </i>
    <i>
      <x v="5"/>
    </i>
    <i>
      <x v="9"/>
    </i>
    <i t="grand">
      <x/>
    </i>
  </rowItems>
  <colItems count="1">
    <i/>
  </colItems>
  <dataFields count="1">
    <dataField name="Somme de CA Engage" fld="8" baseField="0" baseItem="0" numFmtId="165"/>
  </dataFields>
  <formats count="3">
    <format dxfId="0">
      <pivotArea outline="0" collapsedLevelsAreSubtotals="1" fieldPosition="0"/>
    </format>
    <format dxfId="1">
      <pivotArea dataOnly="0" labelOnly="1" outline="0" axis="axisValues" fieldPosition="0"/>
    </format>
    <format dxfId="2">
      <pivotArea dataOnly="0" labelOnly="1" outline="0" axis="axisValues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1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repartition_rayon" cacheId="2843" applyNumberFormats="0" applyBorderFormats="0" applyFontFormats="0" applyPatternFormats="0" applyAlignmentFormats="0" applyWidthHeightFormats="1" dataCaption="Valeurs" updatedVersion="8" minRefreshableVersion="3" useAutoFormatting="1" itemPrintTitles="1" createdVersion="6" indent="0" outline="1" outlineData="1" multipleFieldFilters="0" chartFormat="3" rowHeaderCaption="Rayons">
  <location ref="A1:B6" firstHeaderRow="1" firstDataRow="1" firstDataCol="1"/>
  <pivotFields count="1">
    <pivotField axis="axisRow" dataField="1" multipleItemSelectionAllowed="1" showAll="0">
      <items count="11">
        <item m="1" x="8"/>
        <item m="1" x="6"/>
        <item x="0"/>
        <item x="4"/>
        <item m="1" x="7"/>
        <item x="2"/>
        <item m="1" x="9"/>
        <item x="3"/>
        <item m="1" x="5"/>
        <item x="1"/>
        <item t="default"/>
      </items>
    </pivotField>
  </pivotFields>
  <rowFields count="1">
    <field x="0"/>
  </rowFields>
  <rowItems count="5">
    <i>
      <x v="2"/>
    </i>
    <i>
      <x v="5"/>
    </i>
    <i>
      <x v="7"/>
    </i>
    <i>
      <x v="9"/>
    </i>
    <i t="grand">
      <x/>
    </i>
  </rowItems>
  <colItems count="1">
    <i/>
  </colItems>
  <dataFields count="1">
    <dataField name="Repartition des Rayons" fld="0" subtotal="count" baseField="0" baseItem="1"/>
  </dataFields>
  <chartFormats count="10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NotContains" evalOrder="-1" id="3" stringValue1="(vide)">
      <autoFilter ref="A1">
        <filterColumn colId="0">
          <customFilters>
            <customFilter operator="notEqual" val="*(vide)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B1:AB4"/>
  <sheetViews>
    <sheetView workbookViewId="0">
      <selection activeCell="B3" sqref="B3"/>
    </sheetView>
  </sheetViews>
  <sheetFormatPr defaultColWidth="11.42578125" defaultRowHeight="14.45"/>
  <cols>
    <col min="1" max="1" width="5.5703125" customWidth="1"/>
    <col min="2" max="3" width="16.7109375" customWidth="1"/>
    <col min="4" max="4" width="19.28515625" bestFit="1" customWidth="1"/>
  </cols>
  <sheetData>
    <row r="1" spans="2:28" ht="42.6" customHeight="1">
      <c r="B1" s="49" t="s">
        <v>0</v>
      </c>
      <c r="C1" s="49"/>
      <c r="D1" s="49"/>
    </row>
    <row r="2" spans="2:28" ht="36" customHeight="1" thickBot="1">
      <c r="B2" s="26" t="s">
        <v>1</v>
      </c>
      <c r="C2" s="26" t="s">
        <v>2</v>
      </c>
      <c r="D2" s="26" t="s">
        <v>3</v>
      </c>
    </row>
    <row r="3" spans="2:28" ht="25.15" customHeight="1" thickBot="1">
      <c r="B3" s="23" t="s">
        <v>4</v>
      </c>
      <c r="C3" s="24">
        <v>2023</v>
      </c>
      <c r="D3" s="25" t="s">
        <v>5</v>
      </c>
    </row>
    <row r="4" spans="2:28">
      <c r="AB4" s="36" t="s">
        <v>6</v>
      </c>
    </row>
  </sheetData>
  <mergeCells count="1">
    <mergeCell ref="B1:D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Z66"/>
  <sheetViews>
    <sheetView tabSelected="1" topLeftCell="A24" zoomScale="80" zoomScaleNormal="80" workbookViewId="0">
      <selection activeCell="I70" sqref="I70"/>
    </sheetView>
  </sheetViews>
  <sheetFormatPr defaultColWidth="11.42578125" defaultRowHeight="14.45"/>
  <cols>
    <col min="2" max="2" width="17.42578125" bestFit="1" customWidth="1"/>
    <col min="3" max="3" width="11.5703125" style="35"/>
    <col min="4" max="4" width="11.5703125" style="29"/>
    <col min="5" max="5" width="11.5703125" style="16"/>
    <col min="7" max="7" width="16.42578125" customWidth="1"/>
    <col min="8" max="8" width="42.42578125" bestFit="1" customWidth="1"/>
    <col min="10" max="10" width="11.5703125" style="9"/>
    <col min="11" max="11" width="11.5703125" style="33"/>
    <col min="12" max="12" width="12.5703125" style="9" bestFit="1" customWidth="1"/>
    <col min="13" max="13" width="11.5703125" style="11"/>
    <col min="14" max="14" width="11.5703125"/>
    <col min="15" max="25" width="11.5703125" style="13"/>
    <col min="26" max="26" width="15.5703125" bestFit="1" customWidth="1"/>
  </cols>
  <sheetData>
    <row r="1" spans="1:26" ht="24">
      <c r="A1" s="4" t="s">
        <v>1</v>
      </c>
      <c r="B1" s="4" t="s">
        <v>7</v>
      </c>
      <c r="C1" s="34" t="s">
        <v>8</v>
      </c>
      <c r="D1" s="27" t="s">
        <v>9</v>
      </c>
      <c r="E1" s="1" t="s">
        <v>10</v>
      </c>
      <c r="F1" s="1" t="s">
        <v>11</v>
      </c>
      <c r="G1" s="1" t="s">
        <v>12</v>
      </c>
      <c r="H1" s="1" t="s">
        <v>13</v>
      </c>
      <c r="I1" s="1" t="s">
        <v>14</v>
      </c>
      <c r="J1" s="6" t="s">
        <v>15</v>
      </c>
      <c r="K1" s="31" t="s">
        <v>16</v>
      </c>
      <c r="L1" s="21" t="s">
        <v>17</v>
      </c>
      <c r="M1" s="19" t="s">
        <v>18</v>
      </c>
      <c r="N1" s="5" t="s">
        <v>19</v>
      </c>
      <c r="O1" s="12" t="s">
        <v>20</v>
      </c>
      <c r="P1" s="12" t="s">
        <v>21</v>
      </c>
      <c r="Q1" s="12" t="s">
        <v>22</v>
      </c>
      <c r="R1" s="12" t="s">
        <v>23</v>
      </c>
      <c r="S1" s="12" t="s">
        <v>24</v>
      </c>
      <c r="T1" s="12" t="s">
        <v>25</v>
      </c>
      <c r="U1" s="12" t="s">
        <v>26</v>
      </c>
      <c r="V1" s="12" t="s">
        <v>27</v>
      </c>
      <c r="W1" s="12" t="s">
        <v>28</v>
      </c>
      <c r="X1" s="12" t="s">
        <v>29</v>
      </c>
      <c r="Y1" s="12" t="s">
        <v>30</v>
      </c>
      <c r="Z1" s="30" t="s">
        <v>31</v>
      </c>
    </row>
    <row r="2" spans="1:26" s="46" customFormat="1">
      <c r="A2" s="38" t="s">
        <v>32</v>
      </c>
      <c r="B2" s="38" t="s">
        <v>5</v>
      </c>
      <c r="C2" s="39" t="s">
        <v>33</v>
      </c>
      <c r="D2" s="40">
        <v>500097</v>
      </c>
      <c r="E2" s="41" t="s">
        <v>34</v>
      </c>
      <c r="F2" s="39">
        <f t="shared" ref="F2:F39" si="0">COUNTIF(D:D,D2)</f>
        <v>1</v>
      </c>
      <c r="G2" s="41">
        <v>8020351001312</v>
      </c>
      <c r="H2" s="39" t="s">
        <v>35</v>
      </c>
      <c r="I2" s="39">
        <v>4</v>
      </c>
      <c r="J2" s="42">
        <v>1</v>
      </c>
      <c r="K2" s="43">
        <v>1750.3471711711679</v>
      </c>
      <c r="L2" s="42">
        <v>0.02</v>
      </c>
      <c r="M2" s="44" t="s">
        <v>36</v>
      </c>
      <c r="N2" s="45">
        <v>8</v>
      </c>
      <c r="O2" s="39">
        <v>1</v>
      </c>
      <c r="P2" s="39">
        <v>2</v>
      </c>
      <c r="Q2" s="39">
        <v>3</v>
      </c>
      <c r="R2" s="39">
        <v>4</v>
      </c>
      <c r="S2" s="39">
        <v>5</v>
      </c>
      <c r="T2" s="39">
        <v>6</v>
      </c>
      <c r="U2" s="39">
        <v>7</v>
      </c>
      <c r="V2" s="39">
        <v>8</v>
      </c>
      <c r="W2" s="39">
        <v>9</v>
      </c>
      <c r="X2" s="39">
        <v>10</v>
      </c>
      <c r="Y2" s="39">
        <v>11</v>
      </c>
      <c r="Z2" s="46">
        <v>1</v>
      </c>
    </row>
    <row r="3" spans="1:26" s="46" customFormat="1">
      <c r="A3" s="38" t="s">
        <v>32</v>
      </c>
      <c r="B3" s="38" t="s">
        <v>5</v>
      </c>
      <c r="C3" s="39" t="s">
        <v>33</v>
      </c>
      <c r="D3" s="40">
        <v>500112</v>
      </c>
      <c r="E3" s="41" t="s">
        <v>34</v>
      </c>
      <c r="F3" s="39">
        <f t="shared" si="0"/>
        <v>1</v>
      </c>
      <c r="G3" s="41">
        <v>3540731131125</v>
      </c>
      <c r="H3" s="39" t="s">
        <v>37</v>
      </c>
      <c r="I3" s="39">
        <v>27</v>
      </c>
      <c r="J3" s="42">
        <v>1</v>
      </c>
      <c r="K3" s="43">
        <v>1121.6105490848597</v>
      </c>
      <c r="L3" s="42">
        <v>0.24</v>
      </c>
      <c r="M3" s="44">
        <v>3.67</v>
      </c>
      <c r="N3" s="45">
        <v>54</v>
      </c>
      <c r="O3" s="39">
        <v>9</v>
      </c>
      <c r="P3" s="39">
        <v>18</v>
      </c>
      <c r="Q3" s="39">
        <v>27</v>
      </c>
      <c r="R3" s="39">
        <v>36</v>
      </c>
      <c r="S3" s="39">
        <v>45</v>
      </c>
      <c r="T3" s="39">
        <v>54</v>
      </c>
      <c r="U3" s="39">
        <v>63</v>
      </c>
      <c r="V3" s="39">
        <v>72</v>
      </c>
      <c r="W3" s="39">
        <v>81</v>
      </c>
      <c r="X3" s="39">
        <v>90</v>
      </c>
      <c r="Y3" s="39">
        <v>99</v>
      </c>
      <c r="Z3" s="46">
        <v>1</v>
      </c>
    </row>
    <row r="4" spans="1:26" s="46" customFormat="1">
      <c r="A4" s="38" t="s">
        <v>32</v>
      </c>
      <c r="B4" s="38" t="s">
        <v>5</v>
      </c>
      <c r="C4" s="39" t="s">
        <v>33</v>
      </c>
      <c r="D4" s="40">
        <v>500114</v>
      </c>
      <c r="E4" s="41" t="s">
        <v>34</v>
      </c>
      <c r="F4" s="39">
        <f t="shared" si="0"/>
        <v>1</v>
      </c>
      <c r="G4" s="41">
        <v>3540731115163</v>
      </c>
      <c r="H4" s="39" t="s">
        <v>38</v>
      </c>
      <c r="I4" s="39">
        <v>27</v>
      </c>
      <c r="J4" s="42">
        <v>1</v>
      </c>
      <c r="K4" s="43">
        <v>1121.6512280701763</v>
      </c>
      <c r="L4" s="42">
        <v>0.23</v>
      </c>
      <c r="M4" s="44">
        <v>2.89</v>
      </c>
      <c r="N4" s="45">
        <v>54</v>
      </c>
      <c r="O4" s="39">
        <v>9</v>
      </c>
      <c r="P4" s="39">
        <v>18</v>
      </c>
      <c r="Q4" s="39">
        <v>27</v>
      </c>
      <c r="R4" s="39">
        <v>36</v>
      </c>
      <c r="S4" s="39">
        <v>45</v>
      </c>
      <c r="T4" s="39">
        <v>54</v>
      </c>
      <c r="U4" s="39">
        <v>63</v>
      </c>
      <c r="V4" s="39">
        <v>72</v>
      </c>
      <c r="W4" s="39">
        <v>81</v>
      </c>
      <c r="X4" s="39">
        <v>90</v>
      </c>
      <c r="Y4" s="39">
        <v>99</v>
      </c>
      <c r="Z4" s="46">
        <v>1</v>
      </c>
    </row>
    <row r="5" spans="1:26" s="46" customFormat="1">
      <c r="A5" s="38" t="s">
        <v>32</v>
      </c>
      <c r="B5" s="38" t="s">
        <v>5</v>
      </c>
      <c r="C5" s="39" t="s">
        <v>39</v>
      </c>
      <c r="D5" s="47">
        <v>842181</v>
      </c>
      <c r="E5" s="41" t="s">
        <v>34</v>
      </c>
      <c r="F5" s="39">
        <f t="shared" si="0"/>
        <v>1</v>
      </c>
      <c r="G5" s="41">
        <v>3663602760993</v>
      </c>
      <c r="H5" s="39" t="s">
        <v>40</v>
      </c>
      <c r="I5" s="39">
        <v>8</v>
      </c>
      <c r="J5" s="42">
        <v>1</v>
      </c>
      <c r="K5" s="43">
        <v>2039.2781003799232</v>
      </c>
      <c r="L5" s="42">
        <v>0.35</v>
      </c>
      <c r="M5" s="44">
        <v>2.11</v>
      </c>
      <c r="N5" s="45">
        <v>98</v>
      </c>
      <c r="O5" s="39">
        <v>16</v>
      </c>
      <c r="P5" s="39">
        <v>32</v>
      </c>
      <c r="Q5" s="39">
        <v>48</v>
      </c>
      <c r="R5" s="39">
        <v>64</v>
      </c>
      <c r="S5" s="39">
        <v>80</v>
      </c>
      <c r="T5" s="39">
        <v>96</v>
      </c>
      <c r="U5" s="39">
        <v>112</v>
      </c>
      <c r="V5" s="39">
        <v>128</v>
      </c>
      <c r="W5" s="39">
        <v>144</v>
      </c>
      <c r="X5" s="39">
        <v>160</v>
      </c>
      <c r="Y5" s="39">
        <v>176</v>
      </c>
      <c r="Z5" s="46">
        <v>1</v>
      </c>
    </row>
    <row r="6" spans="1:26" s="46" customFormat="1">
      <c r="A6" s="38" t="s">
        <v>32</v>
      </c>
      <c r="B6" s="38" t="s">
        <v>5</v>
      </c>
      <c r="C6" s="39" t="s">
        <v>39</v>
      </c>
      <c r="D6" s="47">
        <v>842175</v>
      </c>
      <c r="E6" s="41" t="s">
        <v>34</v>
      </c>
      <c r="F6" s="39">
        <f t="shared" si="0"/>
        <v>1</v>
      </c>
      <c r="G6" s="41">
        <v>3663602761129</v>
      </c>
      <c r="H6" s="39" t="s">
        <v>41</v>
      </c>
      <c r="I6" s="39">
        <v>8</v>
      </c>
      <c r="J6" s="42">
        <v>1</v>
      </c>
      <c r="K6" s="43">
        <v>372.23258706467749</v>
      </c>
      <c r="L6" s="42">
        <v>0.39</v>
      </c>
      <c r="M6" s="44">
        <v>2.7</v>
      </c>
      <c r="N6" s="45">
        <v>25</v>
      </c>
      <c r="O6" s="39">
        <v>4</v>
      </c>
      <c r="P6" s="39">
        <v>8</v>
      </c>
      <c r="Q6" s="39">
        <v>12</v>
      </c>
      <c r="R6" s="39">
        <v>16</v>
      </c>
      <c r="S6" s="39">
        <v>20</v>
      </c>
      <c r="T6" s="39">
        <v>24</v>
      </c>
      <c r="U6" s="39">
        <v>28</v>
      </c>
      <c r="V6" s="39">
        <v>32</v>
      </c>
      <c r="W6" s="39">
        <v>36</v>
      </c>
      <c r="X6" s="39">
        <v>40</v>
      </c>
      <c r="Y6" s="39">
        <v>44</v>
      </c>
      <c r="Z6" s="46">
        <v>1</v>
      </c>
    </row>
    <row r="7" spans="1:26" s="46" customFormat="1">
      <c r="A7" s="38" t="s">
        <v>32</v>
      </c>
      <c r="B7" s="38" t="s">
        <v>5</v>
      </c>
      <c r="C7" s="39" t="s">
        <v>39</v>
      </c>
      <c r="D7" s="47">
        <v>842159</v>
      </c>
      <c r="E7" s="41" t="s">
        <v>34</v>
      </c>
      <c r="F7" s="39">
        <f t="shared" si="0"/>
        <v>1</v>
      </c>
      <c r="G7" s="41">
        <v>3663602761112</v>
      </c>
      <c r="H7" s="39" t="s">
        <v>42</v>
      </c>
      <c r="I7" s="39">
        <v>8</v>
      </c>
      <c r="J7" s="42">
        <v>1</v>
      </c>
      <c r="K7" s="43">
        <v>288.7854064039409</v>
      </c>
      <c r="L7" s="42">
        <v>0.24</v>
      </c>
      <c r="M7" s="44">
        <v>2.78</v>
      </c>
      <c r="N7" s="45">
        <v>34</v>
      </c>
      <c r="O7" s="39">
        <v>6</v>
      </c>
      <c r="P7" s="39">
        <v>12</v>
      </c>
      <c r="Q7" s="39">
        <v>18</v>
      </c>
      <c r="R7" s="39">
        <v>24</v>
      </c>
      <c r="S7" s="39">
        <v>30</v>
      </c>
      <c r="T7" s="39">
        <v>36</v>
      </c>
      <c r="U7" s="39">
        <v>42</v>
      </c>
      <c r="V7" s="39">
        <v>48</v>
      </c>
      <c r="W7" s="39">
        <v>54</v>
      </c>
      <c r="X7" s="39">
        <v>60</v>
      </c>
      <c r="Y7" s="39">
        <v>66</v>
      </c>
      <c r="Z7" s="46">
        <v>1</v>
      </c>
    </row>
    <row r="8" spans="1:26" s="46" customFormat="1">
      <c r="A8" s="38" t="s">
        <v>32</v>
      </c>
      <c r="B8" s="38" t="s">
        <v>5</v>
      </c>
      <c r="C8" s="39" t="s">
        <v>39</v>
      </c>
      <c r="D8" s="40">
        <v>801775</v>
      </c>
      <c r="E8" s="41" t="s">
        <v>34</v>
      </c>
      <c r="F8" s="39">
        <f t="shared" si="0"/>
        <v>1</v>
      </c>
      <c r="G8" s="41">
        <v>5059340359076</v>
      </c>
      <c r="H8" s="39" t="s">
        <v>43</v>
      </c>
      <c r="I8" s="39">
        <v>18</v>
      </c>
      <c r="J8" s="42">
        <v>1</v>
      </c>
      <c r="K8" s="43">
        <v>696.17033898304942</v>
      </c>
      <c r="L8" s="42">
        <v>0.62</v>
      </c>
      <c r="M8" s="44">
        <v>31.87</v>
      </c>
      <c r="N8" s="45">
        <v>45</v>
      </c>
      <c r="O8" s="39">
        <v>8</v>
      </c>
      <c r="P8" s="39">
        <v>16</v>
      </c>
      <c r="Q8" s="39">
        <v>24</v>
      </c>
      <c r="R8" s="39">
        <v>32</v>
      </c>
      <c r="S8" s="39">
        <v>40</v>
      </c>
      <c r="T8" s="39">
        <v>48</v>
      </c>
      <c r="U8" s="39">
        <v>56</v>
      </c>
      <c r="V8" s="39">
        <v>64</v>
      </c>
      <c r="W8" s="39">
        <v>72</v>
      </c>
      <c r="X8" s="39">
        <v>80</v>
      </c>
      <c r="Y8" s="39">
        <v>88</v>
      </c>
      <c r="Z8" s="46">
        <v>1</v>
      </c>
    </row>
    <row r="9" spans="1:26" s="46" customFormat="1">
      <c r="A9" s="38" t="s">
        <v>32</v>
      </c>
      <c r="B9" s="38" t="s">
        <v>5</v>
      </c>
      <c r="C9" s="39" t="s">
        <v>39</v>
      </c>
      <c r="D9" s="40">
        <v>801774</v>
      </c>
      <c r="E9" s="41" t="s">
        <v>34</v>
      </c>
      <c r="F9" s="39">
        <f t="shared" si="0"/>
        <v>1</v>
      </c>
      <c r="G9" s="41">
        <v>5059340359083</v>
      </c>
      <c r="H9" s="39" t="s">
        <v>44</v>
      </c>
      <c r="I9" s="39">
        <v>18</v>
      </c>
      <c r="J9" s="42">
        <v>1</v>
      </c>
      <c r="K9" s="43">
        <v>371.84327784891116</v>
      </c>
      <c r="L9" s="42">
        <v>0.62</v>
      </c>
      <c r="M9" s="44">
        <v>39.58</v>
      </c>
      <c r="N9" s="45">
        <v>24</v>
      </c>
      <c r="O9" s="39">
        <v>4</v>
      </c>
      <c r="P9" s="39">
        <v>8</v>
      </c>
      <c r="Q9" s="39">
        <v>12</v>
      </c>
      <c r="R9" s="39">
        <v>16</v>
      </c>
      <c r="S9" s="39">
        <v>20</v>
      </c>
      <c r="T9" s="39">
        <v>24</v>
      </c>
      <c r="U9" s="39">
        <v>28</v>
      </c>
      <c r="V9" s="39">
        <v>32</v>
      </c>
      <c r="W9" s="39">
        <v>36</v>
      </c>
      <c r="X9" s="39">
        <v>40</v>
      </c>
      <c r="Y9" s="39">
        <v>44</v>
      </c>
      <c r="Z9" s="46">
        <v>1</v>
      </c>
    </row>
    <row r="10" spans="1:26" s="46" customFormat="1">
      <c r="A10" s="38" t="s">
        <v>32</v>
      </c>
      <c r="B10" s="38" t="s">
        <v>5</v>
      </c>
      <c r="C10" s="39" t="s">
        <v>39</v>
      </c>
      <c r="D10" s="40">
        <v>801776</v>
      </c>
      <c r="E10" s="41" t="s">
        <v>34</v>
      </c>
      <c r="F10" s="39">
        <f t="shared" si="0"/>
        <v>1</v>
      </c>
      <c r="G10" s="41">
        <v>5059340346854</v>
      </c>
      <c r="H10" s="39" t="s">
        <v>45</v>
      </c>
      <c r="I10" s="39">
        <v>15</v>
      </c>
      <c r="J10" s="42">
        <v>1</v>
      </c>
      <c r="K10" s="43">
        <v>377.93888439773758</v>
      </c>
      <c r="L10" s="42">
        <v>0.61</v>
      </c>
      <c r="M10" s="44">
        <v>28.68</v>
      </c>
      <c r="N10" s="45">
        <v>28</v>
      </c>
      <c r="O10" s="39">
        <v>5</v>
      </c>
      <c r="P10" s="39">
        <v>10</v>
      </c>
      <c r="Q10" s="39">
        <v>15</v>
      </c>
      <c r="R10" s="39">
        <v>20</v>
      </c>
      <c r="S10" s="39">
        <v>25</v>
      </c>
      <c r="T10" s="39">
        <v>30</v>
      </c>
      <c r="U10" s="39">
        <v>35</v>
      </c>
      <c r="V10" s="39">
        <v>40</v>
      </c>
      <c r="W10" s="39">
        <v>45</v>
      </c>
      <c r="X10" s="39">
        <v>50</v>
      </c>
      <c r="Y10" s="39">
        <v>55</v>
      </c>
      <c r="Z10" s="46">
        <v>1</v>
      </c>
    </row>
    <row r="11" spans="1:26" s="46" customFormat="1">
      <c r="A11" s="38" t="s">
        <v>32</v>
      </c>
      <c r="B11" s="38" t="s">
        <v>5</v>
      </c>
      <c r="C11" s="39" t="s">
        <v>39</v>
      </c>
      <c r="D11" s="40">
        <v>801777</v>
      </c>
      <c r="E11" s="41" t="s">
        <v>34</v>
      </c>
      <c r="F11" s="39">
        <f t="shared" si="0"/>
        <v>1</v>
      </c>
      <c r="G11" s="41">
        <v>5059340346861</v>
      </c>
      <c r="H11" s="39" t="s">
        <v>46</v>
      </c>
      <c r="I11" s="39">
        <v>15</v>
      </c>
      <c r="J11" s="42">
        <v>1</v>
      </c>
      <c r="K11" s="43">
        <v>323.92680722891521</v>
      </c>
      <c r="L11" s="42">
        <v>0.61</v>
      </c>
      <c r="M11" s="44">
        <v>22.81</v>
      </c>
      <c r="N11" s="45">
        <v>24</v>
      </c>
      <c r="O11" s="39">
        <v>4</v>
      </c>
      <c r="P11" s="39">
        <v>8</v>
      </c>
      <c r="Q11" s="39">
        <v>12</v>
      </c>
      <c r="R11" s="39">
        <v>16</v>
      </c>
      <c r="S11" s="39">
        <v>20</v>
      </c>
      <c r="T11" s="39">
        <v>24</v>
      </c>
      <c r="U11" s="39">
        <v>28</v>
      </c>
      <c r="V11" s="39">
        <v>32</v>
      </c>
      <c r="W11" s="39">
        <v>36</v>
      </c>
      <c r="X11" s="39">
        <v>40</v>
      </c>
      <c r="Y11" s="39">
        <v>44</v>
      </c>
      <c r="Z11" s="46">
        <v>1</v>
      </c>
    </row>
    <row r="12" spans="1:26" s="46" customFormat="1">
      <c r="A12" s="38" t="s">
        <v>32</v>
      </c>
      <c r="B12" s="38" t="s">
        <v>5</v>
      </c>
      <c r="C12" s="39" t="s">
        <v>39</v>
      </c>
      <c r="D12" s="40">
        <v>801772</v>
      </c>
      <c r="E12" s="41" t="s">
        <v>34</v>
      </c>
      <c r="F12" s="39">
        <f t="shared" si="0"/>
        <v>1</v>
      </c>
      <c r="G12" s="41">
        <v>5059340346427</v>
      </c>
      <c r="H12" s="39" t="s">
        <v>47</v>
      </c>
      <c r="I12" s="39">
        <v>15</v>
      </c>
      <c r="J12" s="42">
        <v>1</v>
      </c>
      <c r="K12" s="43">
        <v>624.77106227106003</v>
      </c>
      <c r="L12" s="42">
        <v>0.56000000000000005</v>
      </c>
      <c r="M12" s="44">
        <v>28.23</v>
      </c>
      <c r="N12" s="45">
        <v>50</v>
      </c>
      <c r="O12" s="39">
        <v>8</v>
      </c>
      <c r="P12" s="39">
        <v>16</v>
      </c>
      <c r="Q12" s="39">
        <v>24</v>
      </c>
      <c r="R12" s="39">
        <v>32</v>
      </c>
      <c r="S12" s="39">
        <v>40</v>
      </c>
      <c r="T12" s="39">
        <v>48</v>
      </c>
      <c r="U12" s="39">
        <v>56</v>
      </c>
      <c r="V12" s="39">
        <v>64</v>
      </c>
      <c r="W12" s="39">
        <v>72</v>
      </c>
      <c r="X12" s="39">
        <v>80</v>
      </c>
      <c r="Y12" s="39">
        <v>88</v>
      </c>
      <c r="Z12" s="46">
        <v>1</v>
      </c>
    </row>
    <row r="13" spans="1:26" s="46" customFormat="1">
      <c r="A13" s="38" t="s">
        <v>32</v>
      </c>
      <c r="B13" s="38" t="s">
        <v>5</v>
      </c>
      <c r="C13" s="39" t="s">
        <v>39</v>
      </c>
      <c r="D13" s="40">
        <v>801773</v>
      </c>
      <c r="E13" s="41" t="s">
        <v>34</v>
      </c>
      <c r="F13" s="39">
        <f t="shared" si="0"/>
        <v>1</v>
      </c>
      <c r="G13" s="41">
        <v>5059340346434</v>
      </c>
      <c r="H13" s="39" t="s">
        <v>48</v>
      </c>
      <c r="I13" s="39">
        <v>15</v>
      </c>
      <c r="J13" s="42">
        <v>1</v>
      </c>
      <c r="K13" s="43">
        <v>773.64217479674573</v>
      </c>
      <c r="L13" s="42">
        <v>0.56000000000000005</v>
      </c>
      <c r="M13" s="44">
        <v>25.74</v>
      </c>
      <c r="N13" s="45">
        <v>62</v>
      </c>
      <c r="O13" s="39">
        <v>10</v>
      </c>
      <c r="P13" s="39">
        <v>20</v>
      </c>
      <c r="Q13" s="39">
        <v>30</v>
      </c>
      <c r="R13" s="39">
        <v>40</v>
      </c>
      <c r="S13" s="39">
        <v>50</v>
      </c>
      <c r="T13" s="39">
        <v>60</v>
      </c>
      <c r="U13" s="39">
        <v>70</v>
      </c>
      <c r="V13" s="39">
        <v>80</v>
      </c>
      <c r="W13" s="39">
        <v>90</v>
      </c>
      <c r="X13" s="39">
        <v>100</v>
      </c>
      <c r="Y13" s="39">
        <v>110</v>
      </c>
      <c r="Z13" s="46">
        <v>1</v>
      </c>
    </row>
    <row r="14" spans="1:26">
      <c r="A14" s="7" t="s">
        <v>32</v>
      </c>
      <c r="B14" s="7" t="s">
        <v>5</v>
      </c>
      <c r="C14" s="3" t="s">
        <v>49</v>
      </c>
      <c r="D14" s="28">
        <v>267012</v>
      </c>
      <c r="E14" s="15" t="s">
        <v>34</v>
      </c>
      <c r="F14" s="2">
        <f t="shared" si="0"/>
        <v>1</v>
      </c>
      <c r="G14" s="3">
        <v>3663602816638</v>
      </c>
      <c r="H14" s="2" t="s">
        <v>50</v>
      </c>
      <c r="I14" s="10">
        <v>2</v>
      </c>
      <c r="J14" s="8">
        <v>1</v>
      </c>
      <c r="K14" s="32">
        <v>1045.8663768115937</v>
      </c>
      <c r="L14" s="8">
        <v>0.21</v>
      </c>
      <c r="M14" s="20">
        <v>1.51</v>
      </c>
      <c r="N14" s="14">
        <v>15</v>
      </c>
      <c r="O14" s="10">
        <v>2</v>
      </c>
      <c r="P14" s="10">
        <v>4</v>
      </c>
      <c r="Q14" s="10">
        <v>6</v>
      </c>
      <c r="R14" s="10">
        <v>8</v>
      </c>
      <c r="S14" s="10">
        <v>10</v>
      </c>
      <c r="T14" s="10">
        <v>12</v>
      </c>
      <c r="U14" s="10">
        <v>14</v>
      </c>
      <c r="V14" s="10">
        <v>16</v>
      </c>
      <c r="W14" s="10">
        <v>18</v>
      </c>
      <c r="X14" s="10">
        <v>20</v>
      </c>
      <c r="Y14" s="10">
        <v>22</v>
      </c>
    </row>
    <row r="15" spans="1:26">
      <c r="A15" s="7" t="s">
        <v>32</v>
      </c>
      <c r="B15" s="7" t="s">
        <v>5</v>
      </c>
      <c r="C15" s="3" t="s">
        <v>49</v>
      </c>
      <c r="D15" s="28">
        <v>200417</v>
      </c>
      <c r="E15" s="15" t="s">
        <v>34</v>
      </c>
      <c r="F15" s="2">
        <f t="shared" si="0"/>
        <v>1</v>
      </c>
      <c r="G15" s="3">
        <v>5059340095189</v>
      </c>
      <c r="H15" s="2" t="s">
        <v>51</v>
      </c>
      <c r="I15" s="10">
        <v>25</v>
      </c>
      <c r="J15" s="8">
        <v>1</v>
      </c>
      <c r="K15" s="32">
        <v>488.29992698598153</v>
      </c>
      <c r="L15" s="8">
        <v>0.57999999999999996</v>
      </c>
      <c r="M15" s="20">
        <v>1.48</v>
      </c>
      <c r="N15" s="14">
        <v>55</v>
      </c>
      <c r="O15" s="10">
        <v>9</v>
      </c>
      <c r="P15" s="10">
        <v>18</v>
      </c>
      <c r="Q15" s="10">
        <v>27</v>
      </c>
      <c r="R15" s="10">
        <v>36</v>
      </c>
      <c r="S15" s="10">
        <v>45</v>
      </c>
      <c r="T15" s="10">
        <v>54</v>
      </c>
      <c r="U15" s="10">
        <v>63</v>
      </c>
      <c r="V15" s="10">
        <v>72</v>
      </c>
      <c r="W15" s="10">
        <v>81</v>
      </c>
      <c r="X15" s="10">
        <v>90</v>
      </c>
      <c r="Y15" s="10">
        <v>99</v>
      </c>
    </row>
    <row r="16" spans="1:26">
      <c r="A16" s="7" t="s">
        <v>32</v>
      </c>
      <c r="B16" s="7" t="s">
        <v>5</v>
      </c>
      <c r="C16" s="3" t="s">
        <v>49</v>
      </c>
      <c r="D16" s="28">
        <v>284557</v>
      </c>
      <c r="E16" s="15" t="s">
        <v>52</v>
      </c>
      <c r="F16" s="2">
        <f t="shared" si="0"/>
        <v>1</v>
      </c>
      <c r="G16" s="3">
        <v>3663602576174</v>
      </c>
      <c r="H16" s="2" t="s">
        <v>53</v>
      </c>
      <c r="I16" s="10">
        <v>48</v>
      </c>
      <c r="J16" s="8">
        <v>1</v>
      </c>
      <c r="K16" s="32">
        <v>398.90313113215603</v>
      </c>
      <c r="L16" s="8">
        <v>0.34</v>
      </c>
      <c r="M16" s="20">
        <v>1.27</v>
      </c>
      <c r="N16" s="14">
        <v>140</v>
      </c>
      <c r="O16" s="10">
        <v>23</v>
      </c>
      <c r="P16" s="10">
        <v>46</v>
      </c>
      <c r="Q16" s="10">
        <v>69</v>
      </c>
      <c r="R16" s="10">
        <v>92</v>
      </c>
      <c r="S16" s="10">
        <v>115</v>
      </c>
      <c r="T16" s="10">
        <v>138</v>
      </c>
      <c r="U16" s="10">
        <v>161</v>
      </c>
      <c r="V16" s="10">
        <v>184</v>
      </c>
      <c r="W16" s="10">
        <v>207</v>
      </c>
      <c r="X16" s="10">
        <v>230</v>
      </c>
      <c r="Y16" s="10">
        <v>253</v>
      </c>
    </row>
    <row r="17" spans="1:25">
      <c r="A17" s="7" t="s">
        <v>32</v>
      </c>
      <c r="B17" s="7" t="s">
        <v>5</v>
      </c>
      <c r="C17" s="3" t="s">
        <v>49</v>
      </c>
      <c r="D17" s="28">
        <v>284558</v>
      </c>
      <c r="E17" s="15" t="s">
        <v>34</v>
      </c>
      <c r="F17" s="2">
        <f t="shared" si="0"/>
        <v>1</v>
      </c>
      <c r="G17" s="3">
        <v>3663602576181</v>
      </c>
      <c r="H17" s="2" t="s">
        <v>54</v>
      </c>
      <c r="I17" s="10">
        <v>15</v>
      </c>
      <c r="J17" s="8">
        <v>1</v>
      </c>
      <c r="K17" s="32">
        <v>290.0275904353158</v>
      </c>
      <c r="L17" s="8">
        <v>0.41</v>
      </c>
      <c r="M17" s="20">
        <v>0.57999999999999996</v>
      </c>
      <c r="N17" s="14">
        <v>30</v>
      </c>
      <c r="O17" s="10">
        <v>5</v>
      </c>
      <c r="P17" s="10">
        <v>10</v>
      </c>
      <c r="Q17" s="10">
        <v>15</v>
      </c>
      <c r="R17" s="10">
        <v>20</v>
      </c>
      <c r="S17" s="10">
        <v>25</v>
      </c>
      <c r="T17" s="10">
        <v>30</v>
      </c>
      <c r="U17" s="10">
        <v>35</v>
      </c>
      <c r="V17" s="10">
        <v>40</v>
      </c>
      <c r="W17" s="10">
        <v>45</v>
      </c>
      <c r="X17" s="10">
        <v>50</v>
      </c>
      <c r="Y17" s="10">
        <v>55</v>
      </c>
    </row>
    <row r="18" spans="1:25">
      <c r="A18" s="7" t="s">
        <v>32</v>
      </c>
      <c r="B18" s="7" t="s">
        <v>5</v>
      </c>
      <c r="C18" s="3" t="s">
        <v>49</v>
      </c>
      <c r="D18" s="28">
        <v>284560</v>
      </c>
      <c r="E18" s="15" t="s">
        <v>34</v>
      </c>
      <c r="F18" s="2">
        <f t="shared" si="0"/>
        <v>1</v>
      </c>
      <c r="G18" s="3">
        <v>3663602576204</v>
      </c>
      <c r="H18" s="2" t="s">
        <v>55</v>
      </c>
      <c r="I18" s="10">
        <v>25</v>
      </c>
      <c r="J18" s="8">
        <v>1</v>
      </c>
      <c r="K18" s="32">
        <v>235.03372031662261</v>
      </c>
      <c r="L18" s="8">
        <v>0.46</v>
      </c>
      <c r="M18" s="20">
        <v>0.64</v>
      </c>
      <c r="N18" s="14">
        <v>30</v>
      </c>
      <c r="O18" s="10">
        <v>5</v>
      </c>
      <c r="P18" s="10">
        <v>10</v>
      </c>
      <c r="Q18" s="10">
        <v>15</v>
      </c>
      <c r="R18" s="10">
        <v>20</v>
      </c>
      <c r="S18" s="10">
        <v>25</v>
      </c>
      <c r="T18" s="10">
        <v>30</v>
      </c>
      <c r="U18" s="10">
        <v>35</v>
      </c>
      <c r="V18" s="10">
        <v>40</v>
      </c>
      <c r="W18" s="10">
        <v>45</v>
      </c>
      <c r="X18" s="10">
        <v>50</v>
      </c>
      <c r="Y18" s="10">
        <v>55</v>
      </c>
    </row>
    <row r="19" spans="1:25">
      <c r="A19" s="7" t="s">
        <v>32</v>
      </c>
      <c r="B19" s="7" t="s">
        <v>5</v>
      </c>
      <c r="C19" s="3" t="s">
        <v>49</v>
      </c>
      <c r="D19" s="28">
        <v>201149</v>
      </c>
      <c r="E19" s="15" t="s">
        <v>34</v>
      </c>
      <c r="F19" s="2">
        <f t="shared" si="0"/>
        <v>1</v>
      </c>
      <c r="G19" s="3">
        <v>5059340046419</v>
      </c>
      <c r="H19" s="2" t="s">
        <v>56</v>
      </c>
      <c r="I19" s="10">
        <v>8</v>
      </c>
      <c r="J19" s="8">
        <v>1</v>
      </c>
      <c r="K19" s="32">
        <v>148.45714285714291</v>
      </c>
      <c r="L19" s="8">
        <v>0.28999999999999998</v>
      </c>
      <c r="M19" s="20">
        <v>2.94</v>
      </c>
      <c r="N19" s="14">
        <v>15</v>
      </c>
      <c r="O19" s="10">
        <v>2</v>
      </c>
      <c r="P19" s="10">
        <v>4</v>
      </c>
      <c r="Q19" s="10">
        <v>6</v>
      </c>
      <c r="R19" s="10">
        <v>8</v>
      </c>
      <c r="S19" s="10">
        <v>10</v>
      </c>
      <c r="T19" s="10">
        <v>12</v>
      </c>
      <c r="U19" s="10">
        <v>14</v>
      </c>
      <c r="V19" s="10">
        <v>16</v>
      </c>
      <c r="W19" s="10">
        <v>18</v>
      </c>
      <c r="X19" s="10">
        <v>20</v>
      </c>
      <c r="Y19" s="10">
        <v>22</v>
      </c>
    </row>
    <row r="20" spans="1:25">
      <c r="A20" s="7" t="s">
        <v>32</v>
      </c>
      <c r="B20" s="7" t="s">
        <v>5</v>
      </c>
      <c r="C20" s="3" t="s">
        <v>49</v>
      </c>
      <c r="D20" s="28">
        <v>282372</v>
      </c>
      <c r="E20" s="15" t="s">
        <v>34</v>
      </c>
      <c r="F20" s="2">
        <f t="shared" si="0"/>
        <v>1</v>
      </c>
      <c r="G20" s="3">
        <v>3663602547730</v>
      </c>
      <c r="H20" s="2" t="s">
        <v>57</v>
      </c>
      <c r="I20" s="10">
        <v>18</v>
      </c>
      <c r="J20" s="8">
        <v>1</v>
      </c>
      <c r="K20" s="32">
        <v>435.46625</v>
      </c>
      <c r="L20" s="8">
        <v>0.36</v>
      </c>
      <c r="M20" s="20">
        <v>17.739999999999998</v>
      </c>
      <c r="N20" s="14">
        <v>40</v>
      </c>
      <c r="O20" s="10">
        <v>7</v>
      </c>
      <c r="P20" s="10">
        <v>14</v>
      </c>
      <c r="Q20" s="10">
        <v>21</v>
      </c>
      <c r="R20" s="10">
        <v>28</v>
      </c>
      <c r="S20" s="10">
        <v>35</v>
      </c>
      <c r="T20" s="10">
        <v>42</v>
      </c>
      <c r="U20" s="10">
        <v>49</v>
      </c>
      <c r="V20" s="10">
        <v>56</v>
      </c>
      <c r="W20" s="10">
        <v>63</v>
      </c>
      <c r="X20" s="10">
        <v>70</v>
      </c>
      <c r="Y20" s="10">
        <v>77</v>
      </c>
    </row>
    <row r="21" spans="1:25">
      <c r="A21" s="7" t="s">
        <v>32</v>
      </c>
      <c r="B21" s="7" t="s">
        <v>5</v>
      </c>
      <c r="C21" s="3" t="s">
        <v>49</v>
      </c>
      <c r="D21" s="28">
        <v>200564</v>
      </c>
      <c r="E21" s="15" t="s">
        <v>34</v>
      </c>
      <c r="F21" s="2">
        <f t="shared" si="0"/>
        <v>1</v>
      </c>
      <c r="G21" s="3">
        <v>5059340086446</v>
      </c>
      <c r="H21" s="2" t="s">
        <v>58</v>
      </c>
      <c r="I21" s="10">
        <v>4</v>
      </c>
      <c r="J21" s="8">
        <v>1</v>
      </c>
      <c r="K21" s="32">
        <v>194.47274611398902</v>
      </c>
      <c r="L21" s="8">
        <v>0.15</v>
      </c>
      <c r="M21" s="20">
        <v>1.88</v>
      </c>
      <c r="N21" s="14">
        <v>14</v>
      </c>
      <c r="O21" s="10">
        <v>2</v>
      </c>
      <c r="P21" s="10">
        <v>4</v>
      </c>
      <c r="Q21" s="10">
        <v>6</v>
      </c>
      <c r="R21" s="10">
        <v>8</v>
      </c>
      <c r="S21" s="10">
        <v>10</v>
      </c>
      <c r="T21" s="10">
        <v>12</v>
      </c>
      <c r="U21" s="10">
        <v>14</v>
      </c>
      <c r="V21" s="10">
        <v>16</v>
      </c>
      <c r="W21" s="10">
        <v>18</v>
      </c>
      <c r="X21" s="10">
        <v>20</v>
      </c>
      <c r="Y21" s="10">
        <v>22</v>
      </c>
    </row>
    <row r="22" spans="1:25">
      <c r="A22" s="7" t="s">
        <v>32</v>
      </c>
      <c r="B22" s="7" t="s">
        <v>5</v>
      </c>
      <c r="C22" s="3" t="s">
        <v>49</v>
      </c>
      <c r="D22" s="28">
        <v>200565</v>
      </c>
      <c r="E22" s="15" t="s">
        <v>34</v>
      </c>
      <c r="F22" s="2">
        <f t="shared" si="0"/>
        <v>1</v>
      </c>
      <c r="G22" s="3">
        <v>5059340086125</v>
      </c>
      <c r="H22" s="2" t="s">
        <v>59</v>
      </c>
      <c r="I22" s="10">
        <v>5</v>
      </c>
      <c r="J22" s="8">
        <v>1</v>
      </c>
      <c r="K22" s="32">
        <v>293</v>
      </c>
      <c r="L22" s="8">
        <v>0.48</v>
      </c>
      <c r="M22" s="20">
        <v>3.36</v>
      </c>
      <c r="N22" s="14">
        <v>10</v>
      </c>
      <c r="O22" s="10">
        <v>2</v>
      </c>
      <c r="P22" s="10">
        <v>4</v>
      </c>
      <c r="Q22" s="10">
        <v>6</v>
      </c>
      <c r="R22" s="10">
        <v>8</v>
      </c>
      <c r="S22" s="10">
        <v>10</v>
      </c>
      <c r="T22" s="10">
        <v>12</v>
      </c>
      <c r="U22" s="10">
        <v>14</v>
      </c>
      <c r="V22" s="10">
        <v>16</v>
      </c>
      <c r="W22" s="10">
        <v>18</v>
      </c>
      <c r="X22" s="10">
        <v>20</v>
      </c>
      <c r="Y22" s="10">
        <v>22</v>
      </c>
    </row>
    <row r="23" spans="1:25">
      <c r="A23" s="7" t="s">
        <v>32</v>
      </c>
      <c r="B23" s="7" t="s">
        <v>5</v>
      </c>
      <c r="C23" s="3" t="s">
        <v>49</v>
      </c>
      <c r="D23" s="28">
        <v>200577</v>
      </c>
      <c r="E23" s="15" t="s">
        <v>34</v>
      </c>
      <c r="F23" s="2">
        <f t="shared" si="0"/>
        <v>1</v>
      </c>
      <c r="G23" s="3">
        <v>5059340086903</v>
      </c>
      <c r="H23" s="2" t="s">
        <v>60</v>
      </c>
      <c r="I23" s="10">
        <v>5</v>
      </c>
      <c r="J23" s="8">
        <v>1</v>
      </c>
      <c r="K23" s="32">
        <v>384.65000000000003</v>
      </c>
      <c r="L23" s="8">
        <v>0.52</v>
      </c>
      <c r="M23" s="20">
        <v>3.28</v>
      </c>
      <c r="N23" s="14">
        <v>14</v>
      </c>
      <c r="O23" s="10">
        <v>2</v>
      </c>
      <c r="P23" s="10">
        <v>4</v>
      </c>
      <c r="Q23" s="10">
        <v>6</v>
      </c>
      <c r="R23" s="10">
        <v>8</v>
      </c>
      <c r="S23" s="10">
        <v>10</v>
      </c>
      <c r="T23" s="10">
        <v>12</v>
      </c>
      <c r="U23" s="10">
        <v>14</v>
      </c>
      <c r="V23" s="10">
        <v>16</v>
      </c>
      <c r="W23" s="10">
        <v>18</v>
      </c>
      <c r="X23" s="10">
        <v>20</v>
      </c>
      <c r="Y23" s="10">
        <v>22</v>
      </c>
    </row>
    <row r="24" spans="1:25">
      <c r="A24" s="7" t="s">
        <v>32</v>
      </c>
      <c r="B24" s="7" t="s">
        <v>5</v>
      </c>
      <c r="C24" s="3" t="s">
        <v>49</v>
      </c>
      <c r="D24" s="28">
        <v>200585</v>
      </c>
      <c r="E24" s="15" t="s">
        <v>34</v>
      </c>
      <c r="F24" s="2">
        <f t="shared" si="0"/>
        <v>1</v>
      </c>
      <c r="G24" s="3">
        <v>5059340086569</v>
      </c>
      <c r="H24" s="2" t="s">
        <v>61</v>
      </c>
      <c r="I24" s="10">
        <v>5</v>
      </c>
      <c r="J24" s="8">
        <v>1</v>
      </c>
      <c r="K24" s="32">
        <v>322.13647058823483</v>
      </c>
      <c r="L24" s="8">
        <v>0.61</v>
      </c>
      <c r="M24" s="20">
        <v>2.97</v>
      </c>
      <c r="N24" s="14">
        <v>12</v>
      </c>
      <c r="O24" s="10">
        <v>2</v>
      </c>
      <c r="P24" s="10">
        <v>4</v>
      </c>
      <c r="Q24" s="10">
        <v>6</v>
      </c>
      <c r="R24" s="10">
        <v>8</v>
      </c>
      <c r="S24" s="10">
        <v>10</v>
      </c>
      <c r="T24" s="10">
        <v>12</v>
      </c>
      <c r="U24" s="10">
        <v>14</v>
      </c>
      <c r="V24" s="10">
        <v>16</v>
      </c>
      <c r="W24" s="10">
        <v>18</v>
      </c>
      <c r="X24" s="10">
        <v>20</v>
      </c>
      <c r="Y24" s="10">
        <v>22</v>
      </c>
    </row>
    <row r="25" spans="1:25">
      <c r="A25" s="7" t="s">
        <v>32</v>
      </c>
      <c r="B25" s="7" t="s">
        <v>5</v>
      </c>
      <c r="C25" s="3" t="s">
        <v>49</v>
      </c>
      <c r="D25" s="28">
        <v>201127</v>
      </c>
      <c r="E25" s="15" t="s">
        <v>34</v>
      </c>
      <c r="F25" s="2">
        <f t="shared" si="0"/>
        <v>1</v>
      </c>
      <c r="G25" s="3">
        <v>5059340086187</v>
      </c>
      <c r="H25" s="2" t="s">
        <v>62</v>
      </c>
      <c r="I25" s="10">
        <v>12</v>
      </c>
      <c r="J25" s="8">
        <v>1</v>
      </c>
      <c r="K25" s="32">
        <v>339.71063829787249</v>
      </c>
      <c r="L25" s="8">
        <v>0.49</v>
      </c>
      <c r="M25" s="20">
        <v>3.77</v>
      </c>
      <c r="N25" s="14">
        <v>50</v>
      </c>
      <c r="O25" s="10">
        <v>8</v>
      </c>
      <c r="P25" s="10">
        <v>16</v>
      </c>
      <c r="Q25" s="10">
        <v>24</v>
      </c>
      <c r="R25" s="10">
        <v>32</v>
      </c>
      <c r="S25" s="10">
        <v>40</v>
      </c>
      <c r="T25" s="10">
        <v>48</v>
      </c>
      <c r="U25" s="10">
        <v>56</v>
      </c>
      <c r="V25" s="10">
        <v>64</v>
      </c>
      <c r="W25" s="10">
        <v>72</v>
      </c>
      <c r="X25" s="10">
        <v>80</v>
      </c>
      <c r="Y25" s="10">
        <v>88</v>
      </c>
    </row>
    <row r="26" spans="1:25">
      <c r="A26" s="7" t="s">
        <v>32</v>
      </c>
      <c r="B26" s="7" t="s">
        <v>5</v>
      </c>
      <c r="C26" s="3" t="s">
        <v>49</v>
      </c>
      <c r="D26" s="28">
        <v>201128</v>
      </c>
      <c r="E26" s="15" t="s">
        <v>34</v>
      </c>
      <c r="F26" s="2">
        <f t="shared" si="0"/>
        <v>1</v>
      </c>
      <c r="G26" s="3">
        <v>5059340086491</v>
      </c>
      <c r="H26" s="2" t="s">
        <v>63</v>
      </c>
      <c r="I26" s="10">
        <v>3</v>
      </c>
      <c r="J26" s="8">
        <v>1</v>
      </c>
      <c r="K26" s="32">
        <v>334.6048314606744</v>
      </c>
      <c r="L26" s="8">
        <v>0.36</v>
      </c>
      <c r="M26" s="20">
        <v>6.45</v>
      </c>
      <c r="N26" s="14">
        <v>12</v>
      </c>
      <c r="O26" s="10">
        <v>2</v>
      </c>
      <c r="P26" s="10">
        <v>4</v>
      </c>
      <c r="Q26" s="10">
        <v>6</v>
      </c>
      <c r="R26" s="10">
        <v>8</v>
      </c>
      <c r="S26" s="10">
        <v>10</v>
      </c>
      <c r="T26" s="10">
        <v>12</v>
      </c>
      <c r="U26" s="10">
        <v>14</v>
      </c>
      <c r="V26" s="10">
        <v>16</v>
      </c>
      <c r="W26" s="10">
        <v>18</v>
      </c>
      <c r="X26" s="10">
        <v>20</v>
      </c>
      <c r="Y26" s="10">
        <v>22</v>
      </c>
    </row>
    <row r="27" spans="1:25">
      <c r="A27" s="7" t="s">
        <v>32</v>
      </c>
      <c r="B27" s="7" t="s">
        <v>5</v>
      </c>
      <c r="C27" s="3" t="s">
        <v>49</v>
      </c>
      <c r="D27" s="28">
        <v>200613</v>
      </c>
      <c r="E27" s="15" t="s">
        <v>34</v>
      </c>
      <c r="F27" s="2">
        <f t="shared" si="0"/>
        <v>1</v>
      </c>
      <c r="G27" s="3">
        <v>5059340124278</v>
      </c>
      <c r="H27" s="2" t="s">
        <v>64</v>
      </c>
      <c r="I27" s="10">
        <v>1</v>
      </c>
      <c r="J27" s="8">
        <v>1</v>
      </c>
      <c r="K27" s="32">
        <v>1684.7368421052599</v>
      </c>
      <c r="L27" s="8">
        <v>0.23</v>
      </c>
      <c r="M27" s="20">
        <v>5.1100000000000003</v>
      </c>
      <c r="N27" s="14">
        <v>10</v>
      </c>
      <c r="O27" s="10">
        <v>2</v>
      </c>
      <c r="P27" s="10">
        <v>4</v>
      </c>
      <c r="Q27" s="10">
        <v>6</v>
      </c>
      <c r="R27" s="10">
        <v>8</v>
      </c>
      <c r="S27" s="10">
        <v>10</v>
      </c>
      <c r="T27" s="10">
        <v>12</v>
      </c>
      <c r="U27" s="10">
        <v>14</v>
      </c>
      <c r="V27" s="10">
        <v>16</v>
      </c>
      <c r="W27" s="10">
        <v>18</v>
      </c>
      <c r="X27" s="10">
        <v>20</v>
      </c>
      <c r="Y27" s="10">
        <v>22</v>
      </c>
    </row>
    <row r="28" spans="1:25">
      <c r="A28" s="7" t="s">
        <v>32</v>
      </c>
      <c r="B28" s="7" t="s">
        <v>5</v>
      </c>
      <c r="C28" s="3" t="s">
        <v>49</v>
      </c>
      <c r="D28" s="28">
        <v>200869</v>
      </c>
      <c r="E28" s="15" t="s">
        <v>34</v>
      </c>
      <c r="F28" s="2">
        <f t="shared" si="0"/>
        <v>1</v>
      </c>
      <c r="G28" s="3">
        <v>5059340143620</v>
      </c>
      <c r="H28" s="2" t="s">
        <v>65</v>
      </c>
      <c r="I28" s="10">
        <v>40</v>
      </c>
      <c r="J28" s="8">
        <v>1</v>
      </c>
      <c r="K28" s="32">
        <v>89</v>
      </c>
      <c r="L28" s="8">
        <v>0.43</v>
      </c>
      <c r="M28" s="20">
        <v>3.35</v>
      </c>
      <c r="N28" s="14">
        <v>10</v>
      </c>
      <c r="O28" s="10">
        <v>2</v>
      </c>
      <c r="P28" s="10">
        <v>4</v>
      </c>
      <c r="Q28" s="10">
        <v>6</v>
      </c>
      <c r="R28" s="10">
        <v>8</v>
      </c>
      <c r="S28" s="10">
        <v>10</v>
      </c>
      <c r="T28" s="10">
        <v>12</v>
      </c>
      <c r="U28" s="10">
        <v>14</v>
      </c>
      <c r="V28" s="10">
        <v>16</v>
      </c>
      <c r="W28" s="10">
        <v>18</v>
      </c>
      <c r="X28" s="10">
        <v>20</v>
      </c>
      <c r="Y28" s="10">
        <v>22</v>
      </c>
    </row>
    <row r="29" spans="1:25">
      <c r="A29" s="7" t="s">
        <v>32</v>
      </c>
      <c r="B29" s="7" t="s">
        <v>5</v>
      </c>
      <c r="C29" s="3" t="s">
        <v>49</v>
      </c>
      <c r="D29" s="28">
        <v>202021</v>
      </c>
      <c r="E29" s="15" t="s">
        <v>34</v>
      </c>
      <c r="F29" s="2">
        <f t="shared" si="0"/>
        <v>1</v>
      </c>
      <c r="G29" s="3">
        <v>5059340240183</v>
      </c>
      <c r="H29" s="2" t="s">
        <v>66</v>
      </c>
      <c r="I29" s="10">
        <v>2</v>
      </c>
      <c r="J29" s="8">
        <v>1</v>
      </c>
      <c r="K29" s="32">
        <v>447.8315789473686</v>
      </c>
      <c r="L29" s="8">
        <v>0.27</v>
      </c>
      <c r="M29" s="20">
        <v>5.26</v>
      </c>
      <c r="N29" s="14">
        <v>6</v>
      </c>
      <c r="O29" s="10">
        <v>1</v>
      </c>
      <c r="P29" s="10">
        <v>2</v>
      </c>
      <c r="Q29" s="10">
        <v>3</v>
      </c>
      <c r="R29" s="10">
        <v>4</v>
      </c>
      <c r="S29" s="10">
        <v>5</v>
      </c>
      <c r="T29" s="10">
        <v>6</v>
      </c>
      <c r="U29" s="10">
        <v>7</v>
      </c>
      <c r="V29" s="10">
        <v>8</v>
      </c>
      <c r="W29" s="10">
        <v>9</v>
      </c>
      <c r="X29" s="10">
        <v>10</v>
      </c>
      <c r="Y29" s="10">
        <v>11</v>
      </c>
    </row>
    <row r="30" spans="1:25">
      <c r="A30" s="7" t="s">
        <v>32</v>
      </c>
      <c r="B30" s="7" t="s">
        <v>5</v>
      </c>
      <c r="C30" s="3" t="s">
        <v>49</v>
      </c>
      <c r="D30" s="28">
        <v>202694</v>
      </c>
      <c r="E30" s="15" t="s">
        <v>34</v>
      </c>
      <c r="F30" s="2">
        <f t="shared" si="0"/>
        <v>1</v>
      </c>
      <c r="G30" s="3">
        <v>5059340240268</v>
      </c>
      <c r="H30" s="2" t="s">
        <v>67</v>
      </c>
      <c r="I30" s="10" t="s">
        <v>36</v>
      </c>
      <c r="J30" s="8">
        <v>1</v>
      </c>
      <c r="K30" s="32"/>
      <c r="L30" s="8"/>
      <c r="M30" s="20" t="s">
        <v>36</v>
      </c>
      <c r="N30" s="14">
        <v>6</v>
      </c>
      <c r="O30" s="10">
        <v>1</v>
      </c>
      <c r="P30" s="10">
        <v>2</v>
      </c>
      <c r="Q30" s="10">
        <v>3</v>
      </c>
      <c r="R30" s="10">
        <v>4</v>
      </c>
      <c r="S30" s="10">
        <v>5</v>
      </c>
      <c r="T30" s="10">
        <v>6</v>
      </c>
      <c r="U30" s="10">
        <v>7</v>
      </c>
      <c r="V30" s="10">
        <v>8</v>
      </c>
      <c r="W30" s="10">
        <v>9</v>
      </c>
      <c r="X30" s="10">
        <v>10</v>
      </c>
      <c r="Y30" s="10">
        <v>11</v>
      </c>
    </row>
    <row r="31" spans="1:25">
      <c r="A31" s="7" t="s">
        <v>32</v>
      </c>
      <c r="B31" s="7" t="s">
        <v>5</v>
      </c>
      <c r="C31" s="3" t="s">
        <v>49</v>
      </c>
      <c r="D31" s="28">
        <v>251328</v>
      </c>
      <c r="E31" s="15" t="s">
        <v>34</v>
      </c>
      <c r="F31" s="2">
        <f t="shared" si="0"/>
        <v>1</v>
      </c>
      <c r="G31" s="3">
        <v>3663602418269</v>
      </c>
      <c r="H31" s="2" t="s">
        <v>68</v>
      </c>
      <c r="I31" s="10">
        <v>1</v>
      </c>
      <c r="J31" s="8">
        <v>1</v>
      </c>
      <c r="K31" s="32">
        <v>690</v>
      </c>
      <c r="L31" s="8">
        <v>0.13</v>
      </c>
      <c r="M31" s="20">
        <v>17.93</v>
      </c>
      <c r="N31" s="14">
        <v>6</v>
      </c>
      <c r="O31" s="10">
        <v>1</v>
      </c>
      <c r="P31" s="10">
        <v>2</v>
      </c>
      <c r="Q31" s="10">
        <v>3</v>
      </c>
      <c r="R31" s="10">
        <v>4</v>
      </c>
      <c r="S31" s="10">
        <v>5</v>
      </c>
      <c r="T31" s="10">
        <v>6</v>
      </c>
      <c r="U31" s="10">
        <v>7</v>
      </c>
      <c r="V31" s="10">
        <v>8</v>
      </c>
      <c r="W31" s="10">
        <v>9</v>
      </c>
      <c r="X31" s="10">
        <v>10</v>
      </c>
      <c r="Y31" s="10">
        <v>11</v>
      </c>
    </row>
    <row r="32" spans="1:25">
      <c r="A32" s="7" t="s">
        <v>32</v>
      </c>
      <c r="B32" s="7" t="s">
        <v>5</v>
      </c>
      <c r="C32" s="3" t="s">
        <v>49</v>
      </c>
      <c r="D32" s="28">
        <v>201910</v>
      </c>
      <c r="E32" s="15" t="s">
        <v>34</v>
      </c>
      <c r="F32" s="2">
        <f t="shared" si="0"/>
        <v>1</v>
      </c>
      <c r="G32" s="3">
        <v>5059340254555</v>
      </c>
      <c r="H32" s="2" t="s">
        <v>69</v>
      </c>
      <c r="I32" s="10">
        <v>1</v>
      </c>
      <c r="J32" s="8">
        <v>1</v>
      </c>
      <c r="K32" s="32">
        <v>1375.886462882097</v>
      </c>
      <c r="L32" s="8">
        <v>0.09</v>
      </c>
      <c r="M32" s="20">
        <v>5.52</v>
      </c>
      <c r="N32" s="14">
        <v>30</v>
      </c>
      <c r="O32" s="10">
        <v>5</v>
      </c>
      <c r="P32" s="10">
        <v>10</v>
      </c>
      <c r="Q32" s="10">
        <v>15</v>
      </c>
      <c r="R32" s="10">
        <v>20</v>
      </c>
      <c r="S32" s="10">
        <v>25</v>
      </c>
      <c r="T32" s="10">
        <v>30</v>
      </c>
      <c r="U32" s="10">
        <v>35</v>
      </c>
      <c r="V32" s="10">
        <v>40</v>
      </c>
      <c r="W32" s="10">
        <v>45</v>
      </c>
      <c r="X32" s="10">
        <v>50</v>
      </c>
      <c r="Y32" s="10">
        <v>55</v>
      </c>
    </row>
    <row r="33" spans="1:25">
      <c r="A33" s="7" t="s">
        <v>32</v>
      </c>
      <c r="B33" s="7" t="s">
        <v>5</v>
      </c>
      <c r="C33" s="3" t="s">
        <v>49</v>
      </c>
      <c r="D33" s="28">
        <v>202620</v>
      </c>
      <c r="E33" s="15" t="s">
        <v>34</v>
      </c>
      <c r="F33" s="2">
        <f t="shared" si="0"/>
        <v>1</v>
      </c>
      <c r="G33" s="3">
        <v>4054278874579</v>
      </c>
      <c r="H33" s="2" t="s">
        <v>70</v>
      </c>
      <c r="I33" s="10">
        <v>1</v>
      </c>
      <c r="J33" s="8">
        <v>1</v>
      </c>
      <c r="K33" s="32">
        <v>972.57185886402749</v>
      </c>
      <c r="L33" s="8">
        <v>-0.05</v>
      </c>
      <c r="M33" s="20">
        <v>2.06</v>
      </c>
      <c r="N33" s="14">
        <v>15</v>
      </c>
      <c r="O33" s="10">
        <v>2</v>
      </c>
      <c r="P33" s="10">
        <v>4</v>
      </c>
      <c r="Q33" s="10">
        <v>6</v>
      </c>
      <c r="R33" s="10">
        <v>8</v>
      </c>
      <c r="S33" s="10">
        <v>10</v>
      </c>
      <c r="T33" s="10">
        <v>12</v>
      </c>
      <c r="U33" s="10">
        <v>14</v>
      </c>
      <c r="V33" s="10">
        <v>16</v>
      </c>
      <c r="W33" s="10">
        <v>18</v>
      </c>
      <c r="X33" s="10">
        <v>20</v>
      </c>
      <c r="Y33" s="10">
        <v>22</v>
      </c>
    </row>
    <row r="34" spans="1:25">
      <c r="A34" s="7" t="s">
        <v>32</v>
      </c>
      <c r="B34" s="7" t="s">
        <v>5</v>
      </c>
      <c r="C34" s="3" t="s">
        <v>49</v>
      </c>
      <c r="D34" s="28">
        <v>201922</v>
      </c>
      <c r="E34" s="15" t="s">
        <v>34</v>
      </c>
      <c r="F34" s="2">
        <f t="shared" si="0"/>
        <v>1</v>
      </c>
      <c r="G34" s="3">
        <v>5059340106304</v>
      </c>
      <c r="H34" s="2" t="s">
        <v>71</v>
      </c>
      <c r="I34" s="10">
        <v>540</v>
      </c>
      <c r="J34" s="8">
        <v>1</v>
      </c>
      <c r="K34" s="32">
        <v>247.45436946902652</v>
      </c>
      <c r="L34" s="8">
        <v>0.64</v>
      </c>
      <c r="M34" s="20">
        <v>4.76</v>
      </c>
      <c r="N34" s="14">
        <v>25</v>
      </c>
      <c r="O34" s="10">
        <v>4</v>
      </c>
      <c r="P34" s="10">
        <v>8</v>
      </c>
      <c r="Q34" s="10">
        <v>12</v>
      </c>
      <c r="R34" s="10">
        <v>16</v>
      </c>
      <c r="S34" s="10">
        <v>20</v>
      </c>
      <c r="T34" s="10">
        <v>24</v>
      </c>
      <c r="U34" s="10">
        <v>28</v>
      </c>
      <c r="V34" s="10">
        <v>32</v>
      </c>
      <c r="W34" s="10">
        <v>36</v>
      </c>
      <c r="X34" s="10">
        <v>40</v>
      </c>
      <c r="Y34" s="10">
        <v>44</v>
      </c>
    </row>
    <row r="35" spans="1:25">
      <c r="A35" s="7" t="s">
        <v>32</v>
      </c>
      <c r="B35" s="7" t="s">
        <v>5</v>
      </c>
      <c r="C35" s="3" t="s">
        <v>49</v>
      </c>
      <c r="D35" s="28">
        <v>201924</v>
      </c>
      <c r="E35" s="15" t="s">
        <v>34</v>
      </c>
      <c r="F35" s="2">
        <f t="shared" si="0"/>
        <v>1</v>
      </c>
      <c r="G35" s="3">
        <v>5059340106335</v>
      </c>
      <c r="H35" s="2" t="s">
        <v>72</v>
      </c>
      <c r="I35" s="10">
        <v>216</v>
      </c>
      <c r="J35" s="8">
        <v>1</v>
      </c>
      <c r="K35" s="32">
        <v>129.9</v>
      </c>
      <c r="L35" s="8">
        <v>0.55000000000000004</v>
      </c>
      <c r="M35" s="20">
        <v>14.57</v>
      </c>
      <c r="N35" s="14">
        <v>10</v>
      </c>
      <c r="O35" s="10">
        <v>2</v>
      </c>
      <c r="P35" s="10">
        <v>4</v>
      </c>
      <c r="Q35" s="10">
        <v>6</v>
      </c>
      <c r="R35" s="10">
        <v>8</v>
      </c>
      <c r="S35" s="10">
        <v>10</v>
      </c>
      <c r="T35" s="10">
        <v>12</v>
      </c>
      <c r="U35" s="10">
        <v>14</v>
      </c>
      <c r="V35" s="10">
        <v>16</v>
      </c>
      <c r="W35" s="10">
        <v>18</v>
      </c>
      <c r="X35" s="10">
        <v>20</v>
      </c>
      <c r="Y35" s="10">
        <v>22</v>
      </c>
    </row>
    <row r="36" spans="1:25">
      <c r="A36" s="7" t="s">
        <v>32</v>
      </c>
      <c r="B36" s="7" t="s">
        <v>5</v>
      </c>
      <c r="C36" s="3" t="s">
        <v>49</v>
      </c>
      <c r="D36" s="28">
        <v>250593</v>
      </c>
      <c r="E36" s="15" t="s">
        <v>34</v>
      </c>
      <c r="F36" s="2">
        <f t="shared" si="0"/>
        <v>1</v>
      </c>
      <c r="G36" s="3">
        <v>4054278059396</v>
      </c>
      <c r="H36" s="2" t="s">
        <v>73</v>
      </c>
      <c r="I36" s="10">
        <v>1</v>
      </c>
      <c r="J36" s="8" t="s">
        <v>36</v>
      </c>
      <c r="K36" s="32">
        <v>359.14846153846139</v>
      </c>
      <c r="L36" s="8">
        <v>0.15</v>
      </c>
      <c r="M36" s="20">
        <v>2.1</v>
      </c>
      <c r="N36" s="14">
        <v>6</v>
      </c>
      <c r="O36" s="10">
        <v>1</v>
      </c>
      <c r="P36" s="10">
        <v>2</v>
      </c>
      <c r="Q36" s="10">
        <v>3</v>
      </c>
      <c r="R36" s="10">
        <v>4</v>
      </c>
      <c r="S36" s="10">
        <v>5</v>
      </c>
      <c r="T36" s="10">
        <v>6</v>
      </c>
      <c r="U36" s="10">
        <v>7</v>
      </c>
      <c r="V36" s="10">
        <v>8</v>
      </c>
      <c r="W36" s="10">
        <v>9</v>
      </c>
      <c r="X36" s="10">
        <v>10</v>
      </c>
      <c r="Y36" s="10">
        <v>11</v>
      </c>
    </row>
    <row r="37" spans="1:25">
      <c r="A37" s="7" t="s">
        <v>32</v>
      </c>
      <c r="B37" s="7" t="s">
        <v>5</v>
      </c>
      <c r="C37" s="3" t="s">
        <v>49</v>
      </c>
      <c r="D37" s="28">
        <v>201701</v>
      </c>
      <c r="E37" s="15" t="s">
        <v>34</v>
      </c>
      <c r="F37" s="2">
        <f t="shared" si="0"/>
        <v>1</v>
      </c>
      <c r="G37" s="3">
        <v>5059340250342</v>
      </c>
      <c r="H37" s="2" t="s">
        <v>74</v>
      </c>
      <c r="I37" s="10">
        <v>4</v>
      </c>
      <c r="J37" s="8">
        <v>1</v>
      </c>
      <c r="K37" s="32">
        <v>346.79999999999995</v>
      </c>
      <c r="L37" s="8">
        <v>0.2</v>
      </c>
      <c r="M37" s="20">
        <v>1.86</v>
      </c>
      <c r="N37" s="14">
        <v>12</v>
      </c>
      <c r="O37" s="10">
        <v>2</v>
      </c>
      <c r="P37" s="10">
        <v>4</v>
      </c>
      <c r="Q37" s="10">
        <v>6</v>
      </c>
      <c r="R37" s="10">
        <v>8</v>
      </c>
      <c r="S37" s="10">
        <v>10</v>
      </c>
      <c r="T37" s="10">
        <v>12</v>
      </c>
      <c r="U37" s="10">
        <v>14</v>
      </c>
      <c r="V37" s="10">
        <v>16</v>
      </c>
      <c r="W37" s="10">
        <v>18</v>
      </c>
      <c r="X37" s="10">
        <v>20</v>
      </c>
      <c r="Y37" s="10">
        <v>22</v>
      </c>
    </row>
    <row r="38" spans="1:25">
      <c r="A38" s="7" t="s">
        <v>32</v>
      </c>
      <c r="B38" s="7" t="s">
        <v>5</v>
      </c>
      <c r="C38" s="3" t="s">
        <v>49</v>
      </c>
      <c r="D38" s="28">
        <v>201432</v>
      </c>
      <c r="E38" s="15" t="s">
        <v>34</v>
      </c>
      <c r="F38" s="2">
        <f t="shared" si="0"/>
        <v>1</v>
      </c>
      <c r="G38" s="3">
        <v>5059340250410</v>
      </c>
      <c r="H38" s="2" t="s">
        <v>75</v>
      </c>
      <c r="I38" s="10">
        <v>4</v>
      </c>
      <c r="J38" s="8">
        <v>1</v>
      </c>
      <c r="K38" s="32">
        <v>723.38067226890803</v>
      </c>
      <c r="L38" s="8">
        <v>0.51</v>
      </c>
      <c r="M38" s="20">
        <v>2.58</v>
      </c>
      <c r="N38" s="14">
        <v>10</v>
      </c>
      <c r="O38" s="10">
        <v>2</v>
      </c>
      <c r="P38" s="10">
        <v>4</v>
      </c>
      <c r="Q38" s="10">
        <v>6</v>
      </c>
      <c r="R38" s="10">
        <v>8</v>
      </c>
      <c r="S38" s="10">
        <v>10</v>
      </c>
      <c r="T38" s="10">
        <v>12</v>
      </c>
      <c r="U38" s="10">
        <v>14</v>
      </c>
      <c r="V38" s="10">
        <v>16</v>
      </c>
      <c r="W38" s="10">
        <v>18</v>
      </c>
      <c r="X38" s="10">
        <v>20</v>
      </c>
      <c r="Y38" s="10">
        <v>22</v>
      </c>
    </row>
    <row r="39" spans="1:25">
      <c r="A39" s="7" t="s">
        <v>32</v>
      </c>
      <c r="B39" s="7" t="s">
        <v>5</v>
      </c>
      <c r="C39" s="3" t="s">
        <v>49</v>
      </c>
      <c r="D39" s="28">
        <v>251066</v>
      </c>
      <c r="E39" s="15" t="s">
        <v>34</v>
      </c>
      <c r="F39" s="2">
        <f t="shared" si="0"/>
        <v>1</v>
      </c>
      <c r="G39" s="3">
        <v>3663602940562</v>
      </c>
      <c r="H39" s="2" t="s">
        <v>76</v>
      </c>
      <c r="I39" s="10">
        <v>3</v>
      </c>
      <c r="J39" s="8">
        <v>1</v>
      </c>
      <c r="K39" s="32">
        <v>465.73593750000003</v>
      </c>
      <c r="L39" s="8">
        <v>0.11</v>
      </c>
      <c r="M39" s="20">
        <v>1.51</v>
      </c>
      <c r="N39" s="14">
        <v>18</v>
      </c>
      <c r="O39" s="10">
        <v>3</v>
      </c>
      <c r="P39" s="10">
        <v>6</v>
      </c>
      <c r="Q39" s="10">
        <v>9</v>
      </c>
      <c r="R39" s="10">
        <v>12</v>
      </c>
      <c r="S39" s="10">
        <v>15</v>
      </c>
      <c r="T39" s="10">
        <v>18</v>
      </c>
      <c r="U39" s="10">
        <v>21</v>
      </c>
      <c r="V39" s="10">
        <v>24</v>
      </c>
      <c r="W39" s="10">
        <v>27</v>
      </c>
      <c r="X39" s="10">
        <v>30</v>
      </c>
      <c r="Y39" s="10">
        <v>33</v>
      </c>
    </row>
    <row r="40" spans="1:25">
      <c r="A40" s="7" t="s">
        <v>32</v>
      </c>
      <c r="B40" s="7" t="s">
        <v>5</v>
      </c>
      <c r="C40" s="3" t="s">
        <v>77</v>
      </c>
      <c r="D40" s="28">
        <v>700393</v>
      </c>
      <c r="E40" s="15" t="s">
        <v>34</v>
      </c>
      <c r="F40" s="2">
        <f t="shared" ref="F40:F57" si="1">COUNTIF(D:D,D40)</f>
        <v>1</v>
      </c>
      <c r="G40" s="3">
        <v>3700101801069</v>
      </c>
      <c r="H40" s="2" t="s">
        <v>78</v>
      </c>
      <c r="I40" s="10">
        <v>15</v>
      </c>
      <c r="J40" s="8">
        <v>1</v>
      </c>
      <c r="K40" s="32">
        <v>655.22686822589708</v>
      </c>
      <c r="L40" s="8">
        <v>0.26</v>
      </c>
      <c r="M40" s="20">
        <v>4.8899999999999997</v>
      </c>
      <c r="N40" s="14">
        <v>30</v>
      </c>
      <c r="O40" s="10">
        <v>5</v>
      </c>
      <c r="P40" s="10">
        <v>10</v>
      </c>
      <c r="Q40" s="10">
        <v>15</v>
      </c>
      <c r="R40" s="10">
        <v>20</v>
      </c>
      <c r="S40" s="10">
        <v>25</v>
      </c>
      <c r="T40" s="10">
        <v>30</v>
      </c>
      <c r="U40" s="10">
        <v>35</v>
      </c>
      <c r="V40" s="10">
        <v>40</v>
      </c>
      <c r="W40" s="10">
        <v>45</v>
      </c>
      <c r="X40" s="10">
        <v>50</v>
      </c>
      <c r="Y40" s="10">
        <v>55</v>
      </c>
    </row>
    <row r="41" spans="1:25">
      <c r="A41" s="7" t="s">
        <v>32</v>
      </c>
      <c r="B41" s="7" t="s">
        <v>5</v>
      </c>
      <c r="C41" s="3" t="s">
        <v>77</v>
      </c>
      <c r="D41" s="28">
        <v>704307</v>
      </c>
      <c r="E41" s="15" t="s">
        <v>34</v>
      </c>
      <c r="F41" s="2">
        <f t="shared" si="1"/>
        <v>1</v>
      </c>
      <c r="G41" s="3">
        <v>3663602884330</v>
      </c>
      <c r="H41" s="2" t="s">
        <v>79</v>
      </c>
      <c r="I41" s="10">
        <v>9</v>
      </c>
      <c r="J41" s="8">
        <v>1</v>
      </c>
      <c r="K41" s="32">
        <v>617.22274229074799</v>
      </c>
      <c r="L41" s="8">
        <v>0.15</v>
      </c>
      <c r="M41" s="20">
        <v>2.82</v>
      </c>
      <c r="N41" s="14">
        <v>30</v>
      </c>
      <c r="O41" s="10">
        <v>5</v>
      </c>
      <c r="P41" s="10">
        <v>10</v>
      </c>
      <c r="Q41" s="10">
        <v>15</v>
      </c>
      <c r="R41" s="10">
        <v>20</v>
      </c>
      <c r="S41" s="10">
        <v>25</v>
      </c>
      <c r="T41" s="10">
        <v>30</v>
      </c>
      <c r="U41" s="10">
        <v>35</v>
      </c>
      <c r="V41" s="10">
        <v>40</v>
      </c>
      <c r="W41" s="10">
        <v>45</v>
      </c>
      <c r="X41" s="10">
        <v>50</v>
      </c>
      <c r="Y41" s="10">
        <v>55</v>
      </c>
    </row>
    <row r="42" spans="1:25">
      <c r="A42" s="7" t="s">
        <v>32</v>
      </c>
      <c r="B42" s="7" t="s">
        <v>5</v>
      </c>
      <c r="C42" s="3" t="s">
        <v>77</v>
      </c>
      <c r="D42" s="28">
        <v>704306</v>
      </c>
      <c r="E42" s="15" t="s">
        <v>34</v>
      </c>
      <c r="F42" s="2">
        <f t="shared" si="1"/>
        <v>1</v>
      </c>
      <c r="G42" s="3">
        <v>3663602884347</v>
      </c>
      <c r="H42" s="2" t="s">
        <v>80</v>
      </c>
      <c r="I42" s="10">
        <v>5</v>
      </c>
      <c r="J42" s="8">
        <v>1</v>
      </c>
      <c r="K42" s="32">
        <v>1019.8249427917621</v>
      </c>
      <c r="L42" s="8">
        <v>0.28999999999999998</v>
      </c>
      <c r="M42" s="20">
        <v>6.53</v>
      </c>
      <c r="N42" s="14">
        <v>30</v>
      </c>
      <c r="O42" s="10">
        <v>5</v>
      </c>
      <c r="P42" s="10">
        <v>10</v>
      </c>
      <c r="Q42" s="10">
        <v>15</v>
      </c>
      <c r="R42" s="10">
        <v>20</v>
      </c>
      <c r="S42" s="10">
        <v>25</v>
      </c>
      <c r="T42" s="10">
        <v>30</v>
      </c>
      <c r="U42" s="10">
        <v>35</v>
      </c>
      <c r="V42" s="10">
        <v>40</v>
      </c>
      <c r="W42" s="10">
        <v>45</v>
      </c>
      <c r="X42" s="10">
        <v>50</v>
      </c>
      <c r="Y42" s="10">
        <v>55</v>
      </c>
    </row>
    <row r="43" spans="1:25">
      <c r="A43" s="7" t="s">
        <v>32</v>
      </c>
      <c r="B43" s="7" t="s">
        <v>5</v>
      </c>
      <c r="C43" s="3" t="s">
        <v>77</v>
      </c>
      <c r="D43" s="48">
        <v>770634</v>
      </c>
      <c r="E43" s="15" t="s">
        <v>34</v>
      </c>
      <c r="F43" s="2">
        <f t="shared" si="1"/>
        <v>1</v>
      </c>
      <c r="G43" s="3">
        <v>3663602576303</v>
      </c>
      <c r="H43" s="2" t="s">
        <v>81</v>
      </c>
      <c r="I43" s="10">
        <v>28</v>
      </c>
      <c r="J43" s="8">
        <v>1</v>
      </c>
      <c r="K43" s="32">
        <v>724.68095599392996</v>
      </c>
      <c r="L43" s="8">
        <v>0.71</v>
      </c>
      <c r="M43" s="20">
        <v>5.65</v>
      </c>
      <c r="N43" s="14">
        <v>250</v>
      </c>
      <c r="O43" s="10">
        <v>42</v>
      </c>
      <c r="P43" s="10">
        <v>84</v>
      </c>
      <c r="Q43" s="10">
        <v>126</v>
      </c>
      <c r="R43" s="10">
        <v>168</v>
      </c>
      <c r="S43" s="10">
        <v>210</v>
      </c>
      <c r="T43" s="10">
        <v>252</v>
      </c>
      <c r="U43" s="10">
        <v>294</v>
      </c>
      <c r="V43" s="10">
        <v>336</v>
      </c>
      <c r="W43" s="10">
        <v>378</v>
      </c>
      <c r="X43" s="10">
        <v>420</v>
      </c>
      <c r="Y43" s="10">
        <v>462</v>
      </c>
    </row>
    <row r="44" spans="1:25">
      <c r="A44" s="7" t="s">
        <v>32</v>
      </c>
      <c r="B44" s="7" t="s">
        <v>5</v>
      </c>
      <c r="C44" s="3" t="s">
        <v>77</v>
      </c>
      <c r="D44" s="48">
        <v>770627</v>
      </c>
      <c r="E44" s="15" t="s">
        <v>34</v>
      </c>
      <c r="F44" s="2">
        <f t="shared" si="1"/>
        <v>1</v>
      </c>
      <c r="G44" s="3">
        <v>3663602564942</v>
      </c>
      <c r="H44" s="2" t="s">
        <v>82</v>
      </c>
      <c r="I44" s="10">
        <v>6</v>
      </c>
      <c r="J44" s="8">
        <v>1</v>
      </c>
      <c r="K44" s="32">
        <v>694.64934409686998</v>
      </c>
      <c r="L44" s="8">
        <v>0.56000000000000005</v>
      </c>
      <c r="M44" s="20">
        <v>11.69</v>
      </c>
      <c r="N44" s="14">
        <v>50</v>
      </c>
      <c r="O44" s="10">
        <v>8</v>
      </c>
      <c r="P44" s="10">
        <v>16</v>
      </c>
      <c r="Q44" s="10">
        <v>24</v>
      </c>
      <c r="R44" s="10">
        <v>32</v>
      </c>
      <c r="S44" s="10">
        <v>40</v>
      </c>
      <c r="T44" s="10">
        <v>48</v>
      </c>
      <c r="U44" s="10">
        <v>56</v>
      </c>
      <c r="V44" s="10">
        <v>64</v>
      </c>
      <c r="W44" s="10">
        <v>72</v>
      </c>
      <c r="X44" s="10">
        <v>80</v>
      </c>
      <c r="Y44" s="10">
        <v>88</v>
      </c>
    </row>
    <row r="45" spans="1:25">
      <c r="A45" s="7" t="s">
        <v>32</v>
      </c>
      <c r="B45" s="7" t="s">
        <v>5</v>
      </c>
      <c r="C45" s="3" t="s">
        <v>77</v>
      </c>
      <c r="D45" s="48">
        <v>770630</v>
      </c>
      <c r="E45" s="15" t="s">
        <v>34</v>
      </c>
      <c r="F45" s="2">
        <f t="shared" si="1"/>
        <v>1</v>
      </c>
      <c r="G45" s="3">
        <v>3663602564973</v>
      </c>
      <c r="H45" s="2" t="s">
        <v>83</v>
      </c>
      <c r="I45" s="10">
        <v>240</v>
      </c>
      <c r="J45" s="8">
        <v>1</v>
      </c>
      <c r="K45" s="32">
        <v>294.55641233766249</v>
      </c>
      <c r="L45" s="8">
        <v>0.49</v>
      </c>
      <c r="M45" s="20">
        <v>8.1999999999999993</v>
      </c>
      <c r="N45" s="14">
        <v>50</v>
      </c>
      <c r="O45" s="10">
        <v>8</v>
      </c>
      <c r="P45" s="10">
        <v>16</v>
      </c>
      <c r="Q45" s="10">
        <v>24</v>
      </c>
      <c r="R45" s="10">
        <v>32</v>
      </c>
      <c r="S45" s="10">
        <v>40</v>
      </c>
      <c r="T45" s="10">
        <v>48</v>
      </c>
      <c r="U45" s="10">
        <v>56</v>
      </c>
      <c r="V45" s="10">
        <v>64</v>
      </c>
      <c r="W45" s="10">
        <v>72</v>
      </c>
      <c r="X45" s="10">
        <v>80</v>
      </c>
      <c r="Y45" s="10">
        <v>88</v>
      </c>
    </row>
    <row r="46" spans="1:25">
      <c r="A46" s="7" t="s">
        <v>32</v>
      </c>
      <c r="B46" s="7" t="s">
        <v>5</v>
      </c>
      <c r="C46" s="3" t="s">
        <v>77</v>
      </c>
      <c r="D46" s="28">
        <v>700417</v>
      </c>
      <c r="E46" s="15" t="s">
        <v>34</v>
      </c>
      <c r="F46" s="2">
        <f t="shared" si="1"/>
        <v>1</v>
      </c>
      <c r="G46" s="3">
        <v>3549212478520</v>
      </c>
      <c r="H46" s="2" t="s">
        <v>84</v>
      </c>
      <c r="I46" s="10">
        <v>1</v>
      </c>
      <c r="J46" s="8">
        <v>1</v>
      </c>
      <c r="K46" s="32">
        <v>159.941391941392</v>
      </c>
      <c r="L46" s="8">
        <v>0.11</v>
      </c>
      <c r="M46" s="20">
        <v>3.3</v>
      </c>
      <c r="N46" s="14">
        <v>10</v>
      </c>
      <c r="O46" s="10">
        <v>2</v>
      </c>
      <c r="P46" s="10">
        <v>4</v>
      </c>
      <c r="Q46" s="10">
        <v>6</v>
      </c>
      <c r="R46" s="10">
        <v>8</v>
      </c>
      <c r="S46" s="10">
        <v>10</v>
      </c>
      <c r="T46" s="10">
        <v>12</v>
      </c>
      <c r="U46" s="10">
        <v>14</v>
      </c>
      <c r="V46" s="10">
        <v>16</v>
      </c>
      <c r="W46" s="10">
        <v>18</v>
      </c>
      <c r="X46" s="10">
        <v>20</v>
      </c>
      <c r="Y46" s="10">
        <v>22</v>
      </c>
    </row>
    <row r="47" spans="1:25">
      <c r="A47" s="7" t="s">
        <v>32</v>
      </c>
      <c r="B47" s="7" t="s">
        <v>5</v>
      </c>
      <c r="C47" s="3" t="s">
        <v>77</v>
      </c>
      <c r="D47" s="28">
        <v>700418</v>
      </c>
      <c r="E47" s="15" t="s">
        <v>34</v>
      </c>
      <c r="F47" s="2">
        <f t="shared" si="1"/>
        <v>1</v>
      </c>
      <c r="G47" s="3">
        <v>3549212478544</v>
      </c>
      <c r="H47" s="2" t="s">
        <v>85</v>
      </c>
      <c r="I47" s="10">
        <v>12</v>
      </c>
      <c r="J47" s="8">
        <v>1</v>
      </c>
      <c r="K47" s="32">
        <v>98.981700554528601</v>
      </c>
      <c r="L47" s="8">
        <v>0.62</v>
      </c>
      <c r="M47" s="20">
        <v>3.6</v>
      </c>
      <c r="N47" s="14">
        <v>10</v>
      </c>
      <c r="O47" s="10">
        <v>2</v>
      </c>
      <c r="P47" s="10">
        <v>4</v>
      </c>
      <c r="Q47" s="10">
        <v>6</v>
      </c>
      <c r="R47" s="10">
        <v>8</v>
      </c>
      <c r="S47" s="10">
        <v>10</v>
      </c>
      <c r="T47" s="10">
        <v>12</v>
      </c>
      <c r="U47" s="10">
        <v>14</v>
      </c>
      <c r="V47" s="10">
        <v>16</v>
      </c>
      <c r="W47" s="10">
        <v>18</v>
      </c>
      <c r="X47" s="10">
        <v>20</v>
      </c>
      <c r="Y47" s="10">
        <v>22</v>
      </c>
    </row>
    <row r="48" spans="1:25">
      <c r="A48" s="7" t="s">
        <v>32</v>
      </c>
      <c r="B48" s="7" t="s">
        <v>5</v>
      </c>
      <c r="C48" s="3" t="s">
        <v>77</v>
      </c>
      <c r="D48" s="28">
        <v>721720</v>
      </c>
      <c r="E48" s="15" t="s">
        <v>34</v>
      </c>
      <c r="F48" s="2">
        <f t="shared" si="1"/>
        <v>1</v>
      </c>
      <c r="G48" s="3">
        <v>3663602885320</v>
      </c>
      <c r="H48" s="2" t="s">
        <v>86</v>
      </c>
      <c r="I48" s="10">
        <v>20</v>
      </c>
      <c r="J48" s="8">
        <v>1</v>
      </c>
      <c r="K48" s="32">
        <v>43.193589480172498</v>
      </c>
      <c r="L48" s="8">
        <v>0.43</v>
      </c>
      <c r="M48" s="20">
        <v>1.95</v>
      </c>
      <c r="N48" s="14">
        <v>30</v>
      </c>
      <c r="O48" s="10">
        <v>5</v>
      </c>
      <c r="P48" s="10">
        <v>10</v>
      </c>
      <c r="Q48" s="10">
        <v>15</v>
      </c>
      <c r="R48" s="10">
        <v>20</v>
      </c>
      <c r="S48" s="10">
        <v>25</v>
      </c>
      <c r="T48" s="10">
        <v>30</v>
      </c>
      <c r="U48" s="10">
        <v>35</v>
      </c>
      <c r="V48" s="10">
        <v>40</v>
      </c>
      <c r="W48" s="10">
        <v>45</v>
      </c>
      <c r="X48" s="10">
        <v>50</v>
      </c>
      <c r="Y48" s="10">
        <v>55</v>
      </c>
    </row>
    <row r="49" spans="1:25">
      <c r="A49" s="7" t="s">
        <v>32</v>
      </c>
      <c r="B49" s="7" t="s">
        <v>5</v>
      </c>
      <c r="C49" s="3" t="s">
        <v>77</v>
      </c>
      <c r="D49" s="28">
        <v>721722</v>
      </c>
      <c r="E49" s="15" t="s">
        <v>34</v>
      </c>
      <c r="F49" s="2">
        <f t="shared" si="1"/>
        <v>1</v>
      </c>
      <c r="G49" s="3">
        <v>3663602885344</v>
      </c>
      <c r="H49" s="2" t="s">
        <v>87</v>
      </c>
      <c r="I49" s="10">
        <v>10</v>
      </c>
      <c r="J49" s="8">
        <v>1</v>
      </c>
      <c r="K49" s="32">
        <v>112.1643086816721</v>
      </c>
      <c r="L49" s="8">
        <v>0.57999999999999996</v>
      </c>
      <c r="M49" s="20">
        <v>2.6</v>
      </c>
      <c r="N49" s="14">
        <v>30</v>
      </c>
      <c r="O49" s="10">
        <v>5</v>
      </c>
      <c r="P49" s="10">
        <v>10</v>
      </c>
      <c r="Q49" s="10">
        <v>15</v>
      </c>
      <c r="R49" s="10">
        <v>20</v>
      </c>
      <c r="S49" s="10">
        <v>25</v>
      </c>
      <c r="T49" s="10">
        <v>30</v>
      </c>
      <c r="U49" s="10">
        <v>35</v>
      </c>
      <c r="V49" s="10">
        <v>40</v>
      </c>
      <c r="W49" s="10">
        <v>45</v>
      </c>
      <c r="X49" s="10">
        <v>50</v>
      </c>
      <c r="Y49" s="10">
        <v>55</v>
      </c>
    </row>
    <row r="50" spans="1:25">
      <c r="A50" s="7" t="s">
        <v>32</v>
      </c>
      <c r="B50" s="7" t="s">
        <v>5</v>
      </c>
      <c r="C50" s="3" t="s">
        <v>77</v>
      </c>
      <c r="D50" s="28">
        <v>721723</v>
      </c>
      <c r="E50" s="15" t="s">
        <v>34</v>
      </c>
      <c r="F50" s="2">
        <f t="shared" si="1"/>
        <v>1</v>
      </c>
      <c r="G50" s="3">
        <v>3663602883630</v>
      </c>
      <c r="H50" s="2" t="s">
        <v>88</v>
      </c>
      <c r="I50" s="10">
        <v>30</v>
      </c>
      <c r="J50" s="8">
        <v>1</v>
      </c>
      <c r="K50" s="32">
        <v>146.9655091917129</v>
      </c>
      <c r="L50" s="8">
        <v>0.71</v>
      </c>
      <c r="M50" s="20">
        <v>3.51</v>
      </c>
      <c r="N50" s="14">
        <v>30</v>
      </c>
      <c r="O50" s="10">
        <v>5</v>
      </c>
      <c r="P50" s="10">
        <v>10</v>
      </c>
      <c r="Q50" s="10">
        <v>15</v>
      </c>
      <c r="R50" s="10">
        <v>20</v>
      </c>
      <c r="S50" s="10">
        <v>25</v>
      </c>
      <c r="T50" s="10">
        <v>30</v>
      </c>
      <c r="U50" s="10">
        <v>35</v>
      </c>
      <c r="V50" s="10">
        <v>40</v>
      </c>
      <c r="W50" s="10">
        <v>45</v>
      </c>
      <c r="X50" s="10">
        <v>50</v>
      </c>
      <c r="Y50" s="10">
        <v>55</v>
      </c>
    </row>
    <row r="51" spans="1:25">
      <c r="A51" s="7" t="s">
        <v>32</v>
      </c>
      <c r="B51" s="7" t="s">
        <v>5</v>
      </c>
      <c r="C51" s="3" t="s">
        <v>77</v>
      </c>
      <c r="D51" s="28">
        <v>721724</v>
      </c>
      <c r="E51" s="15" t="s">
        <v>34</v>
      </c>
      <c r="F51" s="2">
        <f t="shared" si="1"/>
        <v>1</v>
      </c>
      <c r="G51" s="3">
        <v>3663602883647</v>
      </c>
      <c r="H51" s="2" t="s">
        <v>89</v>
      </c>
      <c r="I51" s="10">
        <v>30</v>
      </c>
      <c r="J51" s="8">
        <v>0.8</v>
      </c>
      <c r="K51" s="32">
        <v>146.97362214816718</v>
      </c>
      <c r="L51" s="8">
        <v>0.7</v>
      </c>
      <c r="M51" s="20">
        <v>3.66</v>
      </c>
      <c r="N51" s="14">
        <v>30</v>
      </c>
      <c r="O51" s="10">
        <v>5</v>
      </c>
      <c r="P51" s="10">
        <v>10</v>
      </c>
      <c r="Q51" s="10">
        <v>15</v>
      </c>
      <c r="R51" s="10">
        <v>20</v>
      </c>
      <c r="S51" s="10">
        <v>25</v>
      </c>
      <c r="T51" s="10">
        <v>30</v>
      </c>
      <c r="U51" s="10">
        <v>35</v>
      </c>
      <c r="V51" s="10">
        <v>40</v>
      </c>
      <c r="W51" s="10">
        <v>45</v>
      </c>
      <c r="X51" s="10">
        <v>50</v>
      </c>
      <c r="Y51" s="10">
        <v>55</v>
      </c>
    </row>
    <row r="52" spans="1:25">
      <c r="A52" s="7" t="s">
        <v>32</v>
      </c>
      <c r="B52" s="7" t="s">
        <v>5</v>
      </c>
      <c r="C52" s="3" t="s">
        <v>77</v>
      </c>
      <c r="D52" s="28">
        <v>721746</v>
      </c>
      <c r="E52" s="15" t="s">
        <v>34</v>
      </c>
      <c r="F52" s="2">
        <f t="shared" si="1"/>
        <v>1</v>
      </c>
      <c r="G52" s="3">
        <v>3663602885375</v>
      </c>
      <c r="H52" s="2" t="s">
        <v>90</v>
      </c>
      <c r="I52" s="10">
        <v>80</v>
      </c>
      <c r="J52" s="8">
        <v>1</v>
      </c>
      <c r="K52" s="32">
        <v>89.375506756756806</v>
      </c>
      <c r="L52" s="8">
        <v>0.62</v>
      </c>
      <c r="M52" s="20">
        <v>2.52</v>
      </c>
      <c r="N52" s="14">
        <v>30</v>
      </c>
      <c r="O52" s="10">
        <v>5</v>
      </c>
      <c r="P52" s="10">
        <v>10</v>
      </c>
      <c r="Q52" s="10">
        <v>15</v>
      </c>
      <c r="R52" s="10">
        <v>20</v>
      </c>
      <c r="S52" s="10">
        <v>25</v>
      </c>
      <c r="T52" s="10">
        <v>30</v>
      </c>
      <c r="U52" s="10">
        <v>35</v>
      </c>
      <c r="V52" s="10">
        <v>40</v>
      </c>
      <c r="W52" s="10">
        <v>45</v>
      </c>
      <c r="X52" s="10">
        <v>50</v>
      </c>
      <c r="Y52" s="10">
        <v>55</v>
      </c>
    </row>
    <row r="53" spans="1:25">
      <c r="A53" s="7" t="s">
        <v>32</v>
      </c>
      <c r="B53" s="7" t="s">
        <v>5</v>
      </c>
      <c r="C53" s="3" t="s">
        <v>77</v>
      </c>
      <c r="D53" s="28">
        <v>721747</v>
      </c>
      <c r="E53" s="15" t="s">
        <v>34</v>
      </c>
      <c r="F53" s="2">
        <f t="shared" si="1"/>
        <v>1</v>
      </c>
      <c r="G53" s="3">
        <v>3663602885382</v>
      </c>
      <c r="H53" s="2" t="s">
        <v>91</v>
      </c>
      <c r="I53" s="10">
        <v>80</v>
      </c>
      <c r="J53" s="8">
        <v>1</v>
      </c>
      <c r="K53" s="32">
        <v>89.395271739130493</v>
      </c>
      <c r="L53" s="8">
        <v>0.61</v>
      </c>
      <c r="M53" s="20">
        <v>3.87</v>
      </c>
      <c r="N53" s="14">
        <v>30</v>
      </c>
      <c r="O53" s="10">
        <v>5</v>
      </c>
      <c r="P53" s="10">
        <v>10</v>
      </c>
      <c r="Q53" s="10">
        <v>15</v>
      </c>
      <c r="R53" s="10">
        <v>20</v>
      </c>
      <c r="S53" s="10">
        <v>25</v>
      </c>
      <c r="T53" s="10">
        <v>30</v>
      </c>
      <c r="U53" s="10">
        <v>35</v>
      </c>
      <c r="V53" s="10">
        <v>40</v>
      </c>
      <c r="W53" s="10">
        <v>45</v>
      </c>
      <c r="X53" s="10">
        <v>50</v>
      </c>
      <c r="Y53" s="10">
        <v>55</v>
      </c>
    </row>
    <row r="54" spans="1:25">
      <c r="A54" s="7" t="s">
        <v>32</v>
      </c>
      <c r="B54" s="7" t="s">
        <v>5</v>
      </c>
      <c r="C54" s="3" t="s">
        <v>77</v>
      </c>
      <c r="D54" s="28">
        <v>721757</v>
      </c>
      <c r="E54" s="15" t="s">
        <v>34</v>
      </c>
      <c r="F54" s="2">
        <f t="shared" si="1"/>
        <v>1</v>
      </c>
      <c r="G54" s="3">
        <v>3663602883951</v>
      </c>
      <c r="H54" s="2" t="s">
        <v>92</v>
      </c>
      <c r="I54" s="10">
        <v>10</v>
      </c>
      <c r="J54" s="8">
        <v>1</v>
      </c>
      <c r="K54" s="32">
        <v>194.66556586933228</v>
      </c>
      <c r="L54" s="8">
        <v>0.81</v>
      </c>
      <c r="M54" s="20">
        <v>1.04</v>
      </c>
      <c r="N54" s="14">
        <v>30</v>
      </c>
      <c r="O54" s="10">
        <v>5</v>
      </c>
      <c r="P54" s="10">
        <v>10</v>
      </c>
      <c r="Q54" s="10">
        <v>15</v>
      </c>
      <c r="R54" s="10">
        <v>20</v>
      </c>
      <c r="S54" s="10">
        <v>25</v>
      </c>
      <c r="T54" s="10">
        <v>30</v>
      </c>
      <c r="U54" s="10">
        <v>35</v>
      </c>
      <c r="V54" s="10">
        <v>40</v>
      </c>
      <c r="W54" s="10">
        <v>45</v>
      </c>
      <c r="X54" s="10">
        <v>50</v>
      </c>
      <c r="Y54" s="10">
        <v>55</v>
      </c>
    </row>
    <row r="55" spans="1:25">
      <c r="A55" s="7" t="s">
        <v>32</v>
      </c>
      <c r="B55" s="7" t="s">
        <v>5</v>
      </c>
      <c r="C55" s="3" t="s">
        <v>77</v>
      </c>
      <c r="D55" s="28">
        <v>700658</v>
      </c>
      <c r="E55" s="15" t="s">
        <v>34</v>
      </c>
      <c r="F55" s="2">
        <f t="shared" si="1"/>
        <v>1</v>
      </c>
      <c r="G55" s="3">
        <v>5059340264493</v>
      </c>
      <c r="H55" s="2" t="s">
        <v>93</v>
      </c>
      <c r="I55" s="10">
        <v>1</v>
      </c>
      <c r="J55" s="8">
        <v>1</v>
      </c>
      <c r="K55" s="32">
        <v>2743.389354568315</v>
      </c>
      <c r="L55" s="8">
        <v>0.31</v>
      </c>
      <c r="M55" s="20">
        <v>12.2</v>
      </c>
      <c r="N55" s="14">
        <v>50</v>
      </c>
      <c r="O55" s="10">
        <v>8</v>
      </c>
      <c r="P55" s="10">
        <v>16</v>
      </c>
      <c r="Q55" s="10">
        <v>24</v>
      </c>
      <c r="R55" s="10">
        <v>32</v>
      </c>
      <c r="S55" s="10">
        <v>40</v>
      </c>
      <c r="T55" s="10">
        <v>48</v>
      </c>
      <c r="U55" s="10">
        <v>56</v>
      </c>
      <c r="V55" s="10">
        <v>64</v>
      </c>
      <c r="W55" s="10">
        <v>72</v>
      </c>
      <c r="X55" s="10">
        <v>80</v>
      </c>
      <c r="Y55" s="10">
        <v>88</v>
      </c>
    </row>
    <row r="56" spans="1:25">
      <c r="A56" s="7" t="s">
        <v>32</v>
      </c>
      <c r="B56" s="7" t="s">
        <v>5</v>
      </c>
      <c r="C56" s="3" t="s">
        <v>77</v>
      </c>
      <c r="D56" s="28">
        <v>700656</v>
      </c>
      <c r="E56" s="15" t="s">
        <v>34</v>
      </c>
      <c r="F56" s="2">
        <f t="shared" si="1"/>
        <v>1</v>
      </c>
      <c r="G56" s="3">
        <v>5059340264479</v>
      </c>
      <c r="H56" s="2" t="s">
        <v>94</v>
      </c>
      <c r="I56" s="10">
        <v>1</v>
      </c>
      <c r="J56" s="8">
        <v>1</v>
      </c>
      <c r="K56" s="32">
        <v>2992.184757167935</v>
      </c>
      <c r="L56" s="8">
        <v>0.42</v>
      </c>
      <c r="M56" s="20">
        <v>1.95</v>
      </c>
      <c r="N56" s="14">
        <v>50</v>
      </c>
      <c r="O56" s="10">
        <v>8</v>
      </c>
      <c r="P56" s="10">
        <v>16</v>
      </c>
      <c r="Q56" s="10">
        <v>24</v>
      </c>
      <c r="R56" s="10">
        <v>32</v>
      </c>
      <c r="S56" s="10">
        <v>40</v>
      </c>
      <c r="T56" s="10">
        <v>48</v>
      </c>
      <c r="U56" s="10">
        <v>56</v>
      </c>
      <c r="V56" s="10">
        <v>64</v>
      </c>
      <c r="W56" s="10">
        <v>72</v>
      </c>
      <c r="X56" s="10">
        <v>80</v>
      </c>
      <c r="Y56" s="10">
        <v>88</v>
      </c>
    </row>
    <row r="57" spans="1:25">
      <c r="A57" s="7" t="s">
        <v>32</v>
      </c>
      <c r="B57" s="7" t="s">
        <v>5</v>
      </c>
      <c r="C57" s="3" t="s">
        <v>77</v>
      </c>
      <c r="D57" s="28">
        <v>700654</v>
      </c>
      <c r="E57" s="15" t="s">
        <v>34</v>
      </c>
      <c r="F57" s="2">
        <f t="shared" si="1"/>
        <v>1</v>
      </c>
      <c r="G57" s="3">
        <v>5059340264455</v>
      </c>
      <c r="H57" s="2" t="s">
        <v>95</v>
      </c>
      <c r="I57" s="10">
        <v>1</v>
      </c>
      <c r="J57" s="8">
        <v>1</v>
      </c>
      <c r="K57" s="32">
        <v>2393.2249521988547</v>
      </c>
      <c r="L57" s="8">
        <v>0.33</v>
      </c>
      <c r="M57" s="20">
        <v>1.08</v>
      </c>
      <c r="N57" s="14">
        <v>50</v>
      </c>
      <c r="O57" s="10">
        <v>8</v>
      </c>
      <c r="P57" s="10">
        <v>16</v>
      </c>
      <c r="Q57" s="10">
        <v>24</v>
      </c>
      <c r="R57" s="10">
        <v>32</v>
      </c>
      <c r="S57" s="10">
        <v>40</v>
      </c>
      <c r="T57" s="10">
        <v>48</v>
      </c>
      <c r="U57" s="10">
        <v>56</v>
      </c>
      <c r="V57" s="10">
        <v>64</v>
      </c>
      <c r="W57" s="10">
        <v>72</v>
      </c>
      <c r="X57" s="10">
        <v>80</v>
      </c>
      <c r="Y57" s="10">
        <v>88</v>
      </c>
    </row>
    <row r="58" spans="1:25">
      <c r="A58" s="7" t="s">
        <v>32</v>
      </c>
      <c r="B58" s="7" t="s">
        <v>5</v>
      </c>
      <c r="C58" s="3" t="s">
        <v>39</v>
      </c>
      <c r="D58" s="28">
        <v>811686</v>
      </c>
      <c r="E58" s="15" t="s">
        <v>34</v>
      </c>
      <c r="F58" s="2">
        <f t="shared" ref="F58:F63" si="2">COUNTIF(D:D,D58)</f>
        <v>1</v>
      </c>
      <c r="G58" s="3">
        <v>3419860101128</v>
      </c>
      <c r="H58" s="2" t="s">
        <v>96</v>
      </c>
      <c r="I58" s="10">
        <v>32</v>
      </c>
      <c r="J58" s="8">
        <v>1</v>
      </c>
      <c r="K58" s="32">
        <v>2325.0335283993122</v>
      </c>
      <c r="L58" s="8">
        <v>0.16</v>
      </c>
      <c r="M58" s="20">
        <v>5.24</v>
      </c>
      <c r="N58" s="14">
        <v>32</v>
      </c>
      <c r="O58" s="10">
        <v>5</v>
      </c>
      <c r="P58" s="10">
        <v>10</v>
      </c>
      <c r="Q58" s="10">
        <v>15</v>
      </c>
      <c r="R58" s="10">
        <v>20</v>
      </c>
      <c r="S58" s="10">
        <v>25</v>
      </c>
      <c r="T58" s="10">
        <v>30</v>
      </c>
      <c r="U58" s="10">
        <v>35</v>
      </c>
      <c r="V58" s="10">
        <v>40</v>
      </c>
      <c r="W58" s="10">
        <v>45</v>
      </c>
      <c r="X58" s="10">
        <v>50</v>
      </c>
      <c r="Y58" s="10">
        <v>55</v>
      </c>
    </row>
    <row r="59" spans="1:25">
      <c r="A59" s="7" t="s">
        <v>32</v>
      </c>
      <c r="B59" s="7" t="s">
        <v>5</v>
      </c>
      <c r="C59" s="3" t="s">
        <v>39</v>
      </c>
      <c r="D59" s="28">
        <v>811770</v>
      </c>
      <c r="E59" s="15" t="s">
        <v>34</v>
      </c>
      <c r="F59" s="2">
        <f t="shared" si="2"/>
        <v>1</v>
      </c>
      <c r="G59" s="3">
        <v>3388530908018</v>
      </c>
      <c r="H59" s="2" t="s">
        <v>97</v>
      </c>
      <c r="I59" s="10">
        <v>50</v>
      </c>
      <c r="J59" s="8">
        <v>1</v>
      </c>
      <c r="K59" s="32">
        <v>253.92882646988821</v>
      </c>
      <c r="L59" s="8">
        <v>0.4</v>
      </c>
      <c r="M59" s="20" t="s">
        <v>36</v>
      </c>
      <c r="N59" s="14">
        <v>60</v>
      </c>
      <c r="O59" s="10">
        <v>10</v>
      </c>
      <c r="P59" s="10">
        <v>20</v>
      </c>
      <c r="Q59" s="10">
        <v>30</v>
      </c>
      <c r="R59" s="10">
        <v>40</v>
      </c>
      <c r="S59" s="10">
        <v>50</v>
      </c>
      <c r="T59" s="10">
        <v>60</v>
      </c>
      <c r="U59" s="10">
        <v>70</v>
      </c>
      <c r="V59" s="10">
        <v>80</v>
      </c>
      <c r="W59" s="10">
        <v>90</v>
      </c>
      <c r="X59" s="10">
        <v>100</v>
      </c>
      <c r="Y59" s="10">
        <v>110</v>
      </c>
    </row>
    <row r="60" spans="1:25">
      <c r="A60" s="7" t="s">
        <v>32</v>
      </c>
      <c r="B60" s="7" t="s">
        <v>5</v>
      </c>
      <c r="C60" s="3" t="s">
        <v>39</v>
      </c>
      <c r="D60" s="28">
        <v>821393</v>
      </c>
      <c r="E60" s="15" t="s">
        <v>34</v>
      </c>
      <c r="F60" s="2">
        <f t="shared" si="2"/>
        <v>1</v>
      </c>
      <c r="G60" s="3">
        <v>3701071981102</v>
      </c>
      <c r="H60" s="2" t="s">
        <v>98</v>
      </c>
      <c r="I60" s="10">
        <v>24</v>
      </c>
      <c r="J60" s="8">
        <v>1</v>
      </c>
      <c r="K60" s="32">
        <v>129.2776287932252</v>
      </c>
      <c r="L60" s="8">
        <v>0.39</v>
      </c>
      <c r="M60" s="20">
        <v>1.73</v>
      </c>
      <c r="N60" s="14">
        <v>20</v>
      </c>
      <c r="O60" s="10">
        <v>3</v>
      </c>
      <c r="P60" s="10">
        <v>6</v>
      </c>
      <c r="Q60" s="10">
        <v>9</v>
      </c>
      <c r="R60" s="10">
        <v>12</v>
      </c>
      <c r="S60" s="10">
        <v>15</v>
      </c>
      <c r="T60" s="10">
        <v>18</v>
      </c>
      <c r="U60" s="10">
        <v>21</v>
      </c>
      <c r="V60" s="10">
        <v>24</v>
      </c>
      <c r="W60" s="10">
        <v>27</v>
      </c>
      <c r="X60" s="10">
        <v>30</v>
      </c>
      <c r="Y60" s="10">
        <v>33</v>
      </c>
    </row>
    <row r="61" spans="1:25">
      <c r="A61" s="7" t="s">
        <v>32</v>
      </c>
      <c r="B61" s="7" t="s">
        <v>5</v>
      </c>
      <c r="C61" s="3" t="s">
        <v>39</v>
      </c>
      <c r="D61" s="28">
        <v>821399</v>
      </c>
      <c r="E61" s="15" t="s">
        <v>34</v>
      </c>
      <c r="F61" s="2">
        <f t="shared" si="2"/>
        <v>1</v>
      </c>
      <c r="G61" s="3">
        <v>3701071981140</v>
      </c>
      <c r="H61" s="2" t="s">
        <v>99</v>
      </c>
      <c r="I61" s="10">
        <v>24</v>
      </c>
      <c r="J61" s="8">
        <v>1</v>
      </c>
      <c r="K61" s="32">
        <v>331.57921464762791</v>
      </c>
      <c r="L61" s="8">
        <v>0.24</v>
      </c>
      <c r="M61" s="20">
        <v>1.22</v>
      </c>
      <c r="N61" s="14">
        <v>45</v>
      </c>
      <c r="O61" s="10">
        <v>8</v>
      </c>
      <c r="P61" s="10">
        <v>16</v>
      </c>
      <c r="Q61" s="10">
        <v>24</v>
      </c>
      <c r="R61" s="10">
        <v>32</v>
      </c>
      <c r="S61" s="10">
        <v>40</v>
      </c>
      <c r="T61" s="10">
        <v>48</v>
      </c>
      <c r="U61" s="10">
        <v>56</v>
      </c>
      <c r="V61" s="10">
        <v>64</v>
      </c>
      <c r="W61" s="10">
        <v>72</v>
      </c>
      <c r="X61" s="10">
        <v>80</v>
      </c>
      <c r="Y61" s="10">
        <v>88</v>
      </c>
    </row>
    <row r="62" spans="1:25">
      <c r="A62" s="7" t="s">
        <v>32</v>
      </c>
      <c r="B62" s="7" t="s">
        <v>5</v>
      </c>
      <c r="C62" s="3" t="s">
        <v>39</v>
      </c>
      <c r="D62" s="28">
        <v>821397</v>
      </c>
      <c r="E62" s="15" t="s">
        <v>34</v>
      </c>
      <c r="F62" s="2">
        <f t="shared" si="2"/>
        <v>1</v>
      </c>
      <c r="G62" s="3">
        <v>3701071981034</v>
      </c>
      <c r="H62" s="2" t="s">
        <v>100</v>
      </c>
      <c r="I62" s="10">
        <v>1</v>
      </c>
      <c r="J62" s="8">
        <v>1</v>
      </c>
      <c r="K62" s="32">
        <v>633.69933953767497</v>
      </c>
      <c r="L62" s="8">
        <v>0.22</v>
      </c>
      <c r="M62" s="20">
        <v>1.43</v>
      </c>
      <c r="N62" s="14">
        <v>30</v>
      </c>
      <c r="O62" s="10">
        <v>5</v>
      </c>
      <c r="P62" s="10">
        <v>10</v>
      </c>
      <c r="Q62" s="10">
        <v>15</v>
      </c>
      <c r="R62" s="10">
        <v>20</v>
      </c>
      <c r="S62" s="10">
        <v>25</v>
      </c>
      <c r="T62" s="10">
        <v>30</v>
      </c>
      <c r="U62" s="10">
        <v>35</v>
      </c>
      <c r="V62" s="10">
        <v>40</v>
      </c>
      <c r="W62" s="10">
        <v>45</v>
      </c>
      <c r="X62" s="10">
        <v>50</v>
      </c>
      <c r="Y62" s="10">
        <v>55</v>
      </c>
    </row>
    <row r="63" spans="1:25">
      <c r="A63" s="7" t="s">
        <v>32</v>
      </c>
      <c r="B63" s="7" t="s">
        <v>5</v>
      </c>
      <c r="C63" s="3" t="s">
        <v>39</v>
      </c>
      <c r="D63" s="28">
        <v>811687</v>
      </c>
      <c r="E63" s="15" t="s">
        <v>34</v>
      </c>
      <c r="F63" s="2">
        <f t="shared" si="2"/>
        <v>1</v>
      </c>
      <c r="G63" s="3">
        <v>3419860101081</v>
      </c>
      <c r="H63" s="2" t="s">
        <v>101</v>
      </c>
      <c r="I63" s="10">
        <v>16</v>
      </c>
      <c r="J63" s="8">
        <v>1</v>
      </c>
      <c r="K63" s="32">
        <v>2099.8968692449403</v>
      </c>
      <c r="L63" s="8">
        <v>0.24</v>
      </c>
      <c r="M63" s="20">
        <v>6.87</v>
      </c>
      <c r="N63" s="14">
        <v>20</v>
      </c>
      <c r="O63" s="10">
        <v>3</v>
      </c>
      <c r="P63" s="10">
        <v>6</v>
      </c>
      <c r="Q63" s="10">
        <v>9</v>
      </c>
      <c r="R63" s="10">
        <v>12</v>
      </c>
      <c r="S63" s="10">
        <v>15</v>
      </c>
      <c r="T63" s="10">
        <v>18</v>
      </c>
      <c r="U63" s="10">
        <v>21</v>
      </c>
      <c r="V63" s="10">
        <v>24</v>
      </c>
      <c r="W63" s="10">
        <v>27</v>
      </c>
      <c r="X63" s="10">
        <v>30</v>
      </c>
      <c r="Y63" s="10">
        <v>33</v>
      </c>
    </row>
    <row r="64" spans="1:25">
      <c r="A64" t="s">
        <v>32</v>
      </c>
      <c r="B64" t="s">
        <v>5</v>
      </c>
      <c r="C64" s="35" t="s">
        <v>39</v>
      </c>
      <c r="D64" s="29">
        <v>801644</v>
      </c>
      <c r="E64" s="16" t="s">
        <v>34</v>
      </c>
      <c r="F64">
        <f>COUNTIF(D:D,D64)</f>
        <v>1</v>
      </c>
      <c r="G64">
        <v>8053600001825</v>
      </c>
      <c r="H64" t="s">
        <v>102</v>
      </c>
      <c r="I64">
        <v>10</v>
      </c>
      <c r="J64" s="9">
        <v>1</v>
      </c>
      <c r="K64" s="33">
        <v>4159.0958904109493</v>
      </c>
      <c r="L64" s="9">
        <v>0.31</v>
      </c>
      <c r="M64" s="11">
        <v>5.93</v>
      </c>
      <c r="N64">
        <v>30</v>
      </c>
      <c r="O64" s="13">
        <v>5</v>
      </c>
      <c r="P64" s="13">
        <v>10</v>
      </c>
      <c r="Q64" s="13">
        <v>15</v>
      </c>
      <c r="R64" s="13">
        <v>20</v>
      </c>
      <c r="S64" s="13">
        <v>25</v>
      </c>
      <c r="T64" s="13">
        <v>30</v>
      </c>
      <c r="U64" s="13">
        <v>35</v>
      </c>
      <c r="V64" s="13">
        <v>40</v>
      </c>
      <c r="W64" s="13">
        <v>45</v>
      </c>
      <c r="X64" s="13">
        <v>50</v>
      </c>
      <c r="Y64" s="13">
        <v>55</v>
      </c>
    </row>
    <row r="65" spans="1:25">
      <c r="A65" t="s">
        <v>32</v>
      </c>
      <c r="B65" t="s">
        <v>5</v>
      </c>
      <c r="C65" s="35" t="s">
        <v>39</v>
      </c>
      <c r="D65" s="29">
        <v>801645</v>
      </c>
      <c r="E65" s="16" t="s">
        <v>34</v>
      </c>
      <c r="F65">
        <f>COUNTIF(D:D,D65)</f>
        <v>1</v>
      </c>
      <c r="G65">
        <v>8053600001832</v>
      </c>
      <c r="H65" t="s">
        <v>103</v>
      </c>
      <c r="I65">
        <v>10</v>
      </c>
      <c r="J65" s="9">
        <v>1</v>
      </c>
      <c r="K65" s="33">
        <v>3765.4152410575398</v>
      </c>
      <c r="L65" s="9">
        <v>0.22</v>
      </c>
      <c r="M65" s="11">
        <v>7.28</v>
      </c>
      <c r="N65">
        <v>20</v>
      </c>
      <c r="O65" s="13">
        <v>3</v>
      </c>
      <c r="P65" s="13">
        <v>6</v>
      </c>
      <c r="Q65" s="13">
        <v>9</v>
      </c>
      <c r="R65" s="13">
        <v>12</v>
      </c>
      <c r="S65" s="13">
        <v>15</v>
      </c>
      <c r="T65" s="13">
        <v>18</v>
      </c>
      <c r="U65" s="13">
        <v>21</v>
      </c>
      <c r="V65" s="13">
        <v>24</v>
      </c>
      <c r="W65" s="13">
        <v>27</v>
      </c>
      <c r="X65" s="13">
        <v>30</v>
      </c>
      <c r="Y65" s="13">
        <v>33</v>
      </c>
    </row>
    <row r="66" spans="1:25">
      <c r="A66" t="s">
        <v>32</v>
      </c>
      <c r="B66" t="s">
        <v>5</v>
      </c>
      <c r="C66" s="35" t="s">
        <v>39</v>
      </c>
      <c r="D66" s="29">
        <v>801646</v>
      </c>
      <c r="E66" s="16" t="s">
        <v>34</v>
      </c>
      <c r="F66">
        <f>COUNTIF(D:D,D66)</f>
        <v>1</v>
      </c>
      <c r="G66">
        <v>8053600001849</v>
      </c>
      <c r="H66" t="s">
        <v>104</v>
      </c>
      <c r="I66">
        <v>10</v>
      </c>
      <c r="J66" s="9">
        <v>1</v>
      </c>
      <c r="K66" s="33">
        <v>2183.8936170212801</v>
      </c>
      <c r="L66" s="9">
        <v>0.19</v>
      </c>
      <c r="M66" s="11">
        <v>8.7899999999999991</v>
      </c>
      <c r="N66">
        <v>10</v>
      </c>
      <c r="O66" s="13">
        <v>2</v>
      </c>
      <c r="P66" s="13">
        <v>4</v>
      </c>
      <c r="Q66" s="13">
        <v>6</v>
      </c>
      <c r="R66" s="13">
        <v>8</v>
      </c>
      <c r="S66" s="13">
        <v>10</v>
      </c>
      <c r="T66" s="13">
        <v>12</v>
      </c>
      <c r="U66" s="13">
        <v>14</v>
      </c>
      <c r="V66" s="13">
        <v>16</v>
      </c>
      <c r="W66" s="13">
        <v>18</v>
      </c>
      <c r="X66" s="13">
        <v>20</v>
      </c>
      <c r="Y66" s="13">
        <v>22</v>
      </c>
    </row>
  </sheetData>
  <sheetProtection algorithmName="SHA-512" hashValue="F5A9igJcmwMg9SBLKk8xSNH/X9I89bi+aMVRwCe43cDpLpusCnuvgRg2kHQfXRqS8Q3pomcyt+M4Myh26Dlk0A==" saltValue="TacySuGsoQ7tWGkMTYOg+A==" spinCount="100000" sheet="1" objects="1" scenarios="1" sort="0" autoFilter="0" pivotTables="0"/>
  <autoFilter ref="A1:Z39" xr:uid="{00000000-0009-0000-0000-000001000000}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M8"/>
  <sheetViews>
    <sheetView zoomScale="70" zoomScaleNormal="70" workbookViewId="0">
      <selection activeCell="B3" sqref="B3"/>
    </sheetView>
  </sheetViews>
  <sheetFormatPr defaultColWidth="11.42578125" defaultRowHeight="14.45"/>
  <cols>
    <col min="1" max="1" width="11.7109375" bestFit="1" customWidth="1"/>
    <col min="2" max="2" width="20.140625" bestFit="1" customWidth="1"/>
    <col min="8" max="8" width="11.5703125" style="22"/>
    <col min="9" max="9" width="11.7109375" bestFit="1" customWidth="1"/>
    <col min="10" max="10" width="20.140625" style="37" bestFit="1" customWidth="1"/>
    <col min="12" max="12" width="19.5703125" bestFit="1" customWidth="1"/>
    <col min="13" max="13" width="19.42578125" bestFit="1" customWidth="1"/>
    <col min="14" max="14" width="19.42578125" customWidth="1"/>
  </cols>
  <sheetData>
    <row r="1" spans="1:13">
      <c r="A1" s="18" t="s">
        <v>105</v>
      </c>
      <c r="B1" t="s">
        <v>106</v>
      </c>
      <c r="I1" s="18" t="s">
        <v>105</v>
      </c>
      <c r="J1" s="37" t="s">
        <v>107</v>
      </c>
    </row>
    <row r="2" spans="1:13">
      <c r="A2" s="17" t="s">
        <v>33</v>
      </c>
      <c r="B2">
        <v>3</v>
      </c>
      <c r="D2" s="50" t="s">
        <v>108</v>
      </c>
      <c r="E2" s="50"/>
      <c r="F2" s="50"/>
      <c r="I2" s="17" t="s">
        <v>33</v>
      </c>
      <c r="J2" s="37">
        <v>3993.608948326204</v>
      </c>
      <c r="L2" s="51" t="s">
        <v>109</v>
      </c>
      <c r="M2" s="51"/>
    </row>
    <row r="3" spans="1:13">
      <c r="A3" s="17" t="s">
        <v>49</v>
      </c>
      <c r="B3">
        <v>26</v>
      </c>
      <c r="D3" s="50"/>
      <c r="E3" s="50"/>
      <c r="F3" s="50"/>
      <c r="I3" s="17" t="s">
        <v>77</v>
      </c>
      <c r="J3" s="37">
        <v>13216.616796034839</v>
      </c>
      <c r="L3" s="51"/>
      <c r="M3" s="51"/>
    </row>
    <row r="4" spans="1:13">
      <c r="A4" s="17" t="s">
        <v>77</v>
      </c>
      <c r="B4">
        <v>18</v>
      </c>
      <c r="D4" s="50"/>
      <c r="E4" s="50"/>
      <c r="F4" s="50"/>
      <c r="I4" s="17" t="s">
        <v>49</v>
      </c>
      <c r="J4" s="37">
        <v>12443.075008574733</v>
      </c>
      <c r="L4" s="51"/>
      <c r="M4" s="51"/>
    </row>
    <row r="5" spans="1:13">
      <c r="A5" s="17" t="s">
        <v>39</v>
      </c>
      <c r="B5">
        <v>18</v>
      </c>
      <c r="I5" s="17" t="s">
        <v>39</v>
      </c>
      <c r="J5" s="37">
        <v>21750.408794957399</v>
      </c>
    </row>
    <row r="6" spans="1:13">
      <c r="A6" s="17" t="s">
        <v>110</v>
      </c>
      <c r="B6">
        <v>65</v>
      </c>
      <c r="I6" s="17" t="s">
        <v>110</v>
      </c>
      <c r="J6" s="37">
        <v>51403.709547893173</v>
      </c>
    </row>
    <row r="7" spans="1:13">
      <c r="J7"/>
    </row>
    <row r="8" spans="1:13">
      <c r="J8"/>
    </row>
  </sheetData>
  <mergeCells count="2">
    <mergeCell ref="D2:F4"/>
    <mergeCell ref="L2:M4"/>
  </mergeCell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FEFF70FE1F9B4E9093DC2BE96FE070" ma:contentTypeVersion="4" ma:contentTypeDescription="Create a new document." ma:contentTypeScope="" ma:versionID="0d10ad5f1feeefe4b3fa9b617ab15dd5">
  <xsd:schema xmlns:xsd="http://www.w3.org/2001/XMLSchema" xmlns:xs="http://www.w3.org/2001/XMLSchema" xmlns:p="http://schemas.microsoft.com/office/2006/metadata/properties" xmlns:ns2="9c586c3c-84a8-46c3-aad8-62fa706293bf" xmlns:ns3="4b883733-c83c-4c3b-a600-079bec236235" targetNamespace="http://schemas.microsoft.com/office/2006/metadata/properties" ma:root="true" ma:fieldsID="c9afa953b5e1a7d5bab55f0bab1317f2" ns2:_="" ns3:_="">
    <xsd:import namespace="9c586c3c-84a8-46c3-aad8-62fa706293bf"/>
    <xsd:import namespace="4b883733-c83c-4c3b-a600-079bec2362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86c3c-84a8-46c3-aad8-62fa706293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83733-c83c-4c3b-a600-079bec23623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C7218FB-E419-43E2-8B9E-B15F978C30E5}"/>
</file>

<file path=customXml/itemProps2.xml><?xml version="1.0" encoding="utf-8"?>
<ds:datastoreItem xmlns:ds="http://schemas.openxmlformats.org/officeDocument/2006/customXml" ds:itemID="{D3BC8BFA-3119-45AB-98A2-53CF1FBB85D2}"/>
</file>

<file path=customXml/itemProps3.xml><?xml version="1.0" encoding="utf-8"?>
<ds:datastoreItem xmlns:ds="http://schemas.openxmlformats.org/officeDocument/2006/customXml" ds:itemID="{101971D1-EEB1-4E28-9D89-B6462E70787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SOLUTEC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dsi</dc:creator>
  <cp:keywords/>
  <dc:description/>
  <cp:lastModifiedBy>Guery, Sebastien</cp:lastModifiedBy>
  <cp:revision/>
  <dcterms:created xsi:type="dcterms:W3CDTF">2022-12-09T10:18:17Z</dcterms:created>
  <dcterms:modified xsi:type="dcterms:W3CDTF">2023-03-16T15:05:30Z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0x01010055FEFF70FE1F9B4E9093DC2BE96FE070</vt:lpwstr>
  </property>
</Properties>
</file>