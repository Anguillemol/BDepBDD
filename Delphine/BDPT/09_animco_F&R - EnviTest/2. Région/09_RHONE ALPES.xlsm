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1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fplc.sharepoint.com/teams/OGRP-Marketingdesventes/Shared Documents/Animation commerciale de gamme/2023/09_animco_F&amp;R/2. Région/"/>
    </mc:Choice>
  </mc:AlternateContent>
  <xr:revisionPtr revIDLastSave="0" documentId="11_AD4C0AF6C12EF65CA0266FA81FC63B85D271824B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Info" sheetId="5" r:id="rId1"/>
    <sheet name="RHONE ALPES" sheetId="1" r:id="rId2"/>
    <sheet name="Graphique" sheetId="4" r:id="rId3"/>
  </sheets>
  <externalReferences>
    <externalReference r:id="rId4"/>
  </externalReferences>
  <definedNames>
    <definedName name="_xlnm._FilterDatabase" localSheetId="1" hidden="1">'RHONE ALPES'!$A$1:$Z$1</definedName>
    <definedName name="liste">[1]LISTE!$B:$O</definedName>
    <definedName name="liste_data">#REF!</definedName>
    <definedName name="liste_test">#REF!</definedName>
  </definedNames>
  <calcPr calcId="162913"/>
  <pivotCaches>
    <pivotCache cacheId="28113" r:id="rId5"/>
    <pivotCache cacheId="28114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1" i="1" l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 l="1"/>
  <c r="F12" i="1"/>
  <c r="F11" i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<sst xmlns="http://schemas.openxmlformats.org/spreadsheetml/2006/main" count="367" uniqueCount="106">
  <si>
    <t>INFO A COMPLETER</t>
  </si>
  <si>
    <t>Mois</t>
  </si>
  <si>
    <t>Année</t>
  </si>
  <si>
    <t>Région</t>
  </si>
  <si>
    <t>Septembre</t>
  </si>
  <si>
    <t>RHONE ALPES</t>
  </si>
  <si>
    <t>RA10</t>
  </si>
  <si>
    <t>Region</t>
  </si>
  <si>
    <t>Rayon</t>
  </si>
  <si>
    <t>codes</t>
  </si>
  <si>
    <t>Typo</t>
  </si>
  <si>
    <t>Occurrence</t>
  </si>
  <si>
    <t>Ean</t>
  </si>
  <si>
    <t>Libellé</t>
  </si>
  <si>
    <t>PCB</t>
  </si>
  <si>
    <t>taux de rattachement</t>
  </si>
  <si>
    <t>CA Engage</t>
  </si>
  <si>
    <t>Marge</t>
  </si>
  <si>
    <t>Couverture</t>
  </si>
  <si>
    <t xml:space="preserve">Min </t>
  </si>
  <si>
    <t>1 facing</t>
  </si>
  <si>
    <t>2 facings</t>
  </si>
  <si>
    <t>3 facings</t>
  </si>
  <si>
    <t>4 facings</t>
  </si>
  <si>
    <t>5 facings</t>
  </si>
  <si>
    <t>6 facings</t>
  </si>
  <si>
    <t>7 facings</t>
  </si>
  <si>
    <t>8 facings</t>
  </si>
  <si>
    <t>9 facings</t>
  </si>
  <si>
    <t>10 facings</t>
  </si>
  <si>
    <t>11 facings</t>
  </si>
  <si>
    <t>FLAG CODE SIEGE</t>
  </si>
  <si>
    <t>R50</t>
  </si>
  <si>
    <t>T1</t>
  </si>
  <si>
    <t>CHAUFFE EAU STEATITE 200L</t>
  </si>
  <si>
    <t>-</t>
  </si>
  <si>
    <t>TUBE PER GAINE EAU CHAUDE D16 25ML</t>
  </si>
  <si>
    <t>TUBE PER GAINE EAU FROIDE D16 25ML</t>
  </si>
  <si>
    <t>R80</t>
  </si>
  <si>
    <t>REGLETTE ETANCHE T8126CM BLANC COLOURS</t>
  </si>
  <si>
    <t>REGLETTE FLUO 120CM IP20 BLANC COLOURS</t>
  </si>
  <si>
    <t>REGLETTE FLUO 18CM IP20 BLANC COLOURS</t>
  </si>
  <si>
    <t>LOT 6 AMPOULES GU10 430LM 4000K</t>
  </si>
  <si>
    <t>LOT 6 AMPOULES GU10 430LM 2700K</t>
  </si>
  <si>
    <t>LOT 6 AMPOULES B22 470LM 2700K</t>
  </si>
  <si>
    <t>LOT 6 AMPOULES B22 470LM 4000K</t>
  </si>
  <si>
    <t>LOT 6 AMPOULES E27 806LM 2700K</t>
  </si>
  <si>
    <t>LOT 6 AMPOULES E27 806LM 4000K</t>
  </si>
  <si>
    <t>R10</t>
  </si>
  <si>
    <t>ETAGERE BOIS/METAL 180X166X60 CM HECTA</t>
  </si>
  <si>
    <t>ARMOIRE HAUTE 173X68X39</t>
  </si>
  <si>
    <t>R20</t>
  </si>
  <si>
    <t>COFFRET A DOUILLES 1/4 94 PCS MAGNUSSON</t>
  </si>
  <si>
    <t>ESSENCE PREMIUM 2T 5L MARLINE</t>
  </si>
  <si>
    <t>HUILE DE CHAINE TRONCONNEUSE</t>
  </si>
  <si>
    <t>HUILE DE SYNTHESE 2T PRODIF</t>
  </si>
  <si>
    <t>CHEVALET METAL MAGNUSSON</t>
  </si>
  <si>
    <t>FENDEUR DE BUCHE MAGNUSSON</t>
  </si>
  <si>
    <t>MAGNUSSON MASSE 3 KG</t>
  </si>
  <si>
    <t>PERC PERCU SFM V20 18V 2BAT 2-4AH + ACC</t>
  </si>
  <si>
    <t>R30</t>
  </si>
  <si>
    <t>TABLETTE MELAMINE BLANC 2000X500 16MM</t>
  </si>
  <si>
    <t>TABLETTE MELAMINE BLANC 2000X400 16MM</t>
  </si>
  <si>
    <t>STRATIFIE GEELONG 7MM AC3</t>
  </si>
  <si>
    <t>SOUS-COUCHE FIBRE DE BOIS 6,99M2 5MM</t>
  </si>
  <si>
    <t>STRATIFIE TOWNSVILLE NAT 7MM AC3</t>
  </si>
  <si>
    <t>R40</t>
  </si>
  <si>
    <t>MORTIER COLLE FLEX M-S GRIS 25KG</t>
  </si>
  <si>
    <t>GCE INT 60X60 CALACATTO BLANC</t>
  </si>
  <si>
    <t>CHAUFFE EAU STEATITE ACAPULCO 200L</t>
  </si>
  <si>
    <t>RAD ACIER TYPE 22 H60XL40 BODNER</t>
  </si>
  <si>
    <t>RAD ACIER TYPE 22 H60XL60 BODNER</t>
  </si>
  <si>
    <t>RAD ACIER TYPE 22 H60XL80 BODNER</t>
  </si>
  <si>
    <t>RAD ACIER TYPE 22 H60XL100 BODNER</t>
  </si>
  <si>
    <t>RAD ACIER TYPE 22 H60XL120 BODNER</t>
  </si>
  <si>
    <t>CHAUFFE EAU THERMOPLONGE 200L</t>
  </si>
  <si>
    <t>MEUBLE S/VASQUE A SUSPENDRE L.60CM ARUNA</t>
  </si>
  <si>
    <t>COLONNE A SUSPENDRE L27,5XH112XD32 ARUNA</t>
  </si>
  <si>
    <t>PLAN VASQUE CERAMIQUE 60CM ARUNA</t>
  </si>
  <si>
    <t>MIROIR ET LUMINAIRE ARUNA</t>
  </si>
  <si>
    <t>PACK WC TAPIA SORTIE HORIZONTALE</t>
  </si>
  <si>
    <t>R70</t>
  </si>
  <si>
    <t>BLANC 10L SATIN EVALUX 2 EN 1</t>
  </si>
  <si>
    <t>BLANC 10L SATIN EVALUX</t>
  </si>
  <si>
    <t>BLANC 10L MAT EVALUX 2 EN 1</t>
  </si>
  <si>
    <t>BLANC 10L MAT EVALUX</t>
  </si>
  <si>
    <t>PERCHE 180MM 3MANCH MURS PLAF BRN</t>
  </si>
  <si>
    <t>BACHE PLASTIQUE 4X5M DIALL</t>
  </si>
  <si>
    <t>KIT ISOLATION PORTE DE GARAGE THERMEO</t>
  </si>
  <si>
    <t>ROULEAU LIÈGE 5MX0,50M 4 MM</t>
  </si>
  <si>
    <t>COLLE LIEGE 3KG</t>
  </si>
  <si>
    <t>LOT DE 3 MOUSSES EXPANSIVES SOUDAL 500ML</t>
  </si>
  <si>
    <t>GAINE ICTA D.20 100 ML</t>
  </si>
  <si>
    <t>SECHE SERVIETTE MEGI 750W</t>
  </si>
  <si>
    <t>SECHE SERVIETTE MEGI 500W</t>
  </si>
  <si>
    <t>RAD INERTIE ORIGIN CONCORDE 1000W</t>
  </si>
  <si>
    <t>RAD INERTIE ORIGIN CONCORDE 1500W</t>
  </si>
  <si>
    <t>HOTTE INCLINEE NOIRE 60CM COOKE&amp;LEWIS</t>
  </si>
  <si>
    <t>GAINE.ICTA.PREF.D20 3X2.5 100M</t>
  </si>
  <si>
    <t>GAINE ICTA PREF D16 3X1.5 100M</t>
  </si>
  <si>
    <t>Rayons</t>
  </si>
  <si>
    <t>Repartition des Rayons</t>
  </si>
  <si>
    <t>Somme de CA Engage</t>
  </si>
  <si>
    <t>Repartiton des rayons</t>
  </si>
  <si>
    <t>CA Engagé</t>
  </si>
  <si>
    <t>Total général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</si>
</sst>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8"/>
      <name val="Arial"/>
      <family val="2"/>
    </font>
    <font>
      <sz val="8"/>
      <color rgb="FF9C5700"/>
      <name val="Calibri"/>
      <family val="2"/>
    </font>
    <font>
      <b/>
      <u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F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9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6795556505021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</borders>
  <cellStyleXfs count="7">
    <xf numFmtId="0" fontId="0" fillId="0" borderId="0"/>
    <xf numFmtId="0" fontId="3" fillId="2" borderId="0" applyNumberFormat="0" applyBorder="0" applyAlignment="0" applyProtection="0"/>
    <xf numFmtId="0" fontId="5" fillId="2" borderId="0" applyNumberFormat="0" applyBorder="0" applyAlignment="0" applyProtection="0"/>
    <xf numFmtId="9" fontId="4" fillId="0" borderId="0" applyFont="0" applyFill="0" applyBorder="0" applyAlignment="0" applyProtection="0"/>
    <xf numFmtId="4" fontId="4" fillId="8" borderId="3" applyNumberFormat="0" applyProtection="0">
      <alignment horizontal="left" vertical="center" indent="1"/>
    </xf>
    <xf numFmtId="4" fontId="4" fillId="8" borderId="3" applyNumberFormat="0" applyProtection="0">
      <alignment horizontal="left" vertical="center" indent="1"/>
    </xf>
    <xf numFmtId="4" fontId="4" fillId="0" borderId="3" applyNumberFormat="0" applyProtection="0">
      <alignment horizontal="right" vertical="center"/>
    </xf>
  </cellStyleXfs>
  <cellXfs count="51">
    <xf numFmtId="0" fontId="0" fillId="0" borderId="0" xfId="0"/>
    <xf numFmtId="0" fontId="0" fillId="3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0" fontId="2" fillId="7" borderId="0" xfId="0" applyNumberFormat="1" applyFont="1" applyFill="1" applyAlignment="1">
      <alignment horizontal="center" vertical="center" wrapText="1"/>
    </xf>
    <xf numFmtId="14" fontId="0" fillId="4" borderId="2" xfId="0" applyNumberForma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/>
    <xf numFmtId="0" fontId="0" fillId="0" borderId="1" xfId="0" applyBorder="1" applyAlignment="1">
      <alignment horizontal="center" vertical="center"/>
    </xf>
    <xf numFmtId="2" fontId="0" fillId="0" borderId="0" xfId="0" applyNumberFormat="1"/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pivotButton="1"/>
    <xf numFmtId="2" fontId="0" fillId="3" borderId="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0" fontId="0" fillId="3" borderId="1" xfId="0" applyNumberFormat="1" applyFill="1" applyBorder="1" applyAlignment="1">
      <alignment horizontal="center" vertical="center"/>
    </xf>
    <xf numFmtId="0" fontId="0" fillId="9" borderId="0" xfId="0" applyFill="1"/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8" fillId="10" borderId="0" xfId="0" applyFont="1" applyFill="1" applyAlignment="1">
      <alignment horizontal="center" vertical="center"/>
    </xf>
    <xf numFmtId="1" fontId="10" fillId="6" borderId="1" xfId="0" applyNumberFormat="1" applyFont="1" applyFill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1" fontId="0" fillId="3" borderId="1" xfId="0" applyNumberFormat="1" applyFill="1" applyBorder="1" applyAlignment="1">
      <alignment horizontal="center" vertical="center"/>
    </xf>
    <xf numFmtId="1" fontId="0" fillId="0" borderId="0" xfId="0" applyNumberFormat="1"/>
    <xf numFmtId="0" fontId="11" fillId="0" borderId="0" xfId="0" applyFont="1"/>
    <xf numFmtId="14" fontId="0" fillId="12" borderId="2" xfId="0" applyNumberForma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1" fontId="10" fillId="12" borderId="1" xfId="0" applyNumberFormat="1" applyFont="1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 vertical="center"/>
    </xf>
    <xf numFmtId="10" fontId="0" fillId="12" borderId="0" xfId="0" applyNumberFormat="1" applyFill="1" applyAlignment="1">
      <alignment horizontal="center" vertical="center"/>
    </xf>
    <xf numFmtId="164" fontId="0" fillId="12" borderId="0" xfId="0" applyNumberFormat="1" applyFill="1" applyAlignment="1">
      <alignment horizontal="center" vertical="center"/>
    </xf>
    <xf numFmtId="2" fontId="0" fillId="12" borderId="0" xfId="0" applyNumberFormat="1" applyFill="1" applyAlignment="1">
      <alignment horizontal="center" vertical="center"/>
    </xf>
    <xf numFmtId="0" fontId="0" fillId="12" borderId="1" xfId="0" applyFill="1" applyBorder="1" applyAlignment="1">
      <alignment horizontal="center"/>
    </xf>
    <xf numFmtId="0" fontId="0" fillId="12" borderId="0" xfId="0" applyFill="1"/>
    <xf numFmtId="1" fontId="12" fillId="12" borderId="1" xfId="0" applyNumberFormat="1" applyFont="1" applyFill="1" applyBorder="1" applyAlignment="1">
      <alignment horizontal="center" vertical="center"/>
    </xf>
    <xf numFmtId="1" fontId="12" fillId="0" borderId="1" xfId="0" applyNumberFormat="1" applyFont="1" applyBorder="1" applyAlignment="1">
      <alignment horizontal="center" vertical="center"/>
    </xf>
    <xf numFmtId="20" fontId="9" fillId="11" borderId="0" xfId="0" applyNumberFormat="1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 wrapText="1"/>
    </xf>
    <xf numFmtId="0" fontId="6" fillId="10" borderId="0" xfId="0" applyFont="1" applyFill="1" applyAlignment="1">
      <alignment horizontal="center" vertical="center"/>
    </xf>
  </cellXfs>
  <cellStyles count="7">
    <cellStyle name="Neutre 2" xfId="2" xr:uid="{00000000-0005-0000-0000-000000000000}"/>
    <cellStyle name="Neutre 3" xfId="1" xr:uid="{00000000-0005-0000-0000-000001000000}"/>
    <cellStyle name="Normal" xfId="0" builtinId="0"/>
    <cellStyle name="Pourcentage 2" xfId="3" xr:uid="{00000000-0005-0000-0000-000003000000}"/>
    <cellStyle name="SAPBEXchaText" xfId="4" xr:uid="{00000000-0005-0000-0000-000004000000}"/>
    <cellStyle name="SAPBEXstdData" xfId="6" xr:uid="{00000000-0005-0000-0000-000005000000}"/>
    <cellStyle name="SAPBEXstdItem" xfId="5" xr:uid="{00000000-0005-0000-0000-000006000000}"/>
  </cellStyles>
  <dxfs count="1">
    <dxf>
      <numFmt numFmtId="164" formatCode="#,##0.00\ &quot;€&quot;"/>
    </dxf>
  </dxfs>
  <tableStyles count="0" defaultTableStyle="TableStyleMedium2" defaultPivotStyle="PivotStyleLight16"/>
  <colors>
    <mruColors>
      <color rgb="FF6600FF"/>
      <color rgb="FFFF00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[09_RHONE ALPES.xlsm]Graphique!repartition_rayon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Graphique!$B$1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F14-4FD5-A5AD-FF96C0642CF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F14-4FD5-A5AD-FF96C0642CF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F14-4FD5-A5AD-FF96C0642CF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F14-4FD5-A5AD-FF96C0642CF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C1C-4729-A366-B6448E0262C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765-4995-B18D-E382400DAF1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765-4995-B18D-E382400DAF1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Graphique!$A$2:$A$9</c:f>
              <c:strCache>
                <c:ptCount val="7"/>
                <c:pt idx="0">
                  <c:v>R30</c:v>
                </c:pt>
                <c:pt idx="1">
                  <c:v>R40</c:v>
                </c:pt>
                <c:pt idx="2">
                  <c:v>R50</c:v>
                </c:pt>
                <c:pt idx="3">
                  <c:v>R10</c:v>
                </c:pt>
                <c:pt idx="4">
                  <c:v>R20</c:v>
                </c:pt>
                <c:pt idx="5">
                  <c:v>R70</c:v>
                </c:pt>
                <c:pt idx="6">
                  <c:v>R80</c:v>
                </c:pt>
              </c:strCache>
            </c:strRef>
          </c:cat>
          <c:val>
            <c:numRef>
              <c:f>Graphique!$B$2:$B$9</c:f>
              <c:numCache>
                <c:formatCode>General</c:formatCode>
                <c:ptCount val="7"/>
                <c:pt idx="0">
                  <c:v>5</c:v>
                </c:pt>
                <c:pt idx="1">
                  <c:v>2</c:v>
                </c:pt>
                <c:pt idx="2">
                  <c:v>15</c:v>
                </c:pt>
                <c:pt idx="3">
                  <c:v>2</c:v>
                </c:pt>
                <c:pt idx="4">
                  <c:v>9</c:v>
                </c:pt>
                <c:pt idx="5">
                  <c:v>10</c:v>
                </c:pt>
                <c:pt idx="6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DF-48C4-84AD-0FD7FB51A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[09_RHONE ALPES.xlsm]Graphique!ca_engage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Graphique!$J$1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09-4036-B86E-B86777C6B6A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609-4036-B86E-B86777C6B6A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609-4036-B86E-B86777C6B6A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609-4036-B86E-B86777C6B6A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F61-4E37-BAD9-A49F653F767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EED-4D3D-B4C8-86D6D738CFA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EED-4D3D-B4C8-86D6D738CF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Graphique!$I$2:$I$9</c:f>
              <c:strCache>
                <c:ptCount val="7"/>
                <c:pt idx="0">
                  <c:v>R30</c:v>
                </c:pt>
                <c:pt idx="1">
                  <c:v>R40</c:v>
                </c:pt>
                <c:pt idx="2">
                  <c:v>R50</c:v>
                </c:pt>
                <c:pt idx="3">
                  <c:v>R70</c:v>
                </c:pt>
                <c:pt idx="4">
                  <c:v>R20</c:v>
                </c:pt>
                <c:pt idx="5">
                  <c:v>R10</c:v>
                </c:pt>
                <c:pt idx="6">
                  <c:v>R80</c:v>
                </c:pt>
              </c:strCache>
            </c:strRef>
          </c:cat>
          <c:val>
            <c:numRef>
              <c:f>Graphique!$J$2:$J$9</c:f>
              <c:numCache>
                <c:formatCode>#,##0.00\ "€"</c:formatCode>
                <c:ptCount val="7"/>
                <c:pt idx="0">
                  <c:v>4659.034346803368</c:v>
                </c:pt>
                <c:pt idx="1">
                  <c:v>1762.1076665223568</c:v>
                </c:pt>
                <c:pt idx="2">
                  <c:v>13775.903829732513</c:v>
                </c:pt>
                <c:pt idx="3">
                  <c:v>9848.2124832055251</c:v>
                </c:pt>
                <c:pt idx="4">
                  <c:v>5515.1944914389605</c:v>
                </c:pt>
                <c:pt idx="5">
                  <c:v>1532.364373319858</c:v>
                </c:pt>
                <c:pt idx="6">
                  <c:v>26123.963188379967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9-4CDE-B8DA-478BAE525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7620</xdr:rowOff>
    </xdr:from>
    <xdr:to>
      <xdr:col>3</xdr:col>
      <xdr:colOff>1310640</xdr:colOff>
      <xdr:row>13</xdr:row>
      <xdr:rowOff>0</xdr:rowOff>
    </xdr:to>
    <xdr:sp macro="[0]!Button1_Click" textlink="">
      <xdr:nvSpPr>
        <xdr:cNvPr id="3" name="Organigramme : Processu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1000" y="1508760"/>
          <a:ext cx="3596640" cy="1638300"/>
        </a:xfrm>
        <a:prstGeom prst="flowChartProcess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dk1"/>
              </a:solidFill>
              <a:latin typeface="+mn-lt"/>
              <a:ea typeface="+mn-lt"/>
              <a:cs typeface="+mn-lt"/>
            </a:rPr>
            <a:t>APPUYER ICI POUR LANCER LE FORMULAIRE DE SAISIE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26</xdr:row>
      <xdr:rowOff>30480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7620</xdr:colOff>
      <xdr:row>10</xdr:row>
      <xdr:rowOff>0</xdr:rowOff>
    </xdr:from>
    <xdr:to>
      <xdr:col>13</xdr:col>
      <xdr:colOff>464820</xdr:colOff>
      <xdr:row>26</xdr:row>
      <xdr:rowOff>0</xdr:rowOff>
    </xdr:to>
    <xdr:graphicFrame macro="">
      <xdr:nvGraphicFramePr>
        <xdr:cNvPr id="3" name="graph_ca_engag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kuete_rl_frbd_kfplc_com/Documents/Documents/Rose%20Larissa/template%20travail/01%20PARAMETRAGE_F&amp;R_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 COMPLETER DEPOT"/>
      <sheetName val="FP et ARR"/>
      <sheetName val="LISTE"/>
    </sheetNames>
    <sheetDataSet>
      <sheetData sheetId="0" refreshError="1"/>
      <sheetData sheetId="1" refreshError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kour, Boubekeur" refreshedDate="45002.429785532404" createdVersion="6" refreshedVersion="6" minRefreshableVersion="3" recordCount="70" xr:uid="{00000000-000A-0000-FFFF-FFFF3E010000}">
  <cacheSource type="worksheet">
    <worksheetSource ref="C1:C1048576" sheet="RHONE ALPES"/>
  </cacheSource>
  <cacheFields count="1">
    <cacheField name="Rayon" numFmtId="0">
      <sharedItems containsBlank="1" count="10">
        <s v="R50"/>
        <s v="R80"/>
        <s v="R10"/>
        <s v="R20"/>
        <s v="R30"/>
        <s v="R40"/>
        <s v="R70"/>
        <m/>
        <s v="R00" u="1"/>
        <s v="R9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kour, Boubekeur" refreshedDate="45002.429785879627" createdVersion="6" refreshedVersion="6" minRefreshableVersion="3" recordCount="70" xr:uid="{00000000-000A-0000-FFFF-FFFF41010000}">
  <cacheSource type="worksheet">
    <worksheetSource ref="C1:K1048576" sheet="RHONE ALPES"/>
  </cacheSource>
  <cacheFields count="9">
    <cacheField name="Rayon" numFmtId="0">
      <sharedItems containsBlank="1" count="10">
        <s v="R50"/>
        <s v="R80"/>
        <s v="R10"/>
        <s v="R20"/>
        <s v="R30"/>
        <s v="R40"/>
        <s v="R70"/>
        <m/>
        <s v="R00" u="1"/>
        <s v="R90" u="1"/>
      </sharedItems>
    </cacheField>
    <cacheField name="codes" numFmtId="1">
      <sharedItems containsString="0" containsBlank="1" containsNumber="1" containsInteger="1" minValue="100483" maxValue="842181"/>
    </cacheField>
    <cacheField name="Typo" numFmtId="1">
      <sharedItems containsBlank="1"/>
    </cacheField>
    <cacheField name="Occurrence" numFmtId="0">
      <sharedItems containsString="0" containsBlank="1" containsNumber="1" containsInteger="1" minValue="1" maxValue="1"/>
    </cacheField>
    <cacheField name="Ean" numFmtId="0">
      <sharedItems containsBlank="1" containsMixedTypes="1" containsNumber="1" containsInteger="1" minValue="3255670000028" maxValue="8719379148696"/>
    </cacheField>
    <cacheField name="Libellé" numFmtId="0">
      <sharedItems containsBlank="1"/>
    </cacheField>
    <cacheField name="PCB" numFmtId="0">
      <sharedItems containsBlank="1" containsMixedTypes="1" containsNumber="1" containsInteger="1" minValue="1" maxValue="69"/>
    </cacheField>
    <cacheField name="taux de rattachement" numFmtId="10">
      <sharedItems containsBlank="1" containsMixedTypes="1" containsNumber="1" minValue="0.9" maxValue="1"/>
    </cacheField>
    <cacheField name="CA Engage" numFmtId="164">
      <sharedItems containsString="0" containsBlank="1" containsNumber="1" minValue="88.788080536912801" maxValue="6044.51553982300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0">
  <r>
    <x v="0"/>
  </r>
  <r>
    <x v="0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3"/>
  </r>
  <r>
    <x v="3"/>
  </r>
  <r>
    <x v="3"/>
  </r>
  <r>
    <x v="3"/>
  </r>
  <r>
    <x v="3"/>
  </r>
  <r>
    <x v="3"/>
  </r>
  <r>
    <x v="3"/>
  </r>
  <r>
    <x v="3"/>
  </r>
  <r>
    <x v="3"/>
  </r>
  <r>
    <x v="4"/>
  </r>
  <r>
    <x v="4"/>
  </r>
  <r>
    <x v="4"/>
  </r>
  <r>
    <x v="4"/>
  </r>
  <r>
    <x v="4"/>
  </r>
  <r>
    <x v="5"/>
  </r>
  <r>
    <x v="5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1"/>
  </r>
  <r>
    <x v="1"/>
  </r>
  <r>
    <x v="1"/>
  </r>
  <r>
    <x v="1"/>
  </r>
  <r>
    <x v="1"/>
  </r>
  <r>
    <x v="1"/>
  </r>
  <r>
    <x v="1"/>
  </r>
  <r>
    <x v="1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0">
  <r>
    <x v="0"/>
    <n v="500097"/>
    <s v="T1"/>
    <n v="1"/>
    <n v="8020351001312"/>
    <s v="CHAUFFE EAU STEATITE 200L"/>
    <n v="4"/>
    <n v="1"/>
    <n v="1750.3471711711679"/>
  </r>
  <r>
    <x v="0"/>
    <n v="500112"/>
    <s v="T1"/>
    <n v="1"/>
    <n v="3540731131125"/>
    <s v="TUBE PER GAINE EAU CHAUDE D16 25ML"/>
    <n v="27"/>
    <n v="1"/>
    <n v="1121.6105490848597"/>
  </r>
  <r>
    <x v="0"/>
    <n v="500114"/>
    <s v="T1"/>
    <n v="1"/>
    <n v="3540731115163"/>
    <s v="TUBE PER GAINE EAU FROIDE D16 25ML"/>
    <n v="27"/>
    <n v="1"/>
    <n v="1121.6512280701763"/>
  </r>
  <r>
    <x v="1"/>
    <n v="842181"/>
    <s v="T1"/>
    <n v="1"/>
    <n v="3663602760993"/>
    <s v="REGLETTE ETANCHE T8126CM BLANC COLOURS"/>
    <n v="8"/>
    <n v="1"/>
    <n v="2039.2781003799232"/>
  </r>
  <r>
    <x v="1"/>
    <n v="842175"/>
    <s v="T1"/>
    <n v="1"/>
    <n v="3663602761129"/>
    <s v="REGLETTE FLUO 120CM IP20 BLANC COLOURS"/>
    <n v="8"/>
    <n v="1"/>
    <n v="372.23258706467749"/>
  </r>
  <r>
    <x v="1"/>
    <n v="842159"/>
    <s v="T1"/>
    <n v="1"/>
    <n v="3663602761112"/>
    <s v="REGLETTE FLUO 18CM IP20 BLANC COLOURS"/>
    <n v="8"/>
    <n v="1"/>
    <n v="288.7854064039409"/>
  </r>
  <r>
    <x v="1"/>
    <n v="801775"/>
    <s v="T1"/>
    <n v="1"/>
    <n v="5059340359076"/>
    <s v="LOT 6 AMPOULES GU10 430LM 4000K"/>
    <n v="18"/>
    <n v="1"/>
    <n v="696.17033898304942"/>
  </r>
  <r>
    <x v="1"/>
    <n v="801774"/>
    <s v="T1"/>
    <n v="1"/>
    <n v="5059340359083"/>
    <s v="LOT 6 AMPOULES GU10 430LM 2700K"/>
    <n v="18"/>
    <n v="1"/>
    <n v="371.84327784891116"/>
  </r>
  <r>
    <x v="1"/>
    <n v="801776"/>
    <s v="T1"/>
    <n v="1"/>
    <n v="5059340346854"/>
    <s v="LOT 6 AMPOULES B22 470LM 2700K"/>
    <n v="15"/>
    <n v="1"/>
    <n v="377.93888439773758"/>
  </r>
  <r>
    <x v="1"/>
    <n v="801777"/>
    <s v="T1"/>
    <n v="1"/>
    <n v="5059340346861"/>
    <s v="LOT 6 AMPOULES B22 470LM 4000K"/>
    <n v="15"/>
    <n v="1"/>
    <n v="323.92680722891521"/>
  </r>
  <r>
    <x v="1"/>
    <n v="801772"/>
    <s v="T1"/>
    <n v="1"/>
    <n v="5059340346427"/>
    <s v="LOT 6 AMPOULES E27 806LM 2700K"/>
    <n v="15"/>
    <n v="1"/>
    <n v="624.77106227106003"/>
  </r>
  <r>
    <x v="1"/>
    <n v="801773"/>
    <s v="T1"/>
    <n v="1"/>
    <n v="5059340346434"/>
    <s v="LOT 6 AMPOULES E27 806LM 4000K"/>
    <n v="15"/>
    <n v="1"/>
    <n v="773.64217479674573"/>
  </r>
  <r>
    <x v="2"/>
    <n v="100483"/>
    <s v="T1"/>
    <n v="1"/>
    <n v="5059340215044"/>
    <s v="ETAGERE BOIS/METAL 180X166X60 CM HECTA"/>
    <n v="21"/>
    <n v="1"/>
    <n v="898.19215981907303"/>
  </r>
  <r>
    <x v="2"/>
    <n v="103057"/>
    <s v="T1"/>
    <n v="1"/>
    <n v="3663602991588"/>
    <s v="ARMOIRE HAUTE 173X68X39"/>
    <n v="15"/>
    <n v="1"/>
    <n v="634.17221350078501"/>
  </r>
  <r>
    <x v="3"/>
    <n v="266893"/>
    <s v="T1"/>
    <n v="1"/>
    <n v="3663602813866"/>
    <s v="COFFRET A DOUILLES 1/4 94 PCS MAGNUSSON"/>
    <n v="3"/>
    <n v="1"/>
    <n v="1972.8125369603779"/>
  </r>
  <r>
    <x v="3"/>
    <n v="270313"/>
    <s v="T1"/>
    <n v="1"/>
    <n v="3255670000028"/>
    <s v="ESSENCE PREMIUM 2T 5L MARLINE"/>
    <n v="32"/>
    <n v="1"/>
    <n v="276.09186763881104"/>
  </r>
  <r>
    <x v="3"/>
    <n v="250654"/>
    <s v="T1"/>
    <n v="1"/>
    <n v="3373270009279"/>
    <s v="HUILE DE CHAINE TRONCONNEUSE"/>
    <n v="8"/>
    <n v="1"/>
    <n v="118.95484822934201"/>
  </r>
  <r>
    <x v="3"/>
    <n v="250653"/>
    <s v="T1"/>
    <n v="1"/>
    <n v="3373270009262"/>
    <s v="HUILE DE SYNTHESE 2T PRODIF"/>
    <n v="8"/>
    <n v="1"/>
    <n v="128.47680608364999"/>
  </r>
  <r>
    <x v="3"/>
    <n v="201128"/>
    <s v="T1"/>
    <n v="1"/>
    <n v="5059340086491"/>
    <s v="CHEVALET METAL MAGNUSSON"/>
    <n v="3"/>
    <n v="1"/>
    <n v="223.06988764044959"/>
  </r>
  <r>
    <x v="3"/>
    <n v="200573"/>
    <s v="T1"/>
    <n v="1"/>
    <n v="5059340086484"/>
    <s v="FENDEUR DE BUCHE MAGNUSSON"/>
    <n v="12"/>
    <n v="1"/>
    <n v="88.788080536912801"/>
  </r>
  <r>
    <x v="3"/>
    <n v="266876"/>
    <s v="T1"/>
    <n v="1"/>
    <n v="3663602818106"/>
    <s v="MAGNUSSON MASSE 3 KG"/>
    <n v="4"/>
    <n v="1"/>
    <n v="922.06485849056503"/>
  </r>
  <r>
    <x v="3"/>
    <n v="251402"/>
    <s v="T1"/>
    <n v="1"/>
    <s v="-"/>
    <s v="-"/>
    <s v="-"/>
    <s v="-"/>
    <m/>
  </r>
  <r>
    <x v="3"/>
    <n v="201405"/>
    <s v="T1"/>
    <n v="1"/>
    <n v="5035048733172"/>
    <s v="PERC PERCU SFM V20 18V 2BAT 2-4AH + ACC"/>
    <n v="1"/>
    <s v="-"/>
    <n v="1784.9356058588519"/>
  </r>
  <r>
    <x v="4"/>
    <n v="383022"/>
    <s v="T1"/>
    <n v="1"/>
    <n v="3663602873815"/>
    <s v="TABLETTE MELAMINE BLANC 2000X500 16MM"/>
    <n v="46"/>
    <n v="1"/>
    <n v="909.38695085849508"/>
  </r>
  <r>
    <x v="4"/>
    <n v="383021"/>
    <s v="T1"/>
    <n v="1"/>
    <n v="3663602873808"/>
    <s v="TABLETTE MELAMINE BLANC 2000X400 16MM"/>
    <n v="69"/>
    <n v="1"/>
    <n v="737.57942332669472"/>
  </r>
  <r>
    <x v="4"/>
    <n v="302481"/>
    <s v="T1"/>
    <n v="1"/>
    <n v="3663602997856"/>
    <s v="STRATIFIE GEELONG 7MM AC3"/>
    <n v="52"/>
    <n v="1"/>
    <n v="1068.295792850595"/>
  </r>
  <r>
    <x v="4"/>
    <n v="303216"/>
    <s v="T1"/>
    <n v="1"/>
    <n v="3663602918042"/>
    <s v="SOUS-COUCHE FIBRE DE BOIS 6,99M2 5MM"/>
    <n v="26"/>
    <n v="1"/>
    <n v="875.53959854014806"/>
  </r>
  <r>
    <x v="4"/>
    <n v="303472"/>
    <s v="T1"/>
    <n v="1"/>
    <n v="5059340285979"/>
    <s v="STRATIFIE TOWNSVILLE NAT 7MM AC3"/>
    <n v="52"/>
    <n v="1"/>
    <n v="1068.2325812274344"/>
  </r>
  <r>
    <x v="5"/>
    <n v="441369"/>
    <s v="T1"/>
    <n v="1"/>
    <n v="8022452018282"/>
    <s v="MORTIER COLLE FLEX M-S GRIS 25KG"/>
    <n v="50"/>
    <n v="1"/>
    <n v="843.15568405953002"/>
  </r>
  <r>
    <x v="5"/>
    <n v="410134"/>
    <s v="T1"/>
    <n v="1"/>
    <n v="5059340192161"/>
    <s v="GCE INT 60X60 CALACATTO BLANC"/>
    <n v="48"/>
    <n v="1"/>
    <n v="918.95198246282689"/>
  </r>
  <r>
    <x v="0"/>
    <n v="520834"/>
    <s v="T1"/>
    <n v="1"/>
    <n v="5414849578098"/>
    <s v="CHAUFFE EAU STEATITE ACAPULCO 200L"/>
    <n v="4"/>
    <n v="1"/>
    <n v="1662.3072400513499"/>
  </r>
  <r>
    <x v="0"/>
    <n v="501700"/>
    <s v="T1"/>
    <n v="1"/>
    <n v="5059340206271"/>
    <s v="RAD ACIER TYPE 22 H60XL40 BODNER"/>
    <n v="1"/>
    <n v="1"/>
    <n v="479.2"/>
  </r>
  <r>
    <x v="0"/>
    <n v="501701"/>
    <s v="T1"/>
    <n v="1"/>
    <n v="5059340206288"/>
    <s v="RAD ACIER TYPE 22 H60XL60 BODNER"/>
    <n v="1"/>
    <n v="1"/>
    <n v="954.5375588865096"/>
  </r>
  <r>
    <x v="0"/>
    <n v="501702"/>
    <s v="T1"/>
    <n v="1"/>
    <n v="5059340206295"/>
    <s v="RAD ACIER TYPE 22 H60XL80 BODNER"/>
    <n v="1"/>
    <n v="1"/>
    <n v="1075.8625444596444"/>
  </r>
  <r>
    <x v="0"/>
    <n v="501703"/>
    <s v="T1"/>
    <n v="1"/>
    <n v="5059340206301"/>
    <s v="RAD ACIER TYPE 22 H60XL100 BODNER"/>
    <n v="1"/>
    <n v="1"/>
    <n v="1197.0206451612898"/>
  </r>
  <r>
    <x v="0"/>
    <n v="501704"/>
    <s v="T1"/>
    <n v="1"/>
    <n v="5059340213583"/>
    <s v="RAD ACIER TYPE 22 H60XL120 BODNER"/>
    <n v="1"/>
    <n v="1"/>
    <n v="1435.2495384615361"/>
  </r>
  <r>
    <x v="0"/>
    <n v="520400"/>
    <s v="T1"/>
    <n v="1"/>
    <n v="3403699011024"/>
    <s v="CHAUFFE EAU THERMOPLONGE 200L"/>
    <n v="4"/>
    <n v="1"/>
    <n v="1109.90625"/>
  </r>
  <r>
    <x v="0"/>
    <n v="501284"/>
    <s v="T1"/>
    <n v="1"/>
    <n v="5059340162027"/>
    <s v="MEUBLE S/VASQUE A SUSPENDRE L.60CM ARUNA"/>
    <n v="24"/>
    <n v="1"/>
    <n v="269.61697416974164"/>
  </r>
  <r>
    <x v="0"/>
    <n v="501285"/>
    <s v="T1"/>
    <n v="1"/>
    <n v="5059340162034"/>
    <s v="COLONNE A SUSPENDRE L27,5XH112XD32 ARUNA"/>
    <n v="1"/>
    <n v="1"/>
    <n v="431.63488843813377"/>
  </r>
  <r>
    <x v="0"/>
    <n v="501552"/>
    <s v="T1"/>
    <n v="1"/>
    <n v="5059340162973"/>
    <s v="PLAN VASQUE CERAMIQUE 60CM ARUNA"/>
    <n v="25"/>
    <n v="1"/>
    <n v="263.56304849884498"/>
  </r>
  <r>
    <x v="0"/>
    <n v="501553"/>
    <s v="T1"/>
    <n v="1"/>
    <n v="5059340162058"/>
    <s v="MIROIR ET LUMINAIRE ARUNA"/>
    <n v="45"/>
    <n v="1"/>
    <n v="244.91659327925822"/>
  </r>
  <r>
    <x v="0"/>
    <n v="519989"/>
    <s v="T1"/>
    <n v="1"/>
    <n v="5057741276336"/>
    <s v="PACK WC TAPIA SORTIE HORIZONTALE"/>
    <n v="12"/>
    <n v="1"/>
    <n v="658.4796"/>
  </r>
  <r>
    <x v="6"/>
    <n v="700656"/>
    <s v="T1"/>
    <n v="1"/>
    <n v="5059340264479"/>
    <s v="BLANC 10L SATIN EVALUX 2 EN 1"/>
    <n v="1"/>
    <n v="1"/>
    <n v="2633.122586307783"/>
  </r>
  <r>
    <x v="6"/>
    <n v="700646"/>
    <s v="T1"/>
    <n v="1"/>
    <n v="5059340264363"/>
    <s v="BLANC 10L SATIN EVALUX"/>
    <n v="1"/>
    <n v="1"/>
    <n v="1622.2398673300158"/>
  </r>
  <r>
    <x v="6"/>
    <n v="700654"/>
    <s v="T1"/>
    <n v="1"/>
    <n v="5059340264455"/>
    <s v="BLANC 10L MAT EVALUX 2 EN 1"/>
    <n v="1"/>
    <n v="1"/>
    <n v="2106.0379579349924"/>
  </r>
  <r>
    <x v="6"/>
    <n v="700660"/>
    <s v="T1"/>
    <n v="1"/>
    <n v="5059340264516"/>
    <s v="BLANC 10L MAT EVALUX"/>
    <n v="1"/>
    <n v="1"/>
    <n v="1313.1600092485555"/>
  </r>
  <r>
    <x v="6"/>
    <n v="722216"/>
    <s v="T1"/>
    <n v="1"/>
    <n v="5059340484778"/>
    <s v="PERCHE 180MM 3MANCH MURS PLAF BRN"/>
    <n v="9"/>
    <n v="1"/>
    <m/>
  </r>
  <r>
    <x v="6"/>
    <n v="784247"/>
    <s v="T1"/>
    <n v="1"/>
    <n v="3663602954019"/>
    <s v="BACHE PLASTIQUE 4X5M DIALL"/>
    <n v="10"/>
    <s v="-"/>
    <n v="222.29815481548152"/>
  </r>
  <r>
    <x v="6"/>
    <n v="700393"/>
    <s v="T1"/>
    <n v="1"/>
    <n v="3700101801069"/>
    <s v="KIT ISOLATION PORTE DE GARAGE THERMEO"/>
    <n v="15"/>
    <n v="1"/>
    <n v="546.02239018824753"/>
  </r>
  <r>
    <x v="6"/>
    <n v="704307"/>
    <s v="T1"/>
    <n v="1"/>
    <n v="3663602884330"/>
    <s v="ROULEAU LIÈGE 5MX0,50M 4 MM"/>
    <n v="9"/>
    <n v="1"/>
    <n v="411.48182819383203"/>
  </r>
  <r>
    <x v="6"/>
    <n v="700417"/>
    <s v="T1"/>
    <n v="1"/>
    <n v="3549212478520"/>
    <s v="COLLE LIEGE 3KG"/>
    <n v="1"/>
    <n v="0.9"/>
    <n v="399.85347985348"/>
  </r>
  <r>
    <x v="6"/>
    <n v="721974"/>
    <s v="T1"/>
    <n v="1"/>
    <n v="5411183179356"/>
    <s v="LOT DE 3 MOUSSES EXPANSIVES SOUDAL 500ML"/>
    <n v="4"/>
    <n v="1"/>
    <n v="593.99620933313747"/>
  </r>
  <r>
    <x v="1"/>
    <n v="800071"/>
    <s v="T1"/>
    <n v="1"/>
    <n v="8018678833006"/>
    <s v="GAINE ICTA D.20 100 ML"/>
    <n v="56"/>
    <n v="1"/>
    <n v="613.80614466957002"/>
  </r>
  <r>
    <x v="1"/>
    <n v="801634"/>
    <s v="T1"/>
    <n v="1"/>
    <n v="5059340396200"/>
    <s v="SECHE SERVIETTE MEGI 750W"/>
    <n v="1"/>
    <n v="1"/>
    <n v="1422.3963421828912"/>
  </r>
  <r>
    <x v="1"/>
    <n v="801633"/>
    <s v="T1"/>
    <n v="1"/>
    <n v="5059340396194"/>
    <s v="SECHE SERVIETTE MEGI 500W"/>
    <n v="1"/>
    <n v="1"/>
    <n v="1722.8184931506848"/>
  </r>
  <r>
    <x v="1"/>
    <n v="801093"/>
    <s v="T1"/>
    <n v="1"/>
    <n v="3465700044674"/>
    <s v="RAD INERTIE ORIGIN CONCORDE 1000W"/>
    <n v="16"/>
    <n v="1"/>
    <n v="2537.7519040166881"/>
  </r>
  <r>
    <x v="1"/>
    <n v="801094"/>
    <s v="T1"/>
    <n v="1"/>
    <n v="3465700044681"/>
    <s v="RAD INERTIE ORIGIN CONCORDE 1500W"/>
    <n v="14"/>
    <n v="1"/>
    <n v="2778.7854616895938"/>
  </r>
  <r>
    <x v="1"/>
    <n v="815139"/>
    <s v="T1"/>
    <n v="1"/>
    <n v="3663602842675"/>
    <s v="HOTTE INCLINEE NOIRE 60CM COOKE&amp;LEWIS"/>
    <n v="6"/>
    <n v="1"/>
    <n v="1188.3555194805181"/>
  </r>
  <r>
    <x v="1"/>
    <n v="811892"/>
    <s v="T1"/>
    <n v="1"/>
    <n v="8027788370998"/>
    <s v="GAINE.ICTA.PREF.D20 3X2.5 100M"/>
    <n v="48"/>
    <n v="1"/>
    <n v="6044.5155398230081"/>
  </r>
  <r>
    <x v="1"/>
    <n v="812326"/>
    <s v="T1"/>
    <n v="1"/>
    <n v="8719379148696"/>
    <s v="GAINE ICTA PREF D16 3X1.5 100M"/>
    <n v="48"/>
    <n v="1"/>
    <n v="3946.945143992054"/>
  </r>
  <r>
    <x v="7"/>
    <m/>
    <m/>
    <m/>
    <m/>
    <m/>
    <m/>
    <m/>
    <m/>
  </r>
  <r>
    <x v="7"/>
    <m/>
    <m/>
    <m/>
    <m/>
    <m/>
    <m/>
    <m/>
    <m/>
  </r>
  <r>
    <x v="7"/>
    <m/>
    <m/>
    <m/>
    <m/>
    <m/>
    <m/>
    <m/>
    <m/>
  </r>
  <r>
    <x v="7"/>
    <m/>
    <m/>
    <m/>
    <m/>
    <m/>
    <m/>
    <m/>
    <m/>
  </r>
  <r>
    <x v="7"/>
    <m/>
    <m/>
    <m/>
    <m/>
    <m/>
    <m/>
    <m/>
    <m/>
  </r>
  <r>
    <x v="7"/>
    <m/>
    <m/>
    <m/>
    <m/>
    <m/>
    <m/>
    <m/>
    <m/>
  </r>
  <r>
    <x v="7"/>
    <m/>
    <m/>
    <m/>
    <m/>
    <m/>
    <m/>
    <m/>
    <m/>
  </r>
  <r>
    <x v="7"/>
    <m/>
    <m/>
    <m/>
    <m/>
    <m/>
    <m/>
    <m/>
    <m/>
  </r>
  <r>
    <x v="7"/>
    <m/>
    <m/>
    <m/>
    <m/>
    <m/>
    <m/>
    <m/>
    <m/>
  </r>
  <r>
    <x v="7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repartition_rayon" cacheId="28113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 rowHeaderCaption="Rayons">
  <location ref="A1:B9" firstHeaderRow="1" firstDataRow="1" firstDataCol="1"/>
  <pivotFields count="1">
    <pivotField axis="axisRow" dataField="1" multipleItemSelectionAllowed="1" showAll="0">
      <items count="11">
        <item x="4"/>
        <item x="5"/>
        <item x="0"/>
        <item x="7"/>
        <item x="2"/>
        <item x="3"/>
        <item m="1" x="9"/>
        <item x="6"/>
        <item m="1" x="8"/>
        <item x="1"/>
        <item t="default"/>
      </items>
    </pivotField>
  </pivotFields>
  <rowFields count="1">
    <field x="0"/>
  </rowFields>
  <rowItems count="8">
    <i>
      <x/>
    </i>
    <i>
      <x v="1"/>
    </i>
    <i>
      <x v="2"/>
    </i>
    <i>
      <x v="4"/>
    </i>
    <i>
      <x v="5"/>
    </i>
    <i>
      <x v="7"/>
    </i>
    <i>
      <x v="9"/>
    </i>
    <i t="grand">
      <x/>
    </i>
  </rowItems>
  <colItems count="1">
    <i/>
  </colItems>
  <dataFields count="1">
    <dataField name="Repartition des Rayons" fld="0" subtotal="count" baseField="0" baseItem="1"/>
  </dataFields>
  <chartFormats count="10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NotContains" evalOrder="-1" id="3" stringValue1="(vide)">
      <autoFilter ref="A1">
        <filterColumn colId="0">
          <customFilters>
            <customFilter operator="notEqual" val="*(vide)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ca_engage" cacheId="28114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2" rowHeaderCaption="Rayons">
  <location ref="I1:J9" firstHeaderRow="1" firstDataRow="1" firstDataCol="1"/>
  <pivotFields count="9">
    <pivotField axis="axisRow" showAll="0">
      <items count="11">
        <item x="4"/>
        <item x="5"/>
        <item x="0"/>
        <item x="7"/>
        <item x="6"/>
        <item x="3"/>
        <item x="2"/>
        <item m="1" x="9"/>
        <item m="1" x="8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8">
    <i>
      <x/>
    </i>
    <i>
      <x v="1"/>
    </i>
    <i>
      <x v="2"/>
    </i>
    <i>
      <x v="4"/>
    </i>
    <i>
      <x v="5"/>
    </i>
    <i>
      <x v="6"/>
    </i>
    <i>
      <x v="9"/>
    </i>
    <i t="grand">
      <x/>
    </i>
  </rowItems>
  <colItems count="1">
    <i/>
  </colItems>
  <dataFields count="1">
    <dataField name="Somme de CA Engage" fld="8" baseField="0" baseItem="0" numFmtId="164"/>
  </dataFields>
  <formats count="1">
    <format dxfId="0">
      <pivotArea outline="0" collapsedLevelsAreSubtotals="1" fieldPosition="0"/>
    </format>
  </format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NotContains" evalOrder="-1" id="1" stringValue1="(vide)">
      <autoFilter ref="A1">
        <filterColumn colId="0">
          <customFilters>
            <customFilter operator="notEqual" val="*(vide)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B1:AB4"/>
  <sheetViews>
    <sheetView workbookViewId="0">
      <selection activeCell="B1" sqref="B1:D1"/>
    </sheetView>
  </sheetViews>
  <sheetFormatPr defaultColWidth="11.42578125" defaultRowHeight="14.45"/>
  <cols>
    <col min="1" max="1" width="5.5703125" customWidth="1"/>
    <col min="2" max="3" width="16.7109375" customWidth="1"/>
    <col min="4" max="4" width="19.28515625" bestFit="1" customWidth="1"/>
  </cols>
  <sheetData>
    <row r="1" spans="2:28" ht="42.6" customHeight="1">
      <c r="B1" s="48" t="s">
        <v>0</v>
      </c>
      <c r="C1" s="48"/>
      <c r="D1" s="48"/>
    </row>
    <row r="2" spans="2:28" ht="36" customHeight="1" thickBot="1">
      <c r="B2" s="26" t="s">
        <v>1</v>
      </c>
      <c r="C2" s="26" t="s">
        <v>2</v>
      </c>
      <c r="D2" s="26" t="s">
        <v>3</v>
      </c>
    </row>
    <row r="3" spans="2:28" ht="25.15" customHeight="1" thickBot="1">
      <c r="B3" s="23" t="s">
        <v>4</v>
      </c>
      <c r="C3" s="24">
        <v>2023</v>
      </c>
      <c r="D3" s="25" t="s">
        <v>5</v>
      </c>
    </row>
    <row r="4" spans="2:28">
      <c r="AB4" s="36" t="s">
        <v>6</v>
      </c>
    </row>
  </sheetData>
  <mergeCells count="1">
    <mergeCell ref="B1:D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Z70"/>
  <sheetViews>
    <sheetView tabSelected="1" topLeftCell="G1" workbookViewId="0">
      <selection activeCell="O12" sqref="O12"/>
    </sheetView>
  </sheetViews>
  <sheetFormatPr defaultColWidth="11.42578125" defaultRowHeight="14.45"/>
  <cols>
    <col min="2" max="2" width="17.42578125" bestFit="1" customWidth="1"/>
    <col min="3" max="3" width="11.5703125" style="35"/>
    <col min="4" max="4" width="11.5703125" style="29"/>
    <col min="5" max="5" width="11.5703125" style="16"/>
    <col min="7" max="7" width="16.42578125" customWidth="1"/>
    <col min="8" max="8" width="42.42578125" bestFit="1" customWidth="1"/>
    <col min="10" max="10" width="11.5703125" style="9"/>
    <col min="11" max="11" width="11.5703125" style="33"/>
    <col min="12" max="12" width="12.5703125" style="9" bestFit="1" customWidth="1"/>
    <col min="13" max="13" width="11.5703125" style="11"/>
    <col min="14" max="14" width="11.5703125"/>
    <col min="15" max="25" width="11.5703125" style="13"/>
    <col min="26" max="26" width="15.5703125" bestFit="1" customWidth="1"/>
  </cols>
  <sheetData>
    <row r="1" spans="1:26" ht="24">
      <c r="A1" s="4" t="s">
        <v>1</v>
      </c>
      <c r="B1" s="4" t="s">
        <v>7</v>
      </c>
      <c r="C1" s="34" t="s">
        <v>8</v>
      </c>
      <c r="D1" s="27" t="s">
        <v>9</v>
      </c>
      <c r="E1" s="1" t="s">
        <v>10</v>
      </c>
      <c r="F1" s="1" t="s">
        <v>11</v>
      </c>
      <c r="G1" s="1" t="s">
        <v>12</v>
      </c>
      <c r="H1" s="1" t="s">
        <v>13</v>
      </c>
      <c r="I1" s="1" t="s">
        <v>14</v>
      </c>
      <c r="J1" s="6" t="s">
        <v>15</v>
      </c>
      <c r="K1" s="31" t="s">
        <v>16</v>
      </c>
      <c r="L1" s="21" t="s">
        <v>17</v>
      </c>
      <c r="M1" s="19" t="s">
        <v>18</v>
      </c>
      <c r="N1" s="5" t="s">
        <v>19</v>
      </c>
      <c r="O1" s="12" t="s">
        <v>20</v>
      </c>
      <c r="P1" s="12" t="s">
        <v>21</v>
      </c>
      <c r="Q1" s="12" t="s">
        <v>22</v>
      </c>
      <c r="R1" s="12" t="s">
        <v>23</v>
      </c>
      <c r="S1" s="12" t="s">
        <v>24</v>
      </c>
      <c r="T1" s="12" t="s">
        <v>25</v>
      </c>
      <c r="U1" s="12" t="s">
        <v>26</v>
      </c>
      <c r="V1" s="12" t="s">
        <v>27</v>
      </c>
      <c r="W1" s="12" t="s">
        <v>28</v>
      </c>
      <c r="X1" s="12" t="s">
        <v>29</v>
      </c>
      <c r="Y1" s="12" t="s">
        <v>30</v>
      </c>
      <c r="Z1" s="30" t="s">
        <v>31</v>
      </c>
    </row>
    <row r="2" spans="1:26" s="45" customFormat="1">
      <c r="A2" s="37" t="s">
        <v>4</v>
      </c>
      <c r="B2" s="37" t="s">
        <v>5</v>
      </c>
      <c r="C2" s="38" t="s">
        <v>32</v>
      </c>
      <c r="D2" s="39">
        <v>500097</v>
      </c>
      <c r="E2" s="40" t="s">
        <v>33</v>
      </c>
      <c r="F2" s="38">
        <f t="shared" ref="F2:F13" si="0">COUNTIF(D:D,D2)</f>
        <v>1</v>
      </c>
      <c r="G2" s="40">
        <v>8020351001312</v>
      </c>
      <c r="H2" s="38" t="s">
        <v>34</v>
      </c>
      <c r="I2" s="38">
        <v>4</v>
      </c>
      <c r="J2" s="41">
        <v>1</v>
      </c>
      <c r="K2" s="42">
        <v>1750.3471711711679</v>
      </c>
      <c r="L2" s="41">
        <v>0.02</v>
      </c>
      <c r="M2" s="43" t="s">
        <v>35</v>
      </c>
      <c r="N2" s="44">
        <v>8</v>
      </c>
      <c r="O2" s="38">
        <v>1</v>
      </c>
      <c r="P2" s="38">
        <v>2</v>
      </c>
      <c r="Q2" s="38">
        <v>3</v>
      </c>
      <c r="R2" s="38">
        <v>4</v>
      </c>
      <c r="S2" s="38">
        <v>5</v>
      </c>
      <c r="T2" s="38">
        <v>6</v>
      </c>
      <c r="U2" s="38">
        <v>7</v>
      </c>
      <c r="V2" s="38">
        <v>8</v>
      </c>
      <c r="W2" s="38">
        <v>9</v>
      </c>
      <c r="X2" s="38">
        <v>10</v>
      </c>
      <c r="Y2" s="38">
        <v>11</v>
      </c>
      <c r="Z2" s="45">
        <v>1</v>
      </c>
    </row>
    <row r="3" spans="1:26" s="45" customFormat="1">
      <c r="A3" s="37" t="s">
        <v>4</v>
      </c>
      <c r="B3" s="37" t="s">
        <v>5</v>
      </c>
      <c r="C3" s="38" t="s">
        <v>32</v>
      </c>
      <c r="D3" s="39">
        <v>500112</v>
      </c>
      <c r="E3" s="40" t="s">
        <v>33</v>
      </c>
      <c r="F3" s="38">
        <f t="shared" si="0"/>
        <v>1</v>
      </c>
      <c r="G3" s="40">
        <v>3540731131125</v>
      </c>
      <c r="H3" s="38" t="s">
        <v>36</v>
      </c>
      <c r="I3" s="38">
        <v>27</v>
      </c>
      <c r="J3" s="41">
        <v>1</v>
      </c>
      <c r="K3" s="42">
        <v>1121.6105490848597</v>
      </c>
      <c r="L3" s="41">
        <v>0.24</v>
      </c>
      <c r="M3" s="43">
        <v>3.67</v>
      </c>
      <c r="N3" s="44">
        <v>54</v>
      </c>
      <c r="O3" s="38">
        <v>9</v>
      </c>
      <c r="P3" s="38">
        <v>18</v>
      </c>
      <c r="Q3" s="38">
        <v>27</v>
      </c>
      <c r="R3" s="38">
        <v>36</v>
      </c>
      <c r="S3" s="38">
        <v>45</v>
      </c>
      <c r="T3" s="38">
        <v>54</v>
      </c>
      <c r="U3" s="38">
        <v>63</v>
      </c>
      <c r="V3" s="38">
        <v>72</v>
      </c>
      <c r="W3" s="38">
        <v>81</v>
      </c>
      <c r="X3" s="38">
        <v>90</v>
      </c>
      <c r="Y3" s="38">
        <v>99</v>
      </c>
      <c r="Z3" s="45">
        <v>1</v>
      </c>
    </row>
    <row r="4" spans="1:26" s="45" customFormat="1">
      <c r="A4" s="37" t="s">
        <v>4</v>
      </c>
      <c r="B4" s="37" t="s">
        <v>5</v>
      </c>
      <c r="C4" s="38" t="s">
        <v>32</v>
      </c>
      <c r="D4" s="39">
        <v>500114</v>
      </c>
      <c r="E4" s="40" t="s">
        <v>33</v>
      </c>
      <c r="F4" s="38">
        <f t="shared" si="0"/>
        <v>1</v>
      </c>
      <c r="G4" s="40">
        <v>3540731115163</v>
      </c>
      <c r="H4" s="38" t="s">
        <v>37</v>
      </c>
      <c r="I4" s="38">
        <v>27</v>
      </c>
      <c r="J4" s="41">
        <v>1</v>
      </c>
      <c r="K4" s="42">
        <v>1121.6512280701763</v>
      </c>
      <c r="L4" s="41">
        <v>0.23</v>
      </c>
      <c r="M4" s="43">
        <v>2.89</v>
      </c>
      <c r="N4" s="44">
        <v>54</v>
      </c>
      <c r="O4" s="38">
        <v>9</v>
      </c>
      <c r="P4" s="38">
        <v>18</v>
      </c>
      <c r="Q4" s="38">
        <v>27</v>
      </c>
      <c r="R4" s="38">
        <v>36</v>
      </c>
      <c r="S4" s="38">
        <v>45</v>
      </c>
      <c r="T4" s="38">
        <v>54</v>
      </c>
      <c r="U4" s="38">
        <v>63</v>
      </c>
      <c r="V4" s="38">
        <v>72</v>
      </c>
      <c r="W4" s="38">
        <v>81</v>
      </c>
      <c r="X4" s="38">
        <v>90</v>
      </c>
      <c r="Y4" s="38">
        <v>99</v>
      </c>
      <c r="Z4" s="45">
        <v>1</v>
      </c>
    </row>
    <row r="5" spans="1:26" s="45" customFormat="1">
      <c r="A5" s="37" t="s">
        <v>4</v>
      </c>
      <c r="B5" s="37" t="s">
        <v>5</v>
      </c>
      <c r="C5" s="38" t="s">
        <v>38</v>
      </c>
      <c r="D5" s="46">
        <v>842181</v>
      </c>
      <c r="E5" s="40" t="s">
        <v>33</v>
      </c>
      <c r="F5" s="38">
        <f t="shared" si="0"/>
        <v>1</v>
      </c>
      <c r="G5" s="40">
        <v>3663602760993</v>
      </c>
      <c r="H5" s="38" t="s">
        <v>39</v>
      </c>
      <c r="I5" s="38">
        <v>8</v>
      </c>
      <c r="J5" s="41">
        <v>1</v>
      </c>
      <c r="K5" s="42">
        <v>2039.2781003799232</v>
      </c>
      <c r="L5" s="41">
        <v>0.35</v>
      </c>
      <c r="M5" s="43">
        <v>2.11</v>
      </c>
      <c r="N5" s="44">
        <v>98</v>
      </c>
      <c r="O5" s="38">
        <v>16</v>
      </c>
      <c r="P5" s="38">
        <v>32</v>
      </c>
      <c r="Q5" s="38">
        <v>48</v>
      </c>
      <c r="R5" s="38">
        <v>64</v>
      </c>
      <c r="S5" s="38">
        <v>80</v>
      </c>
      <c r="T5" s="38">
        <v>96</v>
      </c>
      <c r="U5" s="38">
        <v>112</v>
      </c>
      <c r="V5" s="38">
        <v>128</v>
      </c>
      <c r="W5" s="38">
        <v>144</v>
      </c>
      <c r="X5" s="38">
        <v>160</v>
      </c>
      <c r="Y5" s="38">
        <v>176</v>
      </c>
      <c r="Z5" s="45">
        <v>1</v>
      </c>
    </row>
    <row r="6" spans="1:26" s="45" customFormat="1">
      <c r="A6" s="37" t="s">
        <v>4</v>
      </c>
      <c r="B6" s="37" t="s">
        <v>5</v>
      </c>
      <c r="C6" s="38" t="s">
        <v>38</v>
      </c>
      <c r="D6" s="46">
        <v>842175</v>
      </c>
      <c r="E6" s="40" t="s">
        <v>33</v>
      </c>
      <c r="F6" s="38">
        <f t="shared" si="0"/>
        <v>1</v>
      </c>
      <c r="G6" s="40">
        <v>3663602761129</v>
      </c>
      <c r="H6" s="38" t="s">
        <v>40</v>
      </c>
      <c r="I6" s="38">
        <v>8</v>
      </c>
      <c r="J6" s="41">
        <v>1</v>
      </c>
      <c r="K6" s="42">
        <v>372.23258706467749</v>
      </c>
      <c r="L6" s="41">
        <v>0.39</v>
      </c>
      <c r="M6" s="43">
        <v>2.7</v>
      </c>
      <c r="N6" s="44">
        <v>25</v>
      </c>
      <c r="O6" s="38">
        <v>4</v>
      </c>
      <c r="P6" s="38">
        <v>8</v>
      </c>
      <c r="Q6" s="38">
        <v>12</v>
      </c>
      <c r="R6" s="38">
        <v>16</v>
      </c>
      <c r="S6" s="38">
        <v>20</v>
      </c>
      <c r="T6" s="38">
        <v>24</v>
      </c>
      <c r="U6" s="38">
        <v>28</v>
      </c>
      <c r="V6" s="38">
        <v>32</v>
      </c>
      <c r="W6" s="38">
        <v>36</v>
      </c>
      <c r="X6" s="38">
        <v>40</v>
      </c>
      <c r="Y6" s="38">
        <v>44</v>
      </c>
      <c r="Z6" s="45">
        <v>1</v>
      </c>
    </row>
    <row r="7" spans="1:26" s="45" customFormat="1">
      <c r="A7" s="37" t="s">
        <v>4</v>
      </c>
      <c r="B7" s="37" t="s">
        <v>5</v>
      </c>
      <c r="C7" s="38" t="s">
        <v>38</v>
      </c>
      <c r="D7" s="46">
        <v>842159</v>
      </c>
      <c r="E7" s="40" t="s">
        <v>33</v>
      </c>
      <c r="F7" s="38">
        <f t="shared" si="0"/>
        <v>1</v>
      </c>
      <c r="G7" s="40">
        <v>3663602761112</v>
      </c>
      <c r="H7" s="38" t="s">
        <v>41</v>
      </c>
      <c r="I7" s="38">
        <v>8</v>
      </c>
      <c r="J7" s="41">
        <v>1</v>
      </c>
      <c r="K7" s="42">
        <v>288.7854064039409</v>
      </c>
      <c r="L7" s="41">
        <v>0.24</v>
      </c>
      <c r="M7" s="43">
        <v>2.78</v>
      </c>
      <c r="N7" s="44">
        <v>34</v>
      </c>
      <c r="O7" s="38">
        <v>6</v>
      </c>
      <c r="P7" s="38">
        <v>12</v>
      </c>
      <c r="Q7" s="38">
        <v>18</v>
      </c>
      <c r="R7" s="38">
        <v>24</v>
      </c>
      <c r="S7" s="38">
        <v>30</v>
      </c>
      <c r="T7" s="38">
        <v>36</v>
      </c>
      <c r="U7" s="38">
        <v>42</v>
      </c>
      <c r="V7" s="38">
        <v>48</v>
      </c>
      <c r="W7" s="38">
        <v>54</v>
      </c>
      <c r="X7" s="38">
        <v>60</v>
      </c>
      <c r="Y7" s="38">
        <v>66</v>
      </c>
      <c r="Z7" s="45">
        <v>1</v>
      </c>
    </row>
    <row r="8" spans="1:26" s="45" customFormat="1">
      <c r="A8" s="37" t="s">
        <v>4</v>
      </c>
      <c r="B8" s="37" t="s">
        <v>5</v>
      </c>
      <c r="C8" s="38" t="s">
        <v>38</v>
      </c>
      <c r="D8" s="39">
        <v>801775</v>
      </c>
      <c r="E8" s="40" t="s">
        <v>33</v>
      </c>
      <c r="F8" s="38">
        <f t="shared" si="0"/>
        <v>1</v>
      </c>
      <c r="G8" s="40">
        <v>5059340359076</v>
      </c>
      <c r="H8" s="38" t="s">
        <v>42</v>
      </c>
      <c r="I8" s="38">
        <v>18</v>
      </c>
      <c r="J8" s="41">
        <v>1</v>
      </c>
      <c r="K8" s="42">
        <v>696.17033898304942</v>
      </c>
      <c r="L8" s="41">
        <v>0.62</v>
      </c>
      <c r="M8" s="43">
        <v>31.87</v>
      </c>
      <c r="N8" s="44">
        <v>45</v>
      </c>
      <c r="O8" s="38">
        <v>8</v>
      </c>
      <c r="P8" s="38">
        <v>16</v>
      </c>
      <c r="Q8" s="38">
        <v>24</v>
      </c>
      <c r="R8" s="38">
        <v>32</v>
      </c>
      <c r="S8" s="38">
        <v>40</v>
      </c>
      <c r="T8" s="38">
        <v>48</v>
      </c>
      <c r="U8" s="38">
        <v>56</v>
      </c>
      <c r="V8" s="38">
        <v>64</v>
      </c>
      <c r="W8" s="38">
        <v>72</v>
      </c>
      <c r="X8" s="38">
        <v>80</v>
      </c>
      <c r="Y8" s="38">
        <v>88</v>
      </c>
      <c r="Z8" s="45">
        <v>1</v>
      </c>
    </row>
    <row r="9" spans="1:26" s="45" customFormat="1">
      <c r="A9" s="37" t="s">
        <v>4</v>
      </c>
      <c r="B9" s="37" t="s">
        <v>5</v>
      </c>
      <c r="C9" s="38" t="s">
        <v>38</v>
      </c>
      <c r="D9" s="39">
        <v>801774</v>
      </c>
      <c r="E9" s="40" t="s">
        <v>33</v>
      </c>
      <c r="F9" s="38">
        <f t="shared" si="0"/>
        <v>1</v>
      </c>
      <c r="G9" s="40">
        <v>5059340359083</v>
      </c>
      <c r="H9" s="38" t="s">
        <v>43</v>
      </c>
      <c r="I9" s="38">
        <v>18</v>
      </c>
      <c r="J9" s="41">
        <v>1</v>
      </c>
      <c r="K9" s="42">
        <v>371.84327784891116</v>
      </c>
      <c r="L9" s="41">
        <v>0.62</v>
      </c>
      <c r="M9" s="43">
        <v>39.58</v>
      </c>
      <c r="N9" s="44">
        <v>24</v>
      </c>
      <c r="O9" s="38">
        <v>4</v>
      </c>
      <c r="P9" s="38">
        <v>8</v>
      </c>
      <c r="Q9" s="38">
        <v>12</v>
      </c>
      <c r="R9" s="38">
        <v>16</v>
      </c>
      <c r="S9" s="38">
        <v>20</v>
      </c>
      <c r="T9" s="38">
        <v>24</v>
      </c>
      <c r="U9" s="38">
        <v>28</v>
      </c>
      <c r="V9" s="38">
        <v>32</v>
      </c>
      <c r="W9" s="38">
        <v>36</v>
      </c>
      <c r="X9" s="38">
        <v>40</v>
      </c>
      <c r="Y9" s="38">
        <v>44</v>
      </c>
      <c r="Z9" s="45">
        <v>1</v>
      </c>
    </row>
    <row r="10" spans="1:26" s="45" customFormat="1">
      <c r="A10" s="37" t="s">
        <v>4</v>
      </c>
      <c r="B10" s="37" t="s">
        <v>5</v>
      </c>
      <c r="C10" s="38" t="s">
        <v>38</v>
      </c>
      <c r="D10" s="39">
        <v>801776</v>
      </c>
      <c r="E10" s="40" t="s">
        <v>33</v>
      </c>
      <c r="F10" s="38">
        <f t="shared" si="0"/>
        <v>1</v>
      </c>
      <c r="G10" s="40">
        <v>5059340346854</v>
      </c>
      <c r="H10" s="38" t="s">
        <v>44</v>
      </c>
      <c r="I10" s="38">
        <v>15</v>
      </c>
      <c r="J10" s="41">
        <v>1</v>
      </c>
      <c r="K10" s="42">
        <v>377.93888439773758</v>
      </c>
      <c r="L10" s="41">
        <v>0.61</v>
      </c>
      <c r="M10" s="43">
        <v>28.68</v>
      </c>
      <c r="N10" s="44">
        <v>28</v>
      </c>
      <c r="O10" s="38">
        <v>5</v>
      </c>
      <c r="P10" s="38">
        <v>10</v>
      </c>
      <c r="Q10" s="38">
        <v>15</v>
      </c>
      <c r="R10" s="38">
        <v>20</v>
      </c>
      <c r="S10" s="38">
        <v>25</v>
      </c>
      <c r="T10" s="38">
        <v>30</v>
      </c>
      <c r="U10" s="38">
        <v>35</v>
      </c>
      <c r="V10" s="38">
        <v>40</v>
      </c>
      <c r="W10" s="38">
        <v>45</v>
      </c>
      <c r="X10" s="38">
        <v>50</v>
      </c>
      <c r="Y10" s="38">
        <v>55</v>
      </c>
      <c r="Z10" s="45">
        <v>1</v>
      </c>
    </row>
    <row r="11" spans="1:26" s="45" customFormat="1">
      <c r="A11" s="37" t="s">
        <v>4</v>
      </c>
      <c r="B11" s="37" t="s">
        <v>5</v>
      </c>
      <c r="C11" s="38" t="s">
        <v>38</v>
      </c>
      <c r="D11" s="39">
        <v>801777</v>
      </c>
      <c r="E11" s="40" t="s">
        <v>33</v>
      </c>
      <c r="F11" s="38">
        <f t="shared" si="0"/>
        <v>1</v>
      </c>
      <c r="G11" s="40">
        <v>5059340346861</v>
      </c>
      <c r="H11" s="38" t="s">
        <v>45</v>
      </c>
      <c r="I11" s="38">
        <v>15</v>
      </c>
      <c r="J11" s="41">
        <v>1</v>
      </c>
      <c r="K11" s="42">
        <v>323.92680722891521</v>
      </c>
      <c r="L11" s="41">
        <v>0.61</v>
      </c>
      <c r="M11" s="43">
        <v>22.81</v>
      </c>
      <c r="N11" s="44">
        <v>24</v>
      </c>
      <c r="O11" s="38">
        <v>4</v>
      </c>
      <c r="P11" s="38">
        <v>8</v>
      </c>
      <c r="Q11" s="38">
        <v>12</v>
      </c>
      <c r="R11" s="38">
        <v>16</v>
      </c>
      <c r="S11" s="38">
        <v>20</v>
      </c>
      <c r="T11" s="38">
        <v>24</v>
      </c>
      <c r="U11" s="38">
        <v>28</v>
      </c>
      <c r="V11" s="38">
        <v>32</v>
      </c>
      <c r="W11" s="38">
        <v>36</v>
      </c>
      <c r="X11" s="38">
        <v>40</v>
      </c>
      <c r="Y11" s="38">
        <v>44</v>
      </c>
      <c r="Z11" s="45">
        <v>1</v>
      </c>
    </row>
    <row r="12" spans="1:26" s="45" customFormat="1">
      <c r="A12" s="37" t="s">
        <v>4</v>
      </c>
      <c r="B12" s="37" t="s">
        <v>5</v>
      </c>
      <c r="C12" s="38" t="s">
        <v>38</v>
      </c>
      <c r="D12" s="39">
        <v>801772</v>
      </c>
      <c r="E12" s="40" t="s">
        <v>33</v>
      </c>
      <c r="F12" s="38">
        <f t="shared" si="0"/>
        <v>1</v>
      </c>
      <c r="G12" s="40">
        <v>5059340346427</v>
      </c>
      <c r="H12" s="38" t="s">
        <v>46</v>
      </c>
      <c r="I12" s="38">
        <v>15</v>
      </c>
      <c r="J12" s="41">
        <v>1</v>
      </c>
      <c r="K12" s="42">
        <v>624.77106227106003</v>
      </c>
      <c r="L12" s="41">
        <v>0.56000000000000005</v>
      </c>
      <c r="M12" s="43">
        <v>28.23</v>
      </c>
      <c r="N12" s="44">
        <v>50</v>
      </c>
      <c r="O12" s="38">
        <v>8</v>
      </c>
      <c r="P12" s="38">
        <v>16</v>
      </c>
      <c r="Q12" s="38">
        <v>24</v>
      </c>
      <c r="R12" s="38">
        <v>32</v>
      </c>
      <c r="S12" s="38">
        <v>40</v>
      </c>
      <c r="T12" s="38">
        <v>48</v>
      </c>
      <c r="U12" s="38">
        <v>56</v>
      </c>
      <c r="V12" s="38">
        <v>64</v>
      </c>
      <c r="W12" s="38">
        <v>72</v>
      </c>
      <c r="X12" s="38">
        <v>80</v>
      </c>
      <c r="Y12" s="38">
        <v>88</v>
      </c>
      <c r="Z12" s="45">
        <v>1</v>
      </c>
    </row>
    <row r="13" spans="1:26" s="45" customFormat="1">
      <c r="A13" s="37" t="s">
        <v>4</v>
      </c>
      <c r="B13" s="37" t="s">
        <v>5</v>
      </c>
      <c r="C13" s="38" t="s">
        <v>38</v>
      </c>
      <c r="D13" s="39">
        <v>801773</v>
      </c>
      <c r="E13" s="40" t="s">
        <v>33</v>
      </c>
      <c r="F13" s="38">
        <f t="shared" si="0"/>
        <v>1</v>
      </c>
      <c r="G13" s="40">
        <v>5059340346434</v>
      </c>
      <c r="H13" s="38" t="s">
        <v>47</v>
      </c>
      <c r="I13" s="38">
        <v>15</v>
      </c>
      <c r="J13" s="41">
        <v>1</v>
      </c>
      <c r="K13" s="42">
        <v>773.64217479674573</v>
      </c>
      <c r="L13" s="41">
        <v>0.56000000000000005</v>
      </c>
      <c r="M13" s="43">
        <v>25.74</v>
      </c>
      <c r="N13" s="44">
        <v>62</v>
      </c>
      <c r="O13" s="38">
        <v>10</v>
      </c>
      <c r="P13" s="38">
        <v>20</v>
      </c>
      <c r="Q13" s="38">
        <v>30</v>
      </c>
      <c r="R13" s="38">
        <v>40</v>
      </c>
      <c r="S13" s="38">
        <v>50</v>
      </c>
      <c r="T13" s="38">
        <v>60</v>
      </c>
      <c r="U13" s="38">
        <v>70</v>
      </c>
      <c r="V13" s="38">
        <v>80</v>
      </c>
      <c r="W13" s="38">
        <v>90</v>
      </c>
      <c r="X13" s="38">
        <v>100</v>
      </c>
      <c r="Y13" s="38">
        <v>110</v>
      </c>
      <c r="Z13" s="45">
        <v>1</v>
      </c>
    </row>
    <row r="14" spans="1:26">
      <c r="A14" s="7" t="s">
        <v>4</v>
      </c>
      <c r="B14" s="7" t="s">
        <v>5</v>
      </c>
      <c r="C14" s="3" t="s">
        <v>48</v>
      </c>
      <c r="D14" s="28">
        <v>100483</v>
      </c>
      <c r="E14" s="15" t="s">
        <v>33</v>
      </c>
      <c r="F14" s="2">
        <f>COUNTIF(D:D,D14)</f>
        <v>1</v>
      </c>
      <c r="G14" s="3">
        <v>5059340215044</v>
      </c>
      <c r="H14" s="2" t="s">
        <v>49</v>
      </c>
      <c r="I14" s="10">
        <v>21</v>
      </c>
      <c r="J14" s="8">
        <v>1</v>
      </c>
      <c r="K14" s="32">
        <v>898.19215981907303</v>
      </c>
      <c r="L14" s="8">
        <v>0.1</v>
      </c>
      <c r="M14" s="20">
        <v>0.33</v>
      </c>
      <c r="N14" s="14">
        <v>10</v>
      </c>
      <c r="O14" s="10">
        <v>2</v>
      </c>
      <c r="P14" s="10">
        <v>4</v>
      </c>
      <c r="Q14" s="10">
        <v>6</v>
      </c>
      <c r="R14" s="10">
        <v>8</v>
      </c>
      <c r="S14" s="10">
        <v>10</v>
      </c>
      <c r="T14" s="10">
        <v>12</v>
      </c>
      <c r="U14" s="10">
        <v>14</v>
      </c>
      <c r="V14" s="10">
        <v>16</v>
      </c>
      <c r="W14" s="10">
        <v>18</v>
      </c>
      <c r="X14" s="10">
        <v>20</v>
      </c>
      <c r="Y14" s="10">
        <v>22</v>
      </c>
    </row>
    <row r="15" spans="1:26">
      <c r="A15" s="7" t="s">
        <v>4</v>
      </c>
      <c r="B15" s="7" t="s">
        <v>5</v>
      </c>
      <c r="C15" s="3" t="s">
        <v>48</v>
      </c>
      <c r="D15" s="28">
        <v>103057</v>
      </c>
      <c r="E15" s="15" t="s">
        <v>33</v>
      </c>
      <c r="F15" s="2">
        <f>COUNTIF(D:D,D15)</f>
        <v>1</v>
      </c>
      <c r="G15" s="3">
        <v>3663602991588</v>
      </c>
      <c r="H15" s="2" t="s">
        <v>50</v>
      </c>
      <c r="I15" s="10">
        <v>15</v>
      </c>
      <c r="J15" s="8">
        <v>1</v>
      </c>
      <c r="K15" s="32">
        <v>634.17221350078501</v>
      </c>
      <c r="L15" s="8">
        <v>0.26</v>
      </c>
      <c r="M15" s="20">
        <v>1.1399999999999999</v>
      </c>
      <c r="N15" s="14">
        <v>10</v>
      </c>
      <c r="O15" s="10">
        <v>2</v>
      </c>
      <c r="P15" s="10">
        <v>4</v>
      </c>
      <c r="Q15" s="10">
        <v>6</v>
      </c>
      <c r="R15" s="10">
        <v>8</v>
      </c>
      <c r="S15" s="10">
        <v>10</v>
      </c>
      <c r="T15" s="10">
        <v>12</v>
      </c>
      <c r="U15" s="10">
        <v>14</v>
      </c>
      <c r="V15" s="10">
        <v>16</v>
      </c>
      <c r="W15" s="10">
        <v>18</v>
      </c>
      <c r="X15" s="10">
        <v>20</v>
      </c>
      <c r="Y15" s="10">
        <v>22</v>
      </c>
    </row>
    <row r="16" spans="1:26">
      <c r="A16" s="7" t="s">
        <v>4</v>
      </c>
      <c r="B16" s="7" t="s">
        <v>5</v>
      </c>
      <c r="C16" s="3" t="s">
        <v>51</v>
      </c>
      <c r="D16" s="28">
        <v>266893</v>
      </c>
      <c r="E16" s="15" t="s">
        <v>33</v>
      </c>
      <c r="F16" s="2">
        <f>COUNTIF(D:D,D16)</f>
        <v>1</v>
      </c>
      <c r="G16" s="3">
        <v>3663602813866</v>
      </c>
      <c r="H16" s="2" t="s">
        <v>52</v>
      </c>
      <c r="I16" s="10">
        <v>3</v>
      </c>
      <c r="J16" s="8">
        <v>1</v>
      </c>
      <c r="K16" s="32">
        <v>1972.8125369603779</v>
      </c>
      <c r="L16" s="8">
        <v>0.39</v>
      </c>
      <c r="M16" s="20">
        <v>1.17</v>
      </c>
      <c r="N16" s="14">
        <v>20</v>
      </c>
      <c r="O16" s="10">
        <v>3</v>
      </c>
      <c r="P16" s="10">
        <v>6</v>
      </c>
      <c r="Q16" s="10">
        <v>9</v>
      </c>
      <c r="R16" s="10">
        <v>12</v>
      </c>
      <c r="S16" s="10">
        <v>15</v>
      </c>
      <c r="T16" s="10">
        <v>18</v>
      </c>
      <c r="U16" s="10">
        <v>21</v>
      </c>
      <c r="V16" s="10">
        <v>24</v>
      </c>
      <c r="W16" s="10">
        <v>27</v>
      </c>
      <c r="X16" s="10">
        <v>30</v>
      </c>
      <c r="Y16" s="10">
        <v>33</v>
      </c>
    </row>
    <row r="17" spans="1:25">
      <c r="A17" s="7" t="s">
        <v>4</v>
      </c>
      <c r="B17" s="7" t="s">
        <v>5</v>
      </c>
      <c r="C17" s="3" t="s">
        <v>51</v>
      </c>
      <c r="D17" s="28">
        <v>270313</v>
      </c>
      <c r="E17" s="15" t="s">
        <v>33</v>
      </c>
      <c r="F17" s="2">
        <f>COUNTIF(D:D,D17)</f>
        <v>1</v>
      </c>
      <c r="G17" s="3">
        <v>3255670000028</v>
      </c>
      <c r="H17" s="2" t="s">
        <v>53</v>
      </c>
      <c r="I17" s="10">
        <v>32</v>
      </c>
      <c r="J17" s="8">
        <v>1</v>
      </c>
      <c r="K17" s="32">
        <v>276.09186763881104</v>
      </c>
      <c r="L17" s="8">
        <v>0.25</v>
      </c>
      <c r="M17" s="20">
        <v>0.31</v>
      </c>
      <c r="N17" s="14">
        <v>10</v>
      </c>
      <c r="O17" s="10">
        <v>2</v>
      </c>
      <c r="P17" s="10">
        <v>4</v>
      </c>
      <c r="Q17" s="10">
        <v>6</v>
      </c>
      <c r="R17" s="10">
        <v>8</v>
      </c>
      <c r="S17" s="10">
        <v>10</v>
      </c>
      <c r="T17" s="10">
        <v>12</v>
      </c>
      <c r="U17" s="10">
        <v>14</v>
      </c>
      <c r="V17" s="10">
        <v>16</v>
      </c>
      <c r="W17" s="10">
        <v>18</v>
      </c>
      <c r="X17" s="10">
        <v>20</v>
      </c>
      <c r="Y17" s="10">
        <v>22</v>
      </c>
    </row>
    <row r="18" spans="1:25">
      <c r="A18" s="7" t="s">
        <v>4</v>
      </c>
      <c r="B18" s="7" t="s">
        <v>5</v>
      </c>
      <c r="C18" s="3" t="s">
        <v>51</v>
      </c>
      <c r="D18" s="28">
        <v>250654</v>
      </c>
      <c r="E18" s="15" t="s">
        <v>33</v>
      </c>
      <c r="F18" s="2">
        <f>COUNTIF(D:D,D18)</f>
        <v>1</v>
      </c>
      <c r="G18" s="3">
        <v>3373270009279</v>
      </c>
      <c r="H18" s="2" t="s">
        <v>54</v>
      </c>
      <c r="I18" s="10">
        <v>8</v>
      </c>
      <c r="J18" s="8">
        <v>1</v>
      </c>
      <c r="K18" s="32">
        <v>118.95484822934201</v>
      </c>
      <c r="L18" s="8">
        <v>0.31</v>
      </c>
      <c r="M18" s="20">
        <v>0.57999999999999996</v>
      </c>
      <c r="N18" s="14">
        <v>10</v>
      </c>
      <c r="O18" s="10">
        <v>2</v>
      </c>
      <c r="P18" s="10">
        <v>4</v>
      </c>
      <c r="Q18" s="10">
        <v>6</v>
      </c>
      <c r="R18" s="10">
        <v>8</v>
      </c>
      <c r="S18" s="10">
        <v>10</v>
      </c>
      <c r="T18" s="10">
        <v>12</v>
      </c>
      <c r="U18" s="10">
        <v>14</v>
      </c>
      <c r="V18" s="10">
        <v>16</v>
      </c>
      <c r="W18" s="10">
        <v>18</v>
      </c>
      <c r="X18" s="10">
        <v>20</v>
      </c>
      <c r="Y18" s="10">
        <v>22</v>
      </c>
    </row>
    <row r="19" spans="1:25">
      <c r="A19" s="7" t="s">
        <v>4</v>
      </c>
      <c r="B19" s="7" t="s">
        <v>5</v>
      </c>
      <c r="C19" s="3" t="s">
        <v>51</v>
      </c>
      <c r="D19" s="28">
        <v>250653</v>
      </c>
      <c r="E19" s="15" t="s">
        <v>33</v>
      </c>
      <c r="F19" s="2">
        <f>COUNTIF(D:D,D19)</f>
        <v>1</v>
      </c>
      <c r="G19" s="3">
        <v>3373270009262</v>
      </c>
      <c r="H19" s="2" t="s">
        <v>55</v>
      </c>
      <c r="I19" s="10">
        <v>8</v>
      </c>
      <c r="J19" s="8">
        <v>1</v>
      </c>
      <c r="K19" s="32">
        <v>128.47680608364999</v>
      </c>
      <c r="L19" s="8">
        <v>0.44</v>
      </c>
      <c r="M19" s="20">
        <v>0.75</v>
      </c>
      <c r="N19" s="14">
        <v>10</v>
      </c>
      <c r="O19" s="10">
        <v>2</v>
      </c>
      <c r="P19" s="10">
        <v>4</v>
      </c>
      <c r="Q19" s="10">
        <v>6</v>
      </c>
      <c r="R19" s="10">
        <v>8</v>
      </c>
      <c r="S19" s="10">
        <v>10</v>
      </c>
      <c r="T19" s="10">
        <v>12</v>
      </c>
      <c r="U19" s="10">
        <v>14</v>
      </c>
      <c r="V19" s="10">
        <v>16</v>
      </c>
      <c r="W19" s="10">
        <v>18</v>
      </c>
      <c r="X19" s="10">
        <v>20</v>
      </c>
      <c r="Y19" s="10">
        <v>22</v>
      </c>
    </row>
    <row r="20" spans="1:25">
      <c r="A20" s="7" t="s">
        <v>4</v>
      </c>
      <c r="B20" s="7" t="s">
        <v>5</v>
      </c>
      <c r="C20" s="3" t="s">
        <v>51</v>
      </c>
      <c r="D20" s="28">
        <v>201128</v>
      </c>
      <c r="E20" s="15" t="s">
        <v>33</v>
      </c>
      <c r="F20" s="2">
        <f>COUNTIF(D:D,D20)</f>
        <v>1</v>
      </c>
      <c r="G20" s="3">
        <v>5059340086491</v>
      </c>
      <c r="H20" s="2" t="s">
        <v>56</v>
      </c>
      <c r="I20" s="10">
        <v>3</v>
      </c>
      <c r="J20" s="8">
        <v>1</v>
      </c>
      <c r="K20" s="32">
        <v>223.06988764044959</v>
      </c>
      <c r="L20" s="8">
        <v>0.36</v>
      </c>
      <c r="M20" s="20">
        <v>4.3</v>
      </c>
      <c r="N20" s="14">
        <v>8</v>
      </c>
      <c r="O20" s="10">
        <v>1</v>
      </c>
      <c r="P20" s="10">
        <v>2</v>
      </c>
      <c r="Q20" s="10">
        <v>3</v>
      </c>
      <c r="R20" s="10">
        <v>4</v>
      </c>
      <c r="S20" s="10">
        <v>5</v>
      </c>
      <c r="T20" s="10">
        <v>6</v>
      </c>
      <c r="U20" s="10">
        <v>7</v>
      </c>
      <c r="V20" s="10">
        <v>8</v>
      </c>
      <c r="W20" s="10">
        <v>9</v>
      </c>
      <c r="X20" s="10">
        <v>10</v>
      </c>
      <c r="Y20" s="10">
        <v>11</v>
      </c>
    </row>
    <row r="21" spans="1:25">
      <c r="A21" s="7" t="s">
        <v>4</v>
      </c>
      <c r="B21" s="7" t="s">
        <v>5</v>
      </c>
      <c r="C21" s="3" t="s">
        <v>51</v>
      </c>
      <c r="D21" s="28">
        <v>200573</v>
      </c>
      <c r="E21" s="15" t="s">
        <v>33</v>
      </c>
      <c r="F21" s="2">
        <f>COUNTIF(D:D,D21)</f>
        <v>1</v>
      </c>
      <c r="G21" s="3">
        <v>5059340086484</v>
      </c>
      <c r="H21" s="2" t="s">
        <v>57</v>
      </c>
      <c r="I21" s="10">
        <v>12</v>
      </c>
      <c r="J21" s="8">
        <v>1</v>
      </c>
      <c r="K21" s="32">
        <v>88.788080536912801</v>
      </c>
      <c r="L21" s="8">
        <v>0.53</v>
      </c>
      <c r="M21" s="20">
        <v>1.93</v>
      </c>
      <c r="N21" s="14">
        <v>8</v>
      </c>
      <c r="O21" s="10">
        <v>1</v>
      </c>
      <c r="P21" s="10">
        <v>2</v>
      </c>
      <c r="Q21" s="10">
        <v>3</v>
      </c>
      <c r="R21" s="10">
        <v>4</v>
      </c>
      <c r="S21" s="10">
        <v>5</v>
      </c>
      <c r="T21" s="10">
        <v>6</v>
      </c>
      <c r="U21" s="10">
        <v>7</v>
      </c>
      <c r="V21" s="10">
        <v>8</v>
      </c>
      <c r="W21" s="10">
        <v>9</v>
      </c>
      <c r="X21" s="10">
        <v>10</v>
      </c>
      <c r="Y21" s="10">
        <v>11</v>
      </c>
    </row>
    <row r="22" spans="1:25">
      <c r="A22" s="7" t="s">
        <v>4</v>
      </c>
      <c r="B22" s="7" t="s">
        <v>5</v>
      </c>
      <c r="C22" s="3" t="s">
        <v>51</v>
      </c>
      <c r="D22" s="28">
        <v>266876</v>
      </c>
      <c r="E22" s="15" t="s">
        <v>33</v>
      </c>
      <c r="F22" s="2">
        <f>COUNTIF(D:D,D22)</f>
        <v>1</v>
      </c>
      <c r="G22" s="3">
        <v>3663602818106</v>
      </c>
      <c r="H22" s="2" t="s">
        <v>58</v>
      </c>
      <c r="I22" s="10">
        <v>4</v>
      </c>
      <c r="J22" s="8">
        <v>1</v>
      </c>
      <c r="K22" s="32">
        <v>922.06485849056503</v>
      </c>
      <c r="L22" s="8">
        <v>0.56000000000000005</v>
      </c>
      <c r="M22" s="20">
        <v>3.93</v>
      </c>
      <c r="N22" s="14">
        <v>25</v>
      </c>
      <c r="O22" s="10">
        <v>4</v>
      </c>
      <c r="P22" s="10">
        <v>8</v>
      </c>
      <c r="Q22" s="10">
        <v>12</v>
      </c>
      <c r="R22" s="10">
        <v>16</v>
      </c>
      <c r="S22" s="10">
        <v>20</v>
      </c>
      <c r="T22" s="10">
        <v>24</v>
      </c>
      <c r="U22" s="10">
        <v>28</v>
      </c>
      <c r="V22" s="10">
        <v>32</v>
      </c>
      <c r="W22" s="10">
        <v>36</v>
      </c>
      <c r="X22" s="10">
        <v>40</v>
      </c>
      <c r="Y22" s="10">
        <v>44</v>
      </c>
    </row>
    <row r="23" spans="1:25">
      <c r="A23" s="7" t="s">
        <v>4</v>
      </c>
      <c r="B23" s="7" t="s">
        <v>5</v>
      </c>
      <c r="C23" s="3" t="s">
        <v>51</v>
      </c>
      <c r="D23" s="28">
        <v>251402</v>
      </c>
      <c r="E23" s="15" t="s">
        <v>33</v>
      </c>
      <c r="F23" s="2">
        <f>COUNTIF(D:D,D23)</f>
        <v>1</v>
      </c>
      <c r="G23" s="3" t="s">
        <v>35</v>
      </c>
      <c r="H23" s="2" t="s">
        <v>35</v>
      </c>
      <c r="I23" s="10" t="s">
        <v>35</v>
      </c>
      <c r="J23" s="8" t="s">
        <v>35</v>
      </c>
      <c r="K23" s="32"/>
      <c r="L23" s="8"/>
      <c r="M23" s="20" t="s">
        <v>35</v>
      </c>
      <c r="N23" s="14">
        <v>16</v>
      </c>
      <c r="O23" s="10">
        <v>3</v>
      </c>
      <c r="P23" s="10">
        <v>6</v>
      </c>
      <c r="Q23" s="10">
        <v>9</v>
      </c>
      <c r="R23" s="10">
        <v>12</v>
      </c>
      <c r="S23" s="10">
        <v>15</v>
      </c>
      <c r="T23" s="10">
        <v>18</v>
      </c>
      <c r="U23" s="10">
        <v>21</v>
      </c>
      <c r="V23" s="10">
        <v>24</v>
      </c>
      <c r="W23" s="10">
        <v>27</v>
      </c>
      <c r="X23" s="10">
        <v>30</v>
      </c>
      <c r="Y23" s="10">
        <v>33</v>
      </c>
    </row>
    <row r="24" spans="1:25">
      <c r="A24" s="7" t="s">
        <v>4</v>
      </c>
      <c r="B24" s="7" t="s">
        <v>5</v>
      </c>
      <c r="C24" s="3" t="s">
        <v>51</v>
      </c>
      <c r="D24" s="28">
        <v>201405</v>
      </c>
      <c r="E24" s="15" t="s">
        <v>33</v>
      </c>
      <c r="F24" s="2">
        <f>COUNTIF(D:D,D24)</f>
        <v>1</v>
      </c>
      <c r="G24" s="3">
        <v>5035048733172</v>
      </c>
      <c r="H24" s="2" t="s">
        <v>59</v>
      </c>
      <c r="I24" s="10">
        <v>1</v>
      </c>
      <c r="J24" s="8" t="s">
        <v>35</v>
      </c>
      <c r="K24" s="32">
        <v>1784.9356058588519</v>
      </c>
      <c r="L24" s="8">
        <v>0.06</v>
      </c>
      <c r="M24" s="20" t="s">
        <v>35</v>
      </c>
      <c r="N24" s="14">
        <v>12</v>
      </c>
      <c r="O24" s="10">
        <v>2</v>
      </c>
      <c r="P24" s="10">
        <v>4</v>
      </c>
      <c r="Q24" s="10">
        <v>6</v>
      </c>
      <c r="R24" s="10">
        <v>8</v>
      </c>
      <c r="S24" s="10">
        <v>10</v>
      </c>
      <c r="T24" s="10">
        <v>12</v>
      </c>
      <c r="U24" s="10">
        <v>14</v>
      </c>
      <c r="V24" s="10">
        <v>16</v>
      </c>
      <c r="W24" s="10">
        <v>18</v>
      </c>
      <c r="X24" s="10">
        <v>20</v>
      </c>
      <c r="Y24" s="10">
        <v>22</v>
      </c>
    </row>
    <row r="25" spans="1:25">
      <c r="A25" s="7" t="s">
        <v>4</v>
      </c>
      <c r="B25" s="7" t="s">
        <v>5</v>
      </c>
      <c r="C25" s="3" t="s">
        <v>60</v>
      </c>
      <c r="D25" s="28">
        <v>383022</v>
      </c>
      <c r="E25" s="15" t="s">
        <v>33</v>
      </c>
      <c r="F25" s="2">
        <f>COUNTIF(D:D,D25)</f>
        <v>1</v>
      </c>
      <c r="G25" s="3">
        <v>3663602873815</v>
      </c>
      <c r="H25" s="2" t="s">
        <v>61</v>
      </c>
      <c r="I25" s="10">
        <v>46</v>
      </c>
      <c r="J25" s="8">
        <v>1</v>
      </c>
      <c r="K25" s="32">
        <v>909.38695085849508</v>
      </c>
      <c r="L25" s="8">
        <v>0.26</v>
      </c>
      <c r="M25" s="20">
        <v>0.97</v>
      </c>
      <c r="N25" s="14">
        <v>84</v>
      </c>
      <c r="O25" s="10">
        <v>14</v>
      </c>
      <c r="P25" s="10">
        <v>28</v>
      </c>
      <c r="Q25" s="10">
        <v>42</v>
      </c>
      <c r="R25" s="10">
        <v>56</v>
      </c>
      <c r="S25" s="10">
        <v>70</v>
      </c>
      <c r="T25" s="10">
        <v>84</v>
      </c>
      <c r="U25" s="10">
        <v>98</v>
      </c>
      <c r="V25" s="10">
        <v>112</v>
      </c>
      <c r="W25" s="10">
        <v>126</v>
      </c>
      <c r="X25" s="10">
        <v>140</v>
      </c>
      <c r="Y25" s="10">
        <v>154</v>
      </c>
    </row>
    <row r="26" spans="1:25">
      <c r="A26" s="7" t="s">
        <v>4</v>
      </c>
      <c r="B26" s="7" t="s">
        <v>5</v>
      </c>
      <c r="C26" s="3" t="s">
        <v>60</v>
      </c>
      <c r="D26" s="28">
        <v>383021</v>
      </c>
      <c r="E26" s="15" t="s">
        <v>33</v>
      </c>
      <c r="F26" s="2">
        <f>COUNTIF(D:D,D26)</f>
        <v>1</v>
      </c>
      <c r="G26" s="3">
        <v>3663602873808</v>
      </c>
      <c r="H26" s="2" t="s">
        <v>62</v>
      </c>
      <c r="I26" s="10">
        <v>69</v>
      </c>
      <c r="J26" s="8">
        <v>1</v>
      </c>
      <c r="K26" s="32">
        <v>737.57942332669472</v>
      </c>
      <c r="L26" s="8">
        <v>0.24</v>
      </c>
      <c r="M26" s="20">
        <v>0.81</v>
      </c>
      <c r="N26" s="14">
        <v>84</v>
      </c>
      <c r="O26" s="10">
        <v>14</v>
      </c>
      <c r="P26" s="10">
        <v>28</v>
      </c>
      <c r="Q26" s="10">
        <v>42</v>
      </c>
      <c r="R26" s="10">
        <v>56</v>
      </c>
      <c r="S26" s="10">
        <v>70</v>
      </c>
      <c r="T26" s="10">
        <v>84</v>
      </c>
      <c r="U26" s="10">
        <v>98</v>
      </c>
      <c r="V26" s="10">
        <v>112</v>
      </c>
      <c r="W26" s="10">
        <v>126</v>
      </c>
      <c r="X26" s="10">
        <v>140</v>
      </c>
      <c r="Y26" s="10">
        <v>154</v>
      </c>
    </row>
    <row r="27" spans="1:25">
      <c r="A27" s="7" t="s">
        <v>4</v>
      </c>
      <c r="B27" s="7" t="s">
        <v>5</v>
      </c>
      <c r="C27" s="3" t="s">
        <v>60</v>
      </c>
      <c r="D27" s="47">
        <v>302481</v>
      </c>
      <c r="E27" s="15" t="s">
        <v>33</v>
      </c>
      <c r="F27" s="2">
        <f>COUNTIF(D:D,D27)</f>
        <v>1</v>
      </c>
      <c r="G27" s="3">
        <v>3663602997856</v>
      </c>
      <c r="H27" s="2" t="s">
        <v>63</v>
      </c>
      <c r="I27" s="10">
        <v>52</v>
      </c>
      <c r="J27" s="8">
        <v>1</v>
      </c>
      <c r="K27" s="32">
        <v>1068.295792850595</v>
      </c>
      <c r="L27" s="8">
        <v>0.11</v>
      </c>
      <c r="M27" s="20">
        <v>0.87</v>
      </c>
      <c r="N27" s="14">
        <v>45</v>
      </c>
      <c r="O27" s="10">
        <v>8</v>
      </c>
      <c r="P27" s="10">
        <v>16</v>
      </c>
      <c r="Q27" s="10">
        <v>24</v>
      </c>
      <c r="R27" s="10">
        <v>32</v>
      </c>
      <c r="S27" s="10">
        <v>40</v>
      </c>
      <c r="T27" s="10">
        <v>48</v>
      </c>
      <c r="U27" s="10">
        <v>56</v>
      </c>
      <c r="V27" s="10">
        <v>64</v>
      </c>
      <c r="W27" s="10">
        <v>72</v>
      </c>
      <c r="X27" s="10">
        <v>80</v>
      </c>
      <c r="Y27" s="10">
        <v>88</v>
      </c>
    </row>
    <row r="28" spans="1:25">
      <c r="A28" s="7" t="s">
        <v>4</v>
      </c>
      <c r="B28" s="7" t="s">
        <v>5</v>
      </c>
      <c r="C28" s="3" t="s">
        <v>60</v>
      </c>
      <c r="D28" s="47">
        <v>303216</v>
      </c>
      <c r="E28" s="15" t="s">
        <v>33</v>
      </c>
      <c r="F28" s="2">
        <f>COUNTIF(D:D,D28)</f>
        <v>1</v>
      </c>
      <c r="G28" s="3">
        <v>3663602918042</v>
      </c>
      <c r="H28" s="2" t="s">
        <v>64</v>
      </c>
      <c r="I28" s="10">
        <v>26</v>
      </c>
      <c r="J28" s="8">
        <v>1</v>
      </c>
      <c r="K28" s="32">
        <v>875.53959854014806</v>
      </c>
      <c r="L28" s="8">
        <v>0.5</v>
      </c>
      <c r="M28" s="20">
        <v>0.52</v>
      </c>
      <c r="N28" s="14">
        <v>45</v>
      </c>
      <c r="O28" s="10">
        <v>8</v>
      </c>
      <c r="P28" s="10">
        <v>16</v>
      </c>
      <c r="Q28" s="10">
        <v>24</v>
      </c>
      <c r="R28" s="10">
        <v>32</v>
      </c>
      <c r="S28" s="10">
        <v>40</v>
      </c>
      <c r="T28" s="10">
        <v>48</v>
      </c>
      <c r="U28" s="10">
        <v>56</v>
      </c>
      <c r="V28" s="10">
        <v>64</v>
      </c>
      <c r="W28" s="10">
        <v>72</v>
      </c>
      <c r="X28" s="10">
        <v>80</v>
      </c>
      <c r="Y28" s="10">
        <v>88</v>
      </c>
    </row>
    <row r="29" spans="1:25">
      <c r="A29" s="7" t="s">
        <v>4</v>
      </c>
      <c r="B29" s="7" t="s">
        <v>5</v>
      </c>
      <c r="C29" s="3" t="s">
        <v>60</v>
      </c>
      <c r="D29" s="28">
        <v>303472</v>
      </c>
      <c r="E29" s="15" t="s">
        <v>33</v>
      </c>
      <c r="F29" s="2">
        <f>COUNTIF(D:D,D29)</f>
        <v>1</v>
      </c>
      <c r="G29" s="3">
        <v>5059340285979</v>
      </c>
      <c r="H29" s="2" t="s">
        <v>65</v>
      </c>
      <c r="I29" s="10">
        <v>52</v>
      </c>
      <c r="J29" s="8">
        <v>1</v>
      </c>
      <c r="K29" s="32">
        <v>1068.2325812274344</v>
      </c>
      <c r="L29" s="8">
        <v>0.1</v>
      </c>
      <c r="M29" s="20">
        <v>0.86</v>
      </c>
      <c r="N29" s="14">
        <v>45</v>
      </c>
      <c r="O29" s="10">
        <v>8</v>
      </c>
      <c r="P29" s="10">
        <v>16</v>
      </c>
      <c r="Q29" s="10">
        <v>24</v>
      </c>
      <c r="R29" s="10">
        <v>32</v>
      </c>
      <c r="S29" s="10">
        <v>40</v>
      </c>
      <c r="T29" s="10">
        <v>48</v>
      </c>
      <c r="U29" s="10">
        <v>56</v>
      </c>
      <c r="V29" s="10">
        <v>64</v>
      </c>
      <c r="W29" s="10">
        <v>72</v>
      </c>
      <c r="X29" s="10">
        <v>80</v>
      </c>
      <c r="Y29" s="10">
        <v>88</v>
      </c>
    </row>
    <row r="30" spans="1:25">
      <c r="A30" s="7" t="s">
        <v>4</v>
      </c>
      <c r="B30" s="7" t="s">
        <v>5</v>
      </c>
      <c r="C30" s="3" t="s">
        <v>66</v>
      </c>
      <c r="D30" s="28">
        <v>441369</v>
      </c>
      <c r="E30" s="15" t="s">
        <v>33</v>
      </c>
      <c r="F30" s="2">
        <f>COUNTIF(D:D,D30)</f>
        <v>1</v>
      </c>
      <c r="G30" s="3">
        <v>8022452018282</v>
      </c>
      <c r="H30" s="2" t="s">
        <v>67</v>
      </c>
      <c r="I30" s="10">
        <v>50</v>
      </c>
      <c r="J30" s="8">
        <v>1</v>
      </c>
      <c r="K30" s="32">
        <v>843.15568405953002</v>
      </c>
      <c r="L30" s="8">
        <v>7.0000000000000007E-2</v>
      </c>
      <c r="M30" s="20">
        <v>0.17</v>
      </c>
      <c r="N30" s="14">
        <v>50</v>
      </c>
      <c r="O30" s="10">
        <v>8</v>
      </c>
      <c r="P30" s="10">
        <v>16</v>
      </c>
      <c r="Q30" s="10">
        <v>24</v>
      </c>
      <c r="R30" s="10">
        <v>32</v>
      </c>
      <c r="S30" s="10">
        <v>40</v>
      </c>
      <c r="T30" s="10">
        <v>48</v>
      </c>
      <c r="U30" s="10">
        <v>56</v>
      </c>
      <c r="V30" s="10">
        <v>64</v>
      </c>
      <c r="W30" s="10">
        <v>72</v>
      </c>
      <c r="X30" s="10">
        <v>80</v>
      </c>
      <c r="Y30" s="10">
        <v>88</v>
      </c>
    </row>
    <row r="31" spans="1:25">
      <c r="A31" s="7" t="s">
        <v>4</v>
      </c>
      <c r="B31" s="7" t="s">
        <v>5</v>
      </c>
      <c r="C31" s="3" t="s">
        <v>66</v>
      </c>
      <c r="D31" s="47">
        <v>410134</v>
      </c>
      <c r="E31" s="15" t="s">
        <v>33</v>
      </c>
      <c r="F31" s="2">
        <f>COUNTIF(D:D,D31)</f>
        <v>1</v>
      </c>
      <c r="G31" s="3">
        <v>5059340192161</v>
      </c>
      <c r="H31" s="2" t="s">
        <v>68</v>
      </c>
      <c r="I31" s="10">
        <v>48</v>
      </c>
      <c r="J31" s="8">
        <v>1</v>
      </c>
      <c r="K31" s="32">
        <v>918.95198246282689</v>
      </c>
      <c r="L31" s="8">
        <v>0.36</v>
      </c>
      <c r="M31" s="20">
        <v>1.84</v>
      </c>
      <c r="N31" s="14">
        <v>45</v>
      </c>
      <c r="O31" s="10">
        <v>8</v>
      </c>
      <c r="P31" s="10">
        <v>16</v>
      </c>
      <c r="Q31" s="10">
        <v>24</v>
      </c>
      <c r="R31" s="10">
        <v>32</v>
      </c>
      <c r="S31" s="10">
        <v>40</v>
      </c>
      <c r="T31" s="10">
        <v>48</v>
      </c>
      <c r="U31" s="10">
        <v>56</v>
      </c>
      <c r="V31" s="10">
        <v>64</v>
      </c>
      <c r="W31" s="10">
        <v>72</v>
      </c>
      <c r="X31" s="10">
        <v>80</v>
      </c>
      <c r="Y31" s="10">
        <v>88</v>
      </c>
    </row>
    <row r="32" spans="1:25">
      <c r="A32" s="7" t="s">
        <v>4</v>
      </c>
      <c r="B32" s="7" t="s">
        <v>5</v>
      </c>
      <c r="C32" s="3" t="s">
        <v>32</v>
      </c>
      <c r="D32" s="28">
        <v>520834</v>
      </c>
      <c r="E32" s="15" t="s">
        <v>33</v>
      </c>
      <c r="F32" s="2">
        <f>COUNTIF(D:D,D32)</f>
        <v>1</v>
      </c>
      <c r="G32" s="3">
        <v>5414849578098</v>
      </c>
      <c r="H32" s="2" t="s">
        <v>69</v>
      </c>
      <c r="I32" s="10">
        <v>4</v>
      </c>
      <c r="J32" s="8">
        <v>1</v>
      </c>
      <c r="K32" s="32">
        <v>1662.3072400513499</v>
      </c>
      <c r="L32" s="8">
        <v>0.08</v>
      </c>
      <c r="M32" s="20">
        <v>0.55000000000000004</v>
      </c>
      <c r="N32" s="14">
        <v>6</v>
      </c>
      <c r="O32" s="10">
        <v>1</v>
      </c>
      <c r="P32" s="10">
        <v>2</v>
      </c>
      <c r="Q32" s="10">
        <v>3</v>
      </c>
      <c r="R32" s="10">
        <v>4</v>
      </c>
      <c r="S32" s="10">
        <v>5</v>
      </c>
      <c r="T32" s="10">
        <v>6</v>
      </c>
      <c r="U32" s="10">
        <v>7</v>
      </c>
      <c r="V32" s="10">
        <v>8</v>
      </c>
      <c r="W32" s="10">
        <v>9</v>
      </c>
      <c r="X32" s="10">
        <v>10</v>
      </c>
      <c r="Y32" s="10">
        <v>11</v>
      </c>
    </row>
    <row r="33" spans="1:25">
      <c r="A33" s="7" t="s">
        <v>4</v>
      </c>
      <c r="B33" s="7" t="s">
        <v>5</v>
      </c>
      <c r="C33" s="3" t="s">
        <v>32</v>
      </c>
      <c r="D33" s="28">
        <v>501700</v>
      </c>
      <c r="E33" s="15" t="s">
        <v>33</v>
      </c>
      <c r="F33" s="2">
        <f>COUNTIF(D:D,D33)</f>
        <v>1</v>
      </c>
      <c r="G33" s="3">
        <v>5059340206271</v>
      </c>
      <c r="H33" s="2" t="s">
        <v>70</v>
      </c>
      <c r="I33" s="10">
        <v>1</v>
      </c>
      <c r="J33" s="8">
        <v>1</v>
      </c>
      <c r="K33" s="32">
        <v>479.2</v>
      </c>
      <c r="L33" s="8">
        <v>0.23</v>
      </c>
      <c r="M33" s="20">
        <v>27.04</v>
      </c>
      <c r="N33" s="14">
        <v>8</v>
      </c>
      <c r="O33" s="10">
        <v>1</v>
      </c>
      <c r="P33" s="10">
        <v>2</v>
      </c>
      <c r="Q33" s="10">
        <v>3</v>
      </c>
      <c r="R33" s="10">
        <v>4</v>
      </c>
      <c r="S33" s="10">
        <v>5</v>
      </c>
      <c r="T33" s="10">
        <v>6</v>
      </c>
      <c r="U33" s="10">
        <v>7</v>
      </c>
      <c r="V33" s="10">
        <v>8</v>
      </c>
      <c r="W33" s="10">
        <v>9</v>
      </c>
      <c r="X33" s="10">
        <v>10</v>
      </c>
      <c r="Y33" s="10">
        <v>11</v>
      </c>
    </row>
    <row r="34" spans="1:25">
      <c r="A34" s="7" t="s">
        <v>4</v>
      </c>
      <c r="B34" s="7" t="s">
        <v>5</v>
      </c>
      <c r="C34" s="3" t="s">
        <v>32</v>
      </c>
      <c r="D34" s="28">
        <v>501701</v>
      </c>
      <c r="E34" s="15" t="s">
        <v>33</v>
      </c>
      <c r="F34" s="2">
        <f>COUNTIF(D:D,D34)</f>
        <v>1</v>
      </c>
      <c r="G34" s="3">
        <v>5059340206288</v>
      </c>
      <c r="H34" s="2" t="s">
        <v>71</v>
      </c>
      <c r="I34" s="10">
        <v>1</v>
      </c>
      <c r="J34" s="8">
        <v>1</v>
      </c>
      <c r="K34" s="32">
        <v>954.5375588865096</v>
      </c>
      <c r="L34" s="8">
        <v>0.26</v>
      </c>
      <c r="M34" s="20">
        <v>11.16</v>
      </c>
      <c r="N34" s="14">
        <v>12</v>
      </c>
      <c r="O34" s="10">
        <v>2</v>
      </c>
      <c r="P34" s="10">
        <v>4</v>
      </c>
      <c r="Q34" s="10">
        <v>6</v>
      </c>
      <c r="R34" s="10">
        <v>8</v>
      </c>
      <c r="S34" s="10">
        <v>10</v>
      </c>
      <c r="T34" s="10">
        <v>12</v>
      </c>
      <c r="U34" s="10">
        <v>14</v>
      </c>
      <c r="V34" s="10">
        <v>16</v>
      </c>
      <c r="W34" s="10">
        <v>18</v>
      </c>
      <c r="X34" s="10">
        <v>20</v>
      </c>
      <c r="Y34" s="10">
        <v>22</v>
      </c>
    </row>
    <row r="35" spans="1:25">
      <c r="A35" s="7" t="s">
        <v>4</v>
      </c>
      <c r="B35" s="7" t="s">
        <v>5</v>
      </c>
      <c r="C35" s="3" t="s">
        <v>32</v>
      </c>
      <c r="D35" s="28">
        <v>501702</v>
      </c>
      <c r="E35" s="15" t="s">
        <v>33</v>
      </c>
      <c r="F35" s="2">
        <f>COUNTIF(D:D,D35)</f>
        <v>1</v>
      </c>
      <c r="G35" s="3">
        <v>5059340206295</v>
      </c>
      <c r="H35" s="2" t="s">
        <v>72</v>
      </c>
      <c r="I35" s="10">
        <v>1</v>
      </c>
      <c r="J35" s="8">
        <v>1</v>
      </c>
      <c r="K35" s="32">
        <v>1075.8625444596444</v>
      </c>
      <c r="L35" s="8">
        <v>0.21</v>
      </c>
      <c r="M35" s="20">
        <v>6.62</v>
      </c>
      <c r="N35" s="14">
        <v>12</v>
      </c>
      <c r="O35" s="10">
        <v>2</v>
      </c>
      <c r="P35" s="10">
        <v>4</v>
      </c>
      <c r="Q35" s="10">
        <v>6</v>
      </c>
      <c r="R35" s="10">
        <v>8</v>
      </c>
      <c r="S35" s="10">
        <v>10</v>
      </c>
      <c r="T35" s="10">
        <v>12</v>
      </c>
      <c r="U35" s="10">
        <v>14</v>
      </c>
      <c r="V35" s="10">
        <v>16</v>
      </c>
      <c r="W35" s="10">
        <v>18</v>
      </c>
      <c r="X35" s="10">
        <v>20</v>
      </c>
      <c r="Y35" s="10">
        <v>22</v>
      </c>
    </row>
    <row r="36" spans="1:25">
      <c r="A36" s="7" t="s">
        <v>4</v>
      </c>
      <c r="B36" s="7" t="s">
        <v>5</v>
      </c>
      <c r="C36" s="3" t="s">
        <v>32</v>
      </c>
      <c r="D36" s="28">
        <v>501703</v>
      </c>
      <c r="E36" s="15" t="s">
        <v>33</v>
      </c>
      <c r="F36" s="2">
        <f>COUNTIF(D:D,D36)</f>
        <v>1</v>
      </c>
      <c r="G36" s="3">
        <v>5059340206301</v>
      </c>
      <c r="H36" s="2" t="s">
        <v>73</v>
      </c>
      <c r="I36" s="10">
        <v>1</v>
      </c>
      <c r="J36" s="8">
        <v>1</v>
      </c>
      <c r="K36" s="32">
        <v>1197.0206451612898</v>
      </c>
      <c r="L36" s="8">
        <v>0.25</v>
      </c>
      <c r="M36" s="20">
        <v>10.35</v>
      </c>
      <c r="N36" s="14">
        <v>12</v>
      </c>
      <c r="O36" s="10">
        <v>2</v>
      </c>
      <c r="P36" s="10">
        <v>4</v>
      </c>
      <c r="Q36" s="10">
        <v>6</v>
      </c>
      <c r="R36" s="10">
        <v>8</v>
      </c>
      <c r="S36" s="10">
        <v>10</v>
      </c>
      <c r="T36" s="10">
        <v>12</v>
      </c>
      <c r="U36" s="10">
        <v>14</v>
      </c>
      <c r="V36" s="10">
        <v>16</v>
      </c>
      <c r="W36" s="10">
        <v>18</v>
      </c>
      <c r="X36" s="10">
        <v>20</v>
      </c>
      <c r="Y36" s="10">
        <v>22</v>
      </c>
    </row>
    <row r="37" spans="1:25">
      <c r="A37" s="7" t="s">
        <v>4</v>
      </c>
      <c r="B37" s="7" t="s">
        <v>5</v>
      </c>
      <c r="C37" s="3" t="s">
        <v>32</v>
      </c>
      <c r="D37" s="28">
        <v>501704</v>
      </c>
      <c r="E37" s="15" t="s">
        <v>33</v>
      </c>
      <c r="F37" s="2">
        <f>COUNTIF(D:D,D37)</f>
        <v>1</v>
      </c>
      <c r="G37" s="3">
        <v>5059340213583</v>
      </c>
      <c r="H37" s="2" t="s">
        <v>74</v>
      </c>
      <c r="I37" s="10">
        <v>1</v>
      </c>
      <c r="J37" s="8">
        <v>1</v>
      </c>
      <c r="K37" s="32">
        <v>1435.2495384615361</v>
      </c>
      <c r="L37" s="8">
        <v>0.2</v>
      </c>
      <c r="M37" s="20">
        <v>13.87</v>
      </c>
      <c r="N37" s="14">
        <v>12</v>
      </c>
      <c r="O37" s="10">
        <v>2</v>
      </c>
      <c r="P37" s="10">
        <v>4</v>
      </c>
      <c r="Q37" s="10">
        <v>6</v>
      </c>
      <c r="R37" s="10">
        <v>8</v>
      </c>
      <c r="S37" s="10">
        <v>10</v>
      </c>
      <c r="T37" s="10">
        <v>12</v>
      </c>
      <c r="U37" s="10">
        <v>14</v>
      </c>
      <c r="V37" s="10">
        <v>16</v>
      </c>
      <c r="W37" s="10">
        <v>18</v>
      </c>
      <c r="X37" s="10">
        <v>20</v>
      </c>
      <c r="Y37" s="10">
        <v>22</v>
      </c>
    </row>
    <row r="38" spans="1:25">
      <c r="A38" s="7" t="s">
        <v>4</v>
      </c>
      <c r="B38" s="7" t="s">
        <v>5</v>
      </c>
      <c r="C38" s="3" t="s">
        <v>32</v>
      </c>
      <c r="D38" s="28">
        <v>520400</v>
      </c>
      <c r="E38" s="15" t="s">
        <v>33</v>
      </c>
      <c r="F38" s="2">
        <f>COUNTIF(D:D,D38)</f>
        <v>1</v>
      </c>
      <c r="G38" s="3">
        <v>3403699011024</v>
      </c>
      <c r="H38" s="2" t="s">
        <v>75</v>
      </c>
      <c r="I38" s="10">
        <v>4</v>
      </c>
      <c r="J38" s="8">
        <v>1</v>
      </c>
      <c r="K38" s="32">
        <v>1109.90625</v>
      </c>
      <c r="L38" s="8">
        <v>0.03</v>
      </c>
      <c r="M38" s="20" t="s">
        <v>35</v>
      </c>
      <c r="N38" s="14">
        <v>6</v>
      </c>
      <c r="O38" s="10">
        <v>1</v>
      </c>
      <c r="P38" s="10">
        <v>2</v>
      </c>
      <c r="Q38" s="10">
        <v>3</v>
      </c>
      <c r="R38" s="10">
        <v>4</v>
      </c>
      <c r="S38" s="10">
        <v>5</v>
      </c>
      <c r="T38" s="10">
        <v>6</v>
      </c>
      <c r="U38" s="10">
        <v>7</v>
      </c>
      <c r="V38" s="10">
        <v>8</v>
      </c>
      <c r="W38" s="10">
        <v>9</v>
      </c>
      <c r="X38" s="10">
        <v>10</v>
      </c>
      <c r="Y38" s="10">
        <v>11</v>
      </c>
    </row>
    <row r="39" spans="1:25">
      <c r="A39" s="7" t="s">
        <v>4</v>
      </c>
      <c r="B39" s="7" t="s">
        <v>5</v>
      </c>
      <c r="C39" s="3" t="s">
        <v>32</v>
      </c>
      <c r="D39" s="28">
        <v>501284</v>
      </c>
      <c r="E39" s="15" t="s">
        <v>33</v>
      </c>
      <c r="F39" s="2">
        <f>COUNTIF(D:D,D39)</f>
        <v>1</v>
      </c>
      <c r="G39" s="3">
        <v>5059340162027</v>
      </c>
      <c r="H39" s="2" t="s">
        <v>76</v>
      </c>
      <c r="I39" s="10">
        <v>24</v>
      </c>
      <c r="J39" s="8">
        <v>1</v>
      </c>
      <c r="K39" s="32">
        <v>269.61697416974164</v>
      </c>
      <c r="L39" s="8">
        <v>0.08</v>
      </c>
      <c r="M39" s="20">
        <v>0.24</v>
      </c>
      <c r="N39" s="14">
        <v>6</v>
      </c>
      <c r="O39" s="10">
        <v>1</v>
      </c>
      <c r="P39" s="10">
        <v>2</v>
      </c>
      <c r="Q39" s="10">
        <v>3</v>
      </c>
      <c r="R39" s="10">
        <v>4</v>
      </c>
      <c r="S39" s="10">
        <v>5</v>
      </c>
      <c r="T39" s="10">
        <v>6</v>
      </c>
      <c r="U39" s="10">
        <v>7</v>
      </c>
      <c r="V39" s="10">
        <v>8</v>
      </c>
      <c r="W39" s="10">
        <v>9</v>
      </c>
      <c r="X39" s="10">
        <v>10</v>
      </c>
      <c r="Y39" s="10">
        <v>11</v>
      </c>
    </row>
    <row r="40" spans="1:25">
      <c r="A40" s="7" t="s">
        <v>4</v>
      </c>
      <c r="B40" s="7" t="s">
        <v>5</v>
      </c>
      <c r="C40" s="3" t="s">
        <v>32</v>
      </c>
      <c r="D40" s="28">
        <v>501285</v>
      </c>
      <c r="E40" s="15" t="s">
        <v>33</v>
      </c>
      <c r="F40" s="2">
        <f>COUNTIF(D:D,D40)</f>
        <v>1</v>
      </c>
      <c r="G40" s="3">
        <v>5059340162034</v>
      </c>
      <c r="H40" s="2" t="s">
        <v>77</v>
      </c>
      <c r="I40" s="10">
        <v>1</v>
      </c>
      <c r="J40" s="8">
        <v>1</v>
      </c>
      <c r="K40" s="32">
        <v>431.63488843813377</v>
      </c>
      <c r="L40" s="8">
        <v>0.33</v>
      </c>
      <c r="M40" s="20">
        <v>1.2</v>
      </c>
      <c r="N40" s="14">
        <v>6</v>
      </c>
      <c r="O40" s="10">
        <v>1</v>
      </c>
      <c r="P40" s="10">
        <v>2</v>
      </c>
      <c r="Q40" s="10">
        <v>3</v>
      </c>
      <c r="R40" s="10">
        <v>4</v>
      </c>
      <c r="S40" s="10">
        <v>5</v>
      </c>
      <c r="T40" s="10">
        <v>6</v>
      </c>
      <c r="U40" s="10">
        <v>7</v>
      </c>
      <c r="V40" s="10">
        <v>8</v>
      </c>
      <c r="W40" s="10">
        <v>9</v>
      </c>
      <c r="X40" s="10">
        <v>10</v>
      </c>
      <c r="Y40" s="10">
        <v>11</v>
      </c>
    </row>
    <row r="41" spans="1:25">
      <c r="A41" s="7" t="s">
        <v>4</v>
      </c>
      <c r="B41" s="7" t="s">
        <v>5</v>
      </c>
      <c r="C41" s="3" t="s">
        <v>32</v>
      </c>
      <c r="D41" s="28">
        <v>501552</v>
      </c>
      <c r="E41" s="15" t="s">
        <v>33</v>
      </c>
      <c r="F41" s="2">
        <f>COUNTIF(D:D,D41)</f>
        <v>1</v>
      </c>
      <c r="G41" s="3">
        <v>5059340162973</v>
      </c>
      <c r="H41" s="2" t="s">
        <v>78</v>
      </c>
      <c r="I41" s="10">
        <v>25</v>
      </c>
      <c r="J41" s="8">
        <v>1</v>
      </c>
      <c r="K41" s="32">
        <v>263.56304849884498</v>
      </c>
      <c r="L41" s="8">
        <v>0.26</v>
      </c>
      <c r="M41" s="20">
        <v>0.26</v>
      </c>
      <c r="N41" s="14">
        <v>6</v>
      </c>
      <c r="O41" s="10">
        <v>1</v>
      </c>
      <c r="P41" s="10">
        <v>2</v>
      </c>
      <c r="Q41" s="10">
        <v>3</v>
      </c>
      <c r="R41" s="10">
        <v>4</v>
      </c>
      <c r="S41" s="10">
        <v>5</v>
      </c>
      <c r="T41" s="10">
        <v>6</v>
      </c>
      <c r="U41" s="10">
        <v>7</v>
      </c>
      <c r="V41" s="10">
        <v>8</v>
      </c>
      <c r="W41" s="10">
        <v>9</v>
      </c>
      <c r="X41" s="10">
        <v>10</v>
      </c>
      <c r="Y41" s="10">
        <v>11</v>
      </c>
    </row>
    <row r="42" spans="1:25">
      <c r="A42" s="7" t="s">
        <v>4</v>
      </c>
      <c r="B42" s="7" t="s">
        <v>5</v>
      </c>
      <c r="C42" s="3" t="s">
        <v>32</v>
      </c>
      <c r="D42" s="28">
        <v>501553</v>
      </c>
      <c r="E42" s="15" t="s">
        <v>33</v>
      </c>
      <c r="F42" s="2">
        <f>COUNTIF(D:D,D42)</f>
        <v>1</v>
      </c>
      <c r="G42" s="3">
        <v>5059340162058</v>
      </c>
      <c r="H42" s="2" t="s">
        <v>79</v>
      </c>
      <c r="I42" s="10">
        <v>45</v>
      </c>
      <c r="J42" s="8">
        <v>1</v>
      </c>
      <c r="K42" s="32">
        <v>244.91659327925822</v>
      </c>
      <c r="L42" s="8">
        <v>0.13</v>
      </c>
      <c r="M42" s="20">
        <v>1.1200000000000001</v>
      </c>
      <c r="N42" s="14">
        <v>6</v>
      </c>
      <c r="O42" s="10">
        <v>1</v>
      </c>
      <c r="P42" s="10">
        <v>2</v>
      </c>
      <c r="Q42" s="10">
        <v>3</v>
      </c>
      <c r="R42" s="10">
        <v>4</v>
      </c>
      <c r="S42" s="10">
        <v>5</v>
      </c>
      <c r="T42" s="10">
        <v>6</v>
      </c>
      <c r="U42" s="10">
        <v>7</v>
      </c>
      <c r="V42" s="10">
        <v>8</v>
      </c>
      <c r="W42" s="10">
        <v>9</v>
      </c>
      <c r="X42" s="10">
        <v>10</v>
      </c>
      <c r="Y42" s="10">
        <v>11</v>
      </c>
    </row>
    <row r="43" spans="1:25">
      <c r="A43" s="7" t="s">
        <v>4</v>
      </c>
      <c r="B43" s="7" t="s">
        <v>5</v>
      </c>
      <c r="C43" s="3" t="s">
        <v>32</v>
      </c>
      <c r="D43" s="47">
        <v>519989</v>
      </c>
      <c r="E43" s="15" t="s">
        <v>33</v>
      </c>
      <c r="F43" s="2">
        <f>COUNTIF(D:D,D43)</f>
        <v>1</v>
      </c>
      <c r="G43" s="3">
        <v>5057741276336</v>
      </c>
      <c r="H43" s="2" t="s">
        <v>80</v>
      </c>
      <c r="I43" s="10">
        <v>12</v>
      </c>
      <c r="J43" s="8">
        <v>1</v>
      </c>
      <c r="K43" s="32">
        <v>658.4796</v>
      </c>
      <c r="L43" s="8">
        <v>7.0000000000000007E-2</v>
      </c>
      <c r="M43" s="20">
        <v>0.44</v>
      </c>
      <c r="N43" s="14">
        <v>12</v>
      </c>
      <c r="O43" s="10">
        <v>2</v>
      </c>
      <c r="P43" s="10">
        <v>4</v>
      </c>
      <c r="Q43" s="10">
        <v>6</v>
      </c>
      <c r="R43" s="10">
        <v>8</v>
      </c>
      <c r="S43" s="10">
        <v>10</v>
      </c>
      <c r="T43" s="10">
        <v>12</v>
      </c>
      <c r="U43" s="10">
        <v>14</v>
      </c>
      <c r="V43" s="10">
        <v>16</v>
      </c>
      <c r="W43" s="10">
        <v>18</v>
      </c>
      <c r="X43" s="10">
        <v>20</v>
      </c>
      <c r="Y43" s="10">
        <v>22</v>
      </c>
    </row>
    <row r="44" spans="1:25">
      <c r="A44" s="7" t="s">
        <v>4</v>
      </c>
      <c r="B44" s="7" t="s">
        <v>5</v>
      </c>
      <c r="C44" s="3" t="s">
        <v>81</v>
      </c>
      <c r="D44" s="28">
        <v>700656</v>
      </c>
      <c r="E44" s="15" t="s">
        <v>33</v>
      </c>
      <c r="F44" s="2">
        <f>COUNTIF(D:D,D44)</f>
        <v>1</v>
      </c>
      <c r="G44" s="3">
        <v>5059340264479</v>
      </c>
      <c r="H44" s="2" t="s">
        <v>82</v>
      </c>
      <c r="I44" s="10">
        <v>1</v>
      </c>
      <c r="J44" s="8">
        <v>1</v>
      </c>
      <c r="K44" s="32">
        <v>2633.122586307783</v>
      </c>
      <c r="L44" s="8">
        <v>0.42</v>
      </c>
      <c r="M44" s="20">
        <v>1.71</v>
      </c>
      <c r="N44" s="14">
        <v>44</v>
      </c>
      <c r="O44" s="10">
        <v>7</v>
      </c>
      <c r="P44" s="10">
        <v>14</v>
      </c>
      <c r="Q44" s="10">
        <v>21</v>
      </c>
      <c r="R44" s="10">
        <v>28</v>
      </c>
      <c r="S44" s="10">
        <v>35</v>
      </c>
      <c r="T44" s="10">
        <v>42</v>
      </c>
      <c r="U44" s="10">
        <v>49</v>
      </c>
      <c r="V44" s="10">
        <v>56</v>
      </c>
      <c r="W44" s="10">
        <v>63</v>
      </c>
      <c r="X44" s="10">
        <v>70</v>
      </c>
      <c r="Y44" s="10">
        <v>77</v>
      </c>
    </row>
    <row r="45" spans="1:25">
      <c r="A45" s="7" t="s">
        <v>4</v>
      </c>
      <c r="B45" s="7" t="s">
        <v>5</v>
      </c>
      <c r="C45" s="3" t="s">
        <v>81</v>
      </c>
      <c r="D45" s="28">
        <v>700646</v>
      </c>
      <c r="E45" s="15" t="s">
        <v>33</v>
      </c>
      <c r="F45" s="2">
        <f>COUNTIF(D:D,D45)</f>
        <v>1</v>
      </c>
      <c r="G45" s="3">
        <v>5059340264363</v>
      </c>
      <c r="H45" s="2" t="s">
        <v>83</v>
      </c>
      <c r="I45" s="10">
        <v>1</v>
      </c>
      <c r="J45" s="8">
        <v>1</v>
      </c>
      <c r="K45" s="32">
        <v>1622.2398673300158</v>
      </c>
      <c r="L45" s="8">
        <v>0.24</v>
      </c>
      <c r="M45" s="20">
        <v>0.86</v>
      </c>
      <c r="N45" s="14">
        <v>44</v>
      </c>
      <c r="O45" s="10">
        <v>7</v>
      </c>
      <c r="P45" s="10">
        <v>14</v>
      </c>
      <c r="Q45" s="10">
        <v>21</v>
      </c>
      <c r="R45" s="10">
        <v>28</v>
      </c>
      <c r="S45" s="10">
        <v>35</v>
      </c>
      <c r="T45" s="10">
        <v>42</v>
      </c>
      <c r="U45" s="10">
        <v>49</v>
      </c>
      <c r="V45" s="10">
        <v>56</v>
      </c>
      <c r="W45" s="10">
        <v>63</v>
      </c>
      <c r="X45" s="10">
        <v>70</v>
      </c>
      <c r="Y45" s="10">
        <v>77</v>
      </c>
    </row>
    <row r="46" spans="1:25">
      <c r="A46" s="7" t="s">
        <v>4</v>
      </c>
      <c r="B46" s="7" t="s">
        <v>5</v>
      </c>
      <c r="C46" s="3" t="s">
        <v>81</v>
      </c>
      <c r="D46" s="28">
        <v>700654</v>
      </c>
      <c r="E46" s="15" t="s">
        <v>33</v>
      </c>
      <c r="F46" s="2">
        <f>COUNTIF(D:D,D46)</f>
        <v>1</v>
      </c>
      <c r="G46" s="3">
        <v>5059340264455</v>
      </c>
      <c r="H46" s="2" t="s">
        <v>84</v>
      </c>
      <c r="I46" s="10">
        <v>1</v>
      </c>
      <c r="J46" s="8">
        <v>1</v>
      </c>
      <c r="K46" s="32">
        <v>2106.0379579349924</v>
      </c>
      <c r="L46" s="8">
        <v>0.33</v>
      </c>
      <c r="M46" s="20">
        <v>0.95</v>
      </c>
      <c r="N46" s="14">
        <v>44</v>
      </c>
      <c r="O46" s="10">
        <v>7</v>
      </c>
      <c r="P46" s="10">
        <v>14</v>
      </c>
      <c r="Q46" s="10">
        <v>21</v>
      </c>
      <c r="R46" s="10">
        <v>28</v>
      </c>
      <c r="S46" s="10">
        <v>35</v>
      </c>
      <c r="T46" s="10">
        <v>42</v>
      </c>
      <c r="U46" s="10">
        <v>49</v>
      </c>
      <c r="V46" s="10">
        <v>56</v>
      </c>
      <c r="W46" s="10">
        <v>63</v>
      </c>
      <c r="X46" s="10">
        <v>70</v>
      </c>
      <c r="Y46" s="10">
        <v>77</v>
      </c>
    </row>
    <row r="47" spans="1:25">
      <c r="A47" s="7" t="s">
        <v>4</v>
      </c>
      <c r="B47" s="7" t="s">
        <v>5</v>
      </c>
      <c r="C47" s="3" t="s">
        <v>81</v>
      </c>
      <c r="D47" s="28">
        <v>700660</v>
      </c>
      <c r="E47" s="15" t="s">
        <v>33</v>
      </c>
      <c r="F47" s="2">
        <f>COUNTIF(D:D,D47)</f>
        <v>1</v>
      </c>
      <c r="G47" s="3">
        <v>5059340264516</v>
      </c>
      <c r="H47" s="2" t="s">
        <v>85</v>
      </c>
      <c r="I47" s="10">
        <v>1</v>
      </c>
      <c r="J47" s="8">
        <v>1</v>
      </c>
      <c r="K47" s="32">
        <v>1313.1600092485555</v>
      </c>
      <c r="L47" s="8">
        <v>0.35</v>
      </c>
      <c r="M47" s="20">
        <v>0.63</v>
      </c>
      <c r="N47" s="14">
        <v>44</v>
      </c>
      <c r="O47" s="10">
        <v>7</v>
      </c>
      <c r="P47" s="10">
        <v>14</v>
      </c>
      <c r="Q47" s="10">
        <v>21</v>
      </c>
      <c r="R47" s="10">
        <v>28</v>
      </c>
      <c r="S47" s="10">
        <v>35</v>
      </c>
      <c r="T47" s="10">
        <v>42</v>
      </c>
      <c r="U47" s="10">
        <v>49</v>
      </c>
      <c r="V47" s="10">
        <v>56</v>
      </c>
      <c r="W47" s="10">
        <v>63</v>
      </c>
      <c r="X47" s="10">
        <v>70</v>
      </c>
      <c r="Y47" s="10">
        <v>77</v>
      </c>
    </row>
    <row r="48" spans="1:25">
      <c r="A48" s="7" t="s">
        <v>4</v>
      </c>
      <c r="B48" s="7" t="s">
        <v>5</v>
      </c>
      <c r="C48" s="3" t="s">
        <v>81</v>
      </c>
      <c r="D48" s="28">
        <v>722216</v>
      </c>
      <c r="E48" s="15" t="s">
        <v>33</v>
      </c>
      <c r="F48" s="2">
        <f>COUNTIF(D:D,D48)</f>
        <v>1</v>
      </c>
      <c r="G48" s="3">
        <v>5059340484778</v>
      </c>
      <c r="H48" s="2" t="s">
        <v>86</v>
      </c>
      <c r="I48" s="10">
        <v>9</v>
      </c>
      <c r="J48" s="8">
        <v>1</v>
      </c>
      <c r="K48" s="32"/>
      <c r="L48" s="8"/>
      <c r="M48" s="20" t="s">
        <v>35</v>
      </c>
      <c r="N48" s="14">
        <v>25</v>
      </c>
      <c r="O48" s="10">
        <v>4</v>
      </c>
      <c r="P48" s="10">
        <v>8</v>
      </c>
      <c r="Q48" s="10">
        <v>12</v>
      </c>
      <c r="R48" s="10">
        <v>16</v>
      </c>
      <c r="S48" s="10">
        <v>20</v>
      </c>
      <c r="T48" s="10">
        <v>24</v>
      </c>
      <c r="U48" s="10">
        <v>28</v>
      </c>
      <c r="V48" s="10">
        <v>32</v>
      </c>
      <c r="W48" s="10">
        <v>36</v>
      </c>
      <c r="X48" s="10">
        <v>40</v>
      </c>
      <c r="Y48" s="10">
        <v>44</v>
      </c>
    </row>
    <row r="49" spans="1:25">
      <c r="A49" s="7" t="s">
        <v>4</v>
      </c>
      <c r="B49" s="7" t="s">
        <v>5</v>
      </c>
      <c r="C49" s="3" t="s">
        <v>81</v>
      </c>
      <c r="D49" s="28">
        <v>784247</v>
      </c>
      <c r="E49" s="15" t="s">
        <v>33</v>
      </c>
      <c r="F49" s="2">
        <f>COUNTIF(D:D,D49)</f>
        <v>1</v>
      </c>
      <c r="G49" s="3">
        <v>3663602954019</v>
      </c>
      <c r="H49" s="2" t="s">
        <v>87</v>
      </c>
      <c r="I49" s="10">
        <v>10</v>
      </c>
      <c r="J49" s="8" t="s">
        <v>35</v>
      </c>
      <c r="K49" s="32">
        <v>222.29815481548152</v>
      </c>
      <c r="L49" s="8">
        <v>0.71</v>
      </c>
      <c r="M49" s="20">
        <v>1.97</v>
      </c>
      <c r="N49" s="14">
        <v>25</v>
      </c>
      <c r="O49" s="10">
        <v>4</v>
      </c>
      <c r="P49" s="10">
        <v>8</v>
      </c>
      <c r="Q49" s="10">
        <v>12</v>
      </c>
      <c r="R49" s="10">
        <v>16</v>
      </c>
      <c r="S49" s="10">
        <v>20</v>
      </c>
      <c r="T49" s="10">
        <v>24</v>
      </c>
      <c r="U49" s="10">
        <v>28</v>
      </c>
      <c r="V49" s="10">
        <v>32</v>
      </c>
      <c r="W49" s="10">
        <v>36</v>
      </c>
      <c r="X49" s="10">
        <v>40</v>
      </c>
      <c r="Y49" s="10">
        <v>44</v>
      </c>
    </row>
    <row r="50" spans="1:25">
      <c r="A50" s="7" t="s">
        <v>4</v>
      </c>
      <c r="B50" s="7" t="s">
        <v>5</v>
      </c>
      <c r="C50" s="3" t="s">
        <v>81</v>
      </c>
      <c r="D50" s="28">
        <v>700393</v>
      </c>
      <c r="E50" s="15" t="s">
        <v>33</v>
      </c>
      <c r="F50" s="2">
        <f>COUNTIF(D:D,D50)</f>
        <v>1</v>
      </c>
      <c r="G50" s="3">
        <v>3700101801069</v>
      </c>
      <c r="H50" s="2" t="s">
        <v>88</v>
      </c>
      <c r="I50" s="10">
        <v>15</v>
      </c>
      <c r="J50" s="8">
        <v>1</v>
      </c>
      <c r="K50" s="32">
        <v>546.02239018824753</v>
      </c>
      <c r="L50" s="8">
        <v>0.26</v>
      </c>
      <c r="M50" s="20">
        <v>4.07</v>
      </c>
      <c r="N50" s="14">
        <v>25</v>
      </c>
      <c r="O50" s="10">
        <v>4</v>
      </c>
      <c r="P50" s="10">
        <v>8</v>
      </c>
      <c r="Q50" s="10">
        <v>12</v>
      </c>
      <c r="R50" s="10">
        <v>16</v>
      </c>
      <c r="S50" s="10">
        <v>20</v>
      </c>
      <c r="T50" s="10">
        <v>24</v>
      </c>
      <c r="U50" s="10">
        <v>28</v>
      </c>
      <c r="V50" s="10">
        <v>32</v>
      </c>
      <c r="W50" s="10">
        <v>36</v>
      </c>
      <c r="X50" s="10">
        <v>40</v>
      </c>
      <c r="Y50" s="10">
        <v>44</v>
      </c>
    </row>
    <row r="51" spans="1:25">
      <c r="A51" s="7" t="s">
        <v>4</v>
      </c>
      <c r="B51" s="7" t="s">
        <v>5</v>
      </c>
      <c r="C51" s="3" t="s">
        <v>81</v>
      </c>
      <c r="D51" s="28">
        <v>704307</v>
      </c>
      <c r="E51" s="15" t="s">
        <v>33</v>
      </c>
      <c r="F51" s="2">
        <f>COUNTIF(D:D,D51)</f>
        <v>1</v>
      </c>
      <c r="G51" s="3">
        <v>3663602884330</v>
      </c>
      <c r="H51" s="2" t="s">
        <v>89</v>
      </c>
      <c r="I51" s="10">
        <v>9</v>
      </c>
      <c r="J51" s="8">
        <v>1</v>
      </c>
      <c r="K51" s="32">
        <v>411.48182819383203</v>
      </c>
      <c r="L51" s="8">
        <v>0.15</v>
      </c>
      <c r="M51" s="20">
        <v>1.88</v>
      </c>
      <c r="N51" s="14">
        <v>20</v>
      </c>
      <c r="O51" s="10">
        <v>3</v>
      </c>
      <c r="P51" s="10">
        <v>6</v>
      </c>
      <c r="Q51" s="10">
        <v>9</v>
      </c>
      <c r="R51" s="10">
        <v>12</v>
      </c>
      <c r="S51" s="10">
        <v>15</v>
      </c>
      <c r="T51" s="10">
        <v>18</v>
      </c>
      <c r="U51" s="10">
        <v>21</v>
      </c>
      <c r="V51" s="10">
        <v>24</v>
      </c>
      <c r="W51" s="10">
        <v>27</v>
      </c>
      <c r="X51" s="10">
        <v>30</v>
      </c>
      <c r="Y51" s="10">
        <v>33</v>
      </c>
    </row>
    <row r="52" spans="1:25">
      <c r="A52" s="7" t="s">
        <v>4</v>
      </c>
      <c r="B52" s="7" t="s">
        <v>5</v>
      </c>
      <c r="C52" s="3" t="s">
        <v>81</v>
      </c>
      <c r="D52" s="28">
        <v>700417</v>
      </c>
      <c r="E52" s="15" t="s">
        <v>33</v>
      </c>
      <c r="F52" s="2">
        <f>COUNTIF(D:D,D52)</f>
        <v>1</v>
      </c>
      <c r="G52" s="3">
        <v>3549212478520</v>
      </c>
      <c r="H52" s="2" t="s">
        <v>90</v>
      </c>
      <c r="I52" s="10">
        <v>1</v>
      </c>
      <c r="J52" s="8">
        <v>0.9</v>
      </c>
      <c r="K52" s="32">
        <v>399.85347985348</v>
      </c>
      <c r="L52" s="8">
        <v>0.11</v>
      </c>
      <c r="M52" s="20">
        <v>8.26</v>
      </c>
      <c r="N52" s="14">
        <v>25</v>
      </c>
      <c r="O52" s="10">
        <v>4</v>
      </c>
      <c r="P52" s="10">
        <v>8</v>
      </c>
      <c r="Q52" s="10">
        <v>12</v>
      </c>
      <c r="R52" s="10">
        <v>16</v>
      </c>
      <c r="S52" s="10">
        <v>20</v>
      </c>
      <c r="T52" s="10">
        <v>24</v>
      </c>
      <c r="U52" s="10">
        <v>28</v>
      </c>
      <c r="V52" s="10">
        <v>32</v>
      </c>
      <c r="W52" s="10">
        <v>36</v>
      </c>
      <c r="X52" s="10">
        <v>40</v>
      </c>
      <c r="Y52" s="10">
        <v>44</v>
      </c>
    </row>
    <row r="53" spans="1:25">
      <c r="A53" s="7" t="s">
        <v>4</v>
      </c>
      <c r="B53" s="7" t="s">
        <v>5</v>
      </c>
      <c r="C53" s="3" t="s">
        <v>81</v>
      </c>
      <c r="D53" s="28">
        <v>721974</v>
      </c>
      <c r="E53" s="15" t="s">
        <v>33</v>
      </c>
      <c r="F53" s="2">
        <f>COUNTIF(D:D,D53)</f>
        <v>1</v>
      </c>
      <c r="G53" s="3">
        <v>5411183179356</v>
      </c>
      <c r="H53" s="2" t="s">
        <v>91</v>
      </c>
      <c r="I53" s="10">
        <v>4</v>
      </c>
      <c r="J53" s="8">
        <v>1</v>
      </c>
      <c r="K53" s="32">
        <v>593.99620933313747</v>
      </c>
      <c r="L53" s="8">
        <v>0.44</v>
      </c>
      <c r="M53" s="20">
        <v>0.34</v>
      </c>
      <c r="N53" s="14">
        <v>25</v>
      </c>
      <c r="O53" s="10">
        <v>4</v>
      </c>
      <c r="P53" s="10">
        <v>8</v>
      </c>
      <c r="Q53" s="10">
        <v>12</v>
      </c>
      <c r="R53" s="10">
        <v>16</v>
      </c>
      <c r="S53" s="10">
        <v>20</v>
      </c>
      <c r="T53" s="10">
        <v>24</v>
      </c>
      <c r="U53" s="10">
        <v>28</v>
      </c>
      <c r="V53" s="10">
        <v>32</v>
      </c>
      <c r="W53" s="10">
        <v>36</v>
      </c>
      <c r="X53" s="10">
        <v>40</v>
      </c>
      <c r="Y53" s="10">
        <v>44</v>
      </c>
    </row>
    <row r="54" spans="1:25">
      <c r="A54" s="7" t="s">
        <v>4</v>
      </c>
      <c r="B54" s="7" t="s">
        <v>5</v>
      </c>
      <c r="C54" s="3" t="s">
        <v>38</v>
      </c>
      <c r="D54" s="28">
        <v>800071</v>
      </c>
      <c r="E54" s="15" t="s">
        <v>33</v>
      </c>
      <c r="F54" s="2">
        <f>COUNTIF(D:D,D54)</f>
        <v>1</v>
      </c>
      <c r="G54" s="3">
        <v>8018678833006</v>
      </c>
      <c r="H54" s="2" t="s">
        <v>92</v>
      </c>
      <c r="I54" s="10">
        <v>56</v>
      </c>
      <c r="J54" s="8">
        <v>1</v>
      </c>
      <c r="K54" s="32">
        <v>613.80614466957002</v>
      </c>
      <c r="L54" s="8">
        <v>0.03</v>
      </c>
      <c r="M54" s="20" t="s">
        <v>35</v>
      </c>
      <c r="N54" s="14">
        <v>25</v>
      </c>
      <c r="O54" s="10">
        <v>4</v>
      </c>
      <c r="P54" s="10">
        <v>8</v>
      </c>
      <c r="Q54" s="10">
        <v>12</v>
      </c>
      <c r="R54" s="10">
        <v>16</v>
      </c>
      <c r="S54" s="10">
        <v>20</v>
      </c>
      <c r="T54" s="10">
        <v>24</v>
      </c>
      <c r="U54" s="10">
        <v>28</v>
      </c>
      <c r="V54" s="10">
        <v>32</v>
      </c>
      <c r="W54" s="10">
        <v>36</v>
      </c>
      <c r="X54" s="10">
        <v>40</v>
      </c>
      <c r="Y54" s="10">
        <v>44</v>
      </c>
    </row>
    <row r="55" spans="1:25">
      <c r="A55" s="7" t="s">
        <v>4</v>
      </c>
      <c r="B55" s="7" t="s">
        <v>5</v>
      </c>
      <c r="C55" s="3" t="s">
        <v>38</v>
      </c>
      <c r="D55" s="28">
        <v>801634</v>
      </c>
      <c r="E55" s="15" t="s">
        <v>33</v>
      </c>
      <c r="F55" s="2">
        <f>COUNTIF(D:D,D55)</f>
        <v>1</v>
      </c>
      <c r="G55" s="3">
        <v>5059340396200</v>
      </c>
      <c r="H55" s="2" t="s">
        <v>93</v>
      </c>
      <c r="I55" s="10">
        <v>1</v>
      </c>
      <c r="J55" s="8">
        <v>1</v>
      </c>
      <c r="K55" s="32">
        <v>1422.3963421828912</v>
      </c>
      <c r="L55" s="8">
        <v>0.22</v>
      </c>
      <c r="M55" s="20">
        <v>5.12</v>
      </c>
      <c r="N55" s="14">
        <v>16</v>
      </c>
      <c r="O55" s="10">
        <v>3</v>
      </c>
      <c r="P55" s="10">
        <v>6</v>
      </c>
      <c r="Q55" s="10">
        <v>9</v>
      </c>
      <c r="R55" s="10">
        <v>12</v>
      </c>
      <c r="S55" s="10">
        <v>15</v>
      </c>
      <c r="T55" s="10">
        <v>18</v>
      </c>
      <c r="U55" s="10">
        <v>21</v>
      </c>
      <c r="V55" s="10">
        <v>24</v>
      </c>
      <c r="W55" s="10">
        <v>27</v>
      </c>
      <c r="X55" s="10">
        <v>30</v>
      </c>
      <c r="Y55" s="10">
        <v>33</v>
      </c>
    </row>
    <row r="56" spans="1:25">
      <c r="A56" s="7" t="s">
        <v>4</v>
      </c>
      <c r="B56" s="7" t="s">
        <v>5</v>
      </c>
      <c r="C56" s="3" t="s">
        <v>38</v>
      </c>
      <c r="D56" s="28">
        <v>801633</v>
      </c>
      <c r="E56" s="15" t="s">
        <v>33</v>
      </c>
      <c r="F56" s="2">
        <f>COUNTIF(D:D,D56)</f>
        <v>1</v>
      </c>
      <c r="G56" s="3">
        <v>5059340396194</v>
      </c>
      <c r="H56" s="2" t="s">
        <v>94</v>
      </c>
      <c r="I56" s="10">
        <v>1</v>
      </c>
      <c r="J56" s="8">
        <v>1</v>
      </c>
      <c r="K56" s="32">
        <v>1722.8184931506848</v>
      </c>
      <c r="L56" s="8">
        <v>0.3</v>
      </c>
      <c r="M56" s="20">
        <v>4.55</v>
      </c>
      <c r="N56" s="14">
        <v>25</v>
      </c>
      <c r="O56" s="10">
        <v>4</v>
      </c>
      <c r="P56" s="10">
        <v>8</v>
      </c>
      <c r="Q56" s="10">
        <v>12</v>
      </c>
      <c r="R56" s="10">
        <v>16</v>
      </c>
      <c r="S56" s="10">
        <v>20</v>
      </c>
      <c r="T56" s="10">
        <v>24</v>
      </c>
      <c r="U56" s="10">
        <v>28</v>
      </c>
      <c r="V56" s="10">
        <v>32</v>
      </c>
      <c r="W56" s="10">
        <v>36</v>
      </c>
      <c r="X56" s="10">
        <v>40</v>
      </c>
      <c r="Y56" s="10">
        <v>44</v>
      </c>
    </row>
    <row r="57" spans="1:25">
      <c r="A57" s="7" t="s">
        <v>4</v>
      </c>
      <c r="B57" s="7" t="s">
        <v>5</v>
      </c>
      <c r="C57" s="3" t="s">
        <v>38</v>
      </c>
      <c r="D57" s="28">
        <v>801093</v>
      </c>
      <c r="E57" s="15" t="s">
        <v>33</v>
      </c>
      <c r="F57" s="2">
        <f>COUNTIF(D:D,D57)</f>
        <v>1</v>
      </c>
      <c r="G57" s="3">
        <v>3465700044674</v>
      </c>
      <c r="H57" s="2" t="s">
        <v>95</v>
      </c>
      <c r="I57" s="10">
        <v>16</v>
      </c>
      <c r="J57" s="8">
        <v>1</v>
      </c>
      <c r="K57" s="32">
        <v>2537.7519040166881</v>
      </c>
      <c r="L57" s="8">
        <v>0.19</v>
      </c>
      <c r="M57" s="20">
        <v>2.1800000000000002</v>
      </c>
      <c r="N57" s="14">
        <v>16</v>
      </c>
      <c r="O57" s="10">
        <v>3</v>
      </c>
      <c r="P57" s="10">
        <v>6</v>
      </c>
      <c r="Q57" s="10">
        <v>9</v>
      </c>
      <c r="R57" s="10">
        <v>12</v>
      </c>
      <c r="S57" s="10">
        <v>15</v>
      </c>
      <c r="T57" s="10">
        <v>18</v>
      </c>
      <c r="U57" s="10">
        <v>21</v>
      </c>
      <c r="V57" s="10">
        <v>24</v>
      </c>
      <c r="W57" s="10">
        <v>27</v>
      </c>
      <c r="X57" s="10">
        <v>30</v>
      </c>
      <c r="Y57" s="10">
        <v>33</v>
      </c>
    </row>
    <row r="58" spans="1:25">
      <c r="A58" s="7" t="s">
        <v>4</v>
      </c>
      <c r="B58" s="7" t="s">
        <v>5</v>
      </c>
      <c r="C58" s="3" t="s">
        <v>38</v>
      </c>
      <c r="D58" s="28">
        <v>801094</v>
      </c>
      <c r="E58" s="15" t="s">
        <v>33</v>
      </c>
      <c r="F58" s="2">
        <f>COUNTIF(D:D,D58)</f>
        <v>1</v>
      </c>
      <c r="G58" s="3">
        <v>3465700044681</v>
      </c>
      <c r="H58" s="2" t="s">
        <v>96</v>
      </c>
      <c r="I58" s="10">
        <v>14</v>
      </c>
      <c r="J58" s="8">
        <v>1</v>
      </c>
      <c r="K58" s="32">
        <v>2778.7854616895938</v>
      </c>
      <c r="L58" s="8">
        <v>0.13</v>
      </c>
      <c r="M58" s="20">
        <v>2.5</v>
      </c>
      <c r="N58" s="14">
        <v>14</v>
      </c>
      <c r="O58" s="10">
        <v>2</v>
      </c>
      <c r="P58" s="10">
        <v>4</v>
      </c>
      <c r="Q58" s="10">
        <v>6</v>
      </c>
      <c r="R58" s="10">
        <v>8</v>
      </c>
      <c r="S58" s="10">
        <v>10</v>
      </c>
      <c r="T58" s="10">
        <v>12</v>
      </c>
      <c r="U58" s="10">
        <v>14</v>
      </c>
      <c r="V58" s="10">
        <v>16</v>
      </c>
      <c r="W58" s="10">
        <v>18</v>
      </c>
      <c r="X58" s="10">
        <v>20</v>
      </c>
      <c r="Y58" s="10">
        <v>22</v>
      </c>
    </row>
    <row r="59" spans="1:25">
      <c r="A59" s="7" t="s">
        <v>4</v>
      </c>
      <c r="B59" s="7" t="s">
        <v>5</v>
      </c>
      <c r="C59" s="3" t="s">
        <v>38</v>
      </c>
      <c r="D59" s="47">
        <v>815139</v>
      </c>
      <c r="E59" s="15" t="s">
        <v>33</v>
      </c>
      <c r="F59" s="2">
        <f>COUNTIF(D:D,D59)</f>
        <v>1</v>
      </c>
      <c r="G59" s="3">
        <v>3663602842675</v>
      </c>
      <c r="H59" s="2" t="s">
        <v>97</v>
      </c>
      <c r="I59" s="10">
        <v>6</v>
      </c>
      <c r="J59" s="8">
        <v>1</v>
      </c>
      <c r="K59" s="32">
        <v>1188.3555194805181</v>
      </c>
      <c r="L59" s="8">
        <v>0.39</v>
      </c>
      <c r="M59" s="20">
        <v>0.72</v>
      </c>
      <c r="N59" s="14">
        <v>6</v>
      </c>
      <c r="O59" s="10">
        <v>1</v>
      </c>
      <c r="P59" s="10">
        <v>2</v>
      </c>
      <c r="Q59" s="10">
        <v>3</v>
      </c>
      <c r="R59" s="10">
        <v>4</v>
      </c>
      <c r="S59" s="10">
        <v>5</v>
      </c>
      <c r="T59" s="10">
        <v>6</v>
      </c>
      <c r="U59" s="10">
        <v>7</v>
      </c>
      <c r="V59" s="10">
        <v>8</v>
      </c>
      <c r="W59" s="10">
        <v>9</v>
      </c>
      <c r="X59" s="10">
        <v>10</v>
      </c>
      <c r="Y59" s="10">
        <v>11</v>
      </c>
    </row>
    <row r="60" spans="1:25">
      <c r="A60" s="7" t="s">
        <v>4</v>
      </c>
      <c r="B60" s="7" t="s">
        <v>5</v>
      </c>
      <c r="C60" s="3" t="s">
        <v>38</v>
      </c>
      <c r="D60" s="28">
        <v>811892</v>
      </c>
      <c r="E60" s="15" t="s">
        <v>33</v>
      </c>
      <c r="F60" s="2">
        <f>COUNTIF(D:D,D60)</f>
        <v>1</v>
      </c>
      <c r="G60" s="3">
        <v>8027788370998</v>
      </c>
      <c r="H60" s="2" t="s">
        <v>98</v>
      </c>
      <c r="I60" s="10">
        <v>48</v>
      </c>
      <c r="J60" s="8">
        <v>1</v>
      </c>
      <c r="K60" s="32">
        <v>6044.5155398230081</v>
      </c>
      <c r="L60" s="8">
        <v>0.05</v>
      </c>
      <c r="M60" s="20">
        <v>3.54</v>
      </c>
      <c r="N60" s="14">
        <v>48</v>
      </c>
      <c r="O60" s="10">
        <v>8</v>
      </c>
      <c r="P60" s="10">
        <v>16</v>
      </c>
      <c r="Q60" s="10">
        <v>24</v>
      </c>
      <c r="R60" s="10">
        <v>32</v>
      </c>
      <c r="S60" s="10">
        <v>40</v>
      </c>
      <c r="T60" s="10">
        <v>48</v>
      </c>
      <c r="U60" s="10">
        <v>56</v>
      </c>
      <c r="V60" s="10">
        <v>64</v>
      </c>
      <c r="W60" s="10">
        <v>72</v>
      </c>
      <c r="X60" s="10">
        <v>80</v>
      </c>
      <c r="Y60" s="10">
        <v>88</v>
      </c>
    </row>
    <row r="61" spans="1:25">
      <c r="A61" s="7" t="s">
        <v>4</v>
      </c>
      <c r="B61" s="7" t="s">
        <v>5</v>
      </c>
      <c r="C61" s="3" t="s">
        <v>38</v>
      </c>
      <c r="D61" s="28">
        <v>812326</v>
      </c>
      <c r="E61" s="15" t="s">
        <v>33</v>
      </c>
      <c r="F61" s="2">
        <f>COUNTIF(D:D,D61)</f>
        <v>1</v>
      </c>
      <c r="G61" s="3">
        <v>8719379148696</v>
      </c>
      <c r="H61" s="2" t="s">
        <v>99</v>
      </c>
      <c r="I61" s="10">
        <v>48</v>
      </c>
      <c r="J61" s="8">
        <v>1</v>
      </c>
      <c r="K61" s="32">
        <v>3946.945143992054</v>
      </c>
      <c r="L61" s="8">
        <v>0.04</v>
      </c>
      <c r="M61" s="20" t="s">
        <v>35</v>
      </c>
      <c r="N61" s="14">
        <v>48</v>
      </c>
      <c r="O61" s="10">
        <v>8</v>
      </c>
      <c r="P61" s="10">
        <v>16</v>
      </c>
      <c r="Q61" s="10">
        <v>24</v>
      </c>
      <c r="R61" s="10">
        <v>32</v>
      </c>
      <c r="S61" s="10">
        <v>40</v>
      </c>
      <c r="T61" s="10">
        <v>48</v>
      </c>
      <c r="U61" s="10">
        <v>56</v>
      </c>
      <c r="V61" s="10">
        <v>64</v>
      </c>
      <c r="W61" s="10">
        <v>72</v>
      </c>
      <c r="X61" s="10">
        <v>80</v>
      </c>
      <c r="Y61" s="10">
        <v>88</v>
      </c>
    </row>
    <row r="62" spans="1:25">
      <c r="A62" s="7"/>
      <c r="B62" s="7"/>
      <c r="C62" s="3"/>
      <c r="D62" s="28"/>
      <c r="E62" s="15"/>
      <c r="F62" s="2"/>
      <c r="G62" s="3"/>
      <c r="H62" s="2"/>
      <c r="I62" s="10"/>
      <c r="J62" s="8"/>
      <c r="K62" s="32"/>
      <c r="L62" s="8"/>
      <c r="M62" s="20"/>
      <c r="N62" s="14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</row>
    <row r="63" spans="1:25">
      <c r="A63" s="7"/>
      <c r="B63" s="7"/>
      <c r="C63" s="3"/>
      <c r="D63" s="28"/>
      <c r="E63" s="15"/>
      <c r="F63" s="2"/>
      <c r="G63" s="3"/>
      <c r="H63" s="2"/>
      <c r="I63" s="10"/>
      <c r="J63" s="8"/>
      <c r="K63" s="32"/>
      <c r="L63" s="8"/>
      <c r="M63" s="20"/>
      <c r="N63" s="14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</row>
    <row r="64" spans="1:25">
      <c r="A64" s="7"/>
      <c r="B64" s="7"/>
      <c r="C64" s="3"/>
      <c r="D64" s="28"/>
      <c r="E64" s="15"/>
      <c r="F64" s="2"/>
      <c r="G64" s="3"/>
      <c r="H64" s="2"/>
      <c r="I64" s="10"/>
      <c r="J64" s="8"/>
      <c r="K64" s="32"/>
      <c r="L64" s="8"/>
      <c r="M64" s="20"/>
      <c r="N64" s="14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</row>
    <row r="65" spans="1:25">
      <c r="A65" s="7"/>
      <c r="B65" s="7"/>
      <c r="C65" s="3"/>
      <c r="D65" s="28"/>
      <c r="E65" s="15"/>
      <c r="F65" s="2"/>
      <c r="G65" s="3"/>
      <c r="H65" s="2"/>
      <c r="I65" s="10"/>
      <c r="J65" s="8"/>
      <c r="K65" s="32"/>
      <c r="L65" s="8"/>
      <c r="M65" s="20"/>
      <c r="N65" s="14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</row>
    <row r="66" spans="1:25">
      <c r="A66" s="7"/>
      <c r="B66" s="7"/>
      <c r="C66" s="3"/>
      <c r="D66" s="28"/>
      <c r="E66" s="15"/>
      <c r="F66" s="2"/>
      <c r="G66" s="3"/>
      <c r="H66" s="2"/>
      <c r="I66" s="10"/>
      <c r="J66" s="8"/>
      <c r="K66" s="32"/>
      <c r="L66" s="8"/>
      <c r="M66" s="20"/>
      <c r="N66" s="14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</row>
    <row r="67" spans="1:25">
      <c r="A67" s="7"/>
      <c r="B67" s="7"/>
      <c r="C67" s="3"/>
      <c r="D67" s="28"/>
      <c r="E67" s="15"/>
      <c r="F67" s="2"/>
      <c r="G67" s="3"/>
      <c r="H67" s="2"/>
      <c r="I67" s="10"/>
      <c r="J67" s="8"/>
      <c r="K67" s="32"/>
      <c r="L67" s="8"/>
      <c r="M67" s="20"/>
      <c r="N67" s="14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</row>
    <row r="68" spans="1:25">
      <c r="A68" s="7"/>
      <c r="B68" s="7"/>
      <c r="C68" s="3"/>
      <c r="D68" s="28"/>
      <c r="E68" s="15"/>
      <c r="F68" s="2"/>
      <c r="G68" s="3"/>
      <c r="H68" s="2"/>
      <c r="I68" s="10"/>
      <c r="J68" s="8"/>
      <c r="K68" s="32"/>
      <c r="L68" s="8"/>
      <c r="M68" s="20"/>
      <c r="N68" s="14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</row>
    <row r="69" spans="1:25">
      <c r="A69" s="7"/>
      <c r="B69" s="7"/>
      <c r="C69" s="3"/>
      <c r="D69" s="28"/>
      <c r="E69" s="15"/>
      <c r="F69" s="2"/>
      <c r="G69" s="3"/>
      <c r="H69" s="2"/>
      <c r="I69" s="10"/>
      <c r="J69" s="8"/>
      <c r="K69" s="32"/>
      <c r="L69" s="8"/>
      <c r="M69" s="20"/>
      <c r="N69" s="14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</row>
    <row r="70" spans="1:25">
      <c r="A70" s="7"/>
      <c r="B70" s="7"/>
      <c r="C70" s="3"/>
      <c r="D70" s="28"/>
      <c r="E70" s="15"/>
      <c r="F70" s="2"/>
      <c r="G70" s="3"/>
      <c r="H70" s="2"/>
      <c r="I70" s="10"/>
      <c r="J70" s="8"/>
      <c r="K70" s="32"/>
      <c r="L70" s="8"/>
      <c r="M70" s="20"/>
      <c r="N70" s="14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</row>
  </sheetData>
  <sheetProtection algorithmName="SHA-512" hashValue="J7/2LissaK0v5oiHhT/Q3g6xfiS15gkHhvvlv4TzJL98WbXjv7qKlEZbX7HXvok5tso5LQqjvp033cqCb/ajgA==" saltValue="GWiYc2CDuBt1HoTlS0ga0w==" spinCount="100000" sheet="1" objects="1" scenarios="1" sort="0" autoFilter="0" pivotTables="0"/>
  <autoFilter ref="A1:Z1" xr:uid="{00000000-0009-0000-0000-000001000000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M9"/>
  <sheetViews>
    <sheetView workbookViewId="0">
      <selection activeCell="B5" sqref="B5"/>
    </sheetView>
  </sheetViews>
  <sheetFormatPr defaultColWidth="11.42578125" defaultRowHeight="14.45"/>
  <cols>
    <col min="1" max="1" width="11.7109375" bestFit="1" customWidth="1"/>
    <col min="2" max="2" width="20.140625" bestFit="1" customWidth="1"/>
    <col min="8" max="8" width="11.5703125" style="22"/>
    <col min="9" max="9" width="11.7109375" bestFit="1" customWidth="1"/>
    <col min="10" max="10" width="18.85546875" bestFit="1" customWidth="1"/>
    <col min="12" max="12" width="19.5703125" bestFit="1" customWidth="1"/>
    <col min="13" max="13" width="19.42578125" bestFit="1" customWidth="1"/>
    <col min="14" max="14" width="19.42578125" customWidth="1"/>
  </cols>
  <sheetData>
    <row r="1" spans="1:13">
      <c r="A1" s="18" t="s">
        <v>100</v>
      </c>
      <c r="B1" t="s">
        <v>101</v>
      </c>
      <c r="I1" s="18" t="s">
        <v>100</v>
      </c>
      <c r="J1" t="s">
        <v>102</v>
      </c>
    </row>
    <row r="2" spans="1:13">
      <c r="A2" s="17" t="s">
        <v>60</v>
      </c>
      <c r="B2">
        <v>5</v>
      </c>
      <c r="D2" s="49" t="s">
        <v>103</v>
      </c>
      <c r="E2" s="49"/>
      <c r="F2" s="49"/>
      <c r="I2" s="17" t="s">
        <v>60</v>
      </c>
      <c r="J2" s="33">
        <v>4659.034346803368</v>
      </c>
      <c r="L2" s="50" t="s">
        <v>104</v>
      </c>
      <c r="M2" s="50"/>
    </row>
    <row r="3" spans="1:13">
      <c r="A3" s="17" t="s">
        <v>66</v>
      </c>
      <c r="B3">
        <v>2</v>
      </c>
      <c r="D3" s="49"/>
      <c r="E3" s="49"/>
      <c r="F3" s="49"/>
      <c r="I3" s="17" t="s">
        <v>66</v>
      </c>
      <c r="J3" s="33">
        <v>1762.1076665223568</v>
      </c>
      <c r="L3" s="50"/>
      <c r="M3" s="50"/>
    </row>
    <row r="4" spans="1:13">
      <c r="A4" s="17" t="s">
        <v>32</v>
      </c>
      <c r="B4">
        <v>15</v>
      </c>
      <c r="D4" s="49"/>
      <c r="E4" s="49"/>
      <c r="F4" s="49"/>
      <c r="I4" s="17" t="s">
        <v>32</v>
      </c>
      <c r="J4" s="33">
        <v>13775.903829732513</v>
      </c>
      <c r="L4" s="50"/>
      <c r="M4" s="50"/>
    </row>
    <row r="5" spans="1:13">
      <c r="A5" s="17" t="s">
        <v>48</v>
      </c>
      <c r="B5">
        <v>2</v>
      </c>
      <c r="I5" s="17" t="s">
        <v>81</v>
      </c>
      <c r="J5" s="33">
        <v>9848.2124832055251</v>
      </c>
    </row>
    <row r="6" spans="1:13">
      <c r="A6" s="17" t="s">
        <v>51</v>
      </c>
      <c r="B6">
        <v>9</v>
      </c>
      <c r="I6" s="17" t="s">
        <v>51</v>
      </c>
      <c r="J6" s="33">
        <v>5515.1944914389605</v>
      </c>
    </row>
    <row r="7" spans="1:13">
      <c r="A7" s="17" t="s">
        <v>81</v>
      </c>
      <c r="B7">
        <v>10</v>
      </c>
      <c r="I7" s="17" t="s">
        <v>48</v>
      </c>
      <c r="J7" s="33">
        <v>1532.364373319858</v>
      </c>
    </row>
    <row r="8" spans="1:13">
      <c r="A8" s="17" t="s">
        <v>38</v>
      </c>
      <c r="B8">
        <v>17</v>
      </c>
      <c r="I8" s="17" t="s">
        <v>38</v>
      </c>
      <c r="J8" s="33">
        <v>26123.963188379967</v>
      </c>
    </row>
    <row r="9" spans="1:13">
      <c r="A9" s="17" t="s">
        <v>105</v>
      </c>
      <c r="B9">
        <v>60</v>
      </c>
      <c r="I9" s="17" t="s">
        <v>105</v>
      </c>
      <c r="J9" s="33">
        <v>63216.780379402546</v>
      </c>
    </row>
  </sheetData>
  <mergeCells count="2">
    <mergeCell ref="D2:F4"/>
    <mergeCell ref="L2:M4"/>
  </mergeCell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FEFF70FE1F9B4E9093DC2BE96FE070" ma:contentTypeVersion="4" ma:contentTypeDescription="Create a new document." ma:contentTypeScope="" ma:versionID="0d10ad5f1feeefe4b3fa9b617ab15dd5">
  <xsd:schema xmlns:xsd="http://www.w3.org/2001/XMLSchema" xmlns:xs="http://www.w3.org/2001/XMLSchema" xmlns:p="http://schemas.microsoft.com/office/2006/metadata/properties" xmlns:ns2="9c586c3c-84a8-46c3-aad8-62fa706293bf" xmlns:ns3="4b883733-c83c-4c3b-a600-079bec236235" targetNamespace="http://schemas.microsoft.com/office/2006/metadata/properties" ma:root="true" ma:fieldsID="c9afa953b5e1a7d5bab55f0bab1317f2" ns2:_="" ns3:_="">
    <xsd:import namespace="9c586c3c-84a8-46c3-aad8-62fa706293bf"/>
    <xsd:import namespace="4b883733-c83c-4c3b-a600-079bec2362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586c3c-84a8-46c3-aad8-62fa706293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883733-c83c-4c3b-a600-079bec2362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3B0BD03-55A0-4592-8FCE-7BA9B3F44139}"/>
</file>

<file path=customXml/itemProps2.xml><?xml version="1.0" encoding="utf-8"?>
<ds:datastoreItem xmlns:ds="http://schemas.openxmlformats.org/officeDocument/2006/customXml" ds:itemID="{D3BC8BFA-3119-45AB-98A2-53CF1FBB85D2}"/>
</file>

<file path=customXml/itemProps3.xml><?xml version="1.0" encoding="utf-8"?>
<ds:datastoreItem xmlns:ds="http://schemas.openxmlformats.org/officeDocument/2006/customXml" ds:itemID="{101971D1-EEB1-4E28-9D89-B6462E70787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SOLUTEC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dsi</dc:creator>
  <cp:keywords/>
  <dc:description/>
  <cp:lastModifiedBy>Bakour, Boubekeur</cp:lastModifiedBy>
  <cp:revision/>
  <dcterms:created xsi:type="dcterms:W3CDTF">2022-12-09T10:18:17Z</dcterms:created>
  <dcterms:modified xsi:type="dcterms:W3CDTF">2023-03-21T16:29:09Z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0x01010055FEFF70FE1F9B4E9093DC2BE96FE070</vt:lpwstr>
  </property>
</Properties>
</file>