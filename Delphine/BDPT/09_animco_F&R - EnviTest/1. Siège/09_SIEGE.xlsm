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Documents\GitHub\BDepBDD\Delphine\BDPT\09_animco_F&amp;R - EnviTest\1. Siège\"/>
    </mc:Choice>
  </mc:AlternateContent>
  <xr:revisionPtr revIDLastSave="0" documentId="13_ncr:1_{F4ACAE3E-90C8-4A24-9B50-5AEB6522BEC0}" xr6:coauthVersionLast="47" xr6:coauthVersionMax="47" xr10:uidLastSave="{00000000-0000-0000-0000-000000000000}"/>
  <bookViews>
    <workbookView xWindow="10485" yWindow="705" windowWidth="24585" windowHeight="11385" activeTab="1" xr2:uid="{00000000-000D-0000-FFFF-FFFF00000000}"/>
  </bookViews>
  <sheets>
    <sheet name="Info" sheetId="5" r:id="rId1"/>
    <sheet name="DATA" sheetId="1" r:id="rId2"/>
    <sheet name="Graphique" sheetId="4" r:id="rId3"/>
    <sheet name="Compilation" sheetId="6" r:id="rId4"/>
  </sheets>
  <externalReferences>
    <externalReference r:id="rId5"/>
  </externalReferences>
  <definedNames>
    <definedName name="liste">[1]LISTE!$B:$O</definedName>
    <definedName name="liste_data">#REF!</definedName>
    <definedName name="liste_test">#REF!</definedName>
  </definedNames>
  <calcPr calcId="191028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" l="1"/>
  <c r="F19" i="1" l="1"/>
  <c r="F18" i="1"/>
  <c r="F17" i="1"/>
  <c r="F16" i="1"/>
  <c r="F15" i="1"/>
  <c r="F14" i="1"/>
  <c r="F13" i="1" l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<sst xmlns="http://schemas.openxmlformats.org/spreadsheetml/2006/main" count="136" uniqueCount="61">
  <si>
    <t>INFO A COMPLETER</t>
  </si>
  <si>
    <t>Mois</t>
  </si>
  <si>
    <t>Année</t>
  </si>
  <si>
    <t>Région</t>
  </si>
  <si>
    <t>Septembre</t>
  </si>
  <si>
    <t>Toutes régions</t>
  </si>
  <si>
    <t>S10</t>
  </si>
  <si>
    <t>Region</t>
  </si>
  <si>
    <t>Rayon</t>
  </si>
  <si>
    <t>codes</t>
  </si>
  <si>
    <t>Typo</t>
  </si>
  <si>
    <t>Occurrence</t>
  </si>
  <si>
    <t>Ean</t>
  </si>
  <si>
    <t>Libellé</t>
  </si>
  <si>
    <t>PCB</t>
  </si>
  <si>
    <t>taux de rattachement</t>
  </si>
  <si>
    <t>Marge</t>
  </si>
  <si>
    <t>Couverture</t>
  </si>
  <si>
    <t xml:space="preserve">Min </t>
  </si>
  <si>
    <t>1 facing</t>
  </si>
  <si>
    <t>2 facings</t>
  </si>
  <si>
    <t>3 facings</t>
  </si>
  <si>
    <t>4 facings</t>
  </si>
  <si>
    <t>5 facings</t>
  </si>
  <si>
    <t>6 facings</t>
  </si>
  <si>
    <t>7 facings</t>
  </si>
  <si>
    <t>8 facings</t>
  </si>
  <si>
    <t>9 facings</t>
  </si>
  <si>
    <t>10 facings</t>
  </si>
  <si>
    <t>11 facings</t>
  </si>
  <si>
    <t>TOUTES RÉGIONS</t>
  </si>
  <si>
    <t>R50</t>
  </si>
  <si>
    <t>T1</t>
  </si>
  <si>
    <t>CHAUFFE EAU STEATITE 200L</t>
  </si>
  <si>
    <t>-</t>
  </si>
  <si>
    <t>TUBE PER GAINE EAU CHAUDE D16 25ML</t>
  </si>
  <si>
    <t>TUBE PER GAINE EAU FROIDE D16 25ML</t>
  </si>
  <si>
    <t>R80</t>
  </si>
  <si>
    <t>REGLETTE ETANCHE T8126CM BLANC COLOURS</t>
  </si>
  <si>
    <t>REGLETTE FLUO 120CM IP20 BLANC COLOURS</t>
  </si>
  <si>
    <t>REGLETTE FLUO 18CM IP20 BLANC COLOURS</t>
  </si>
  <si>
    <t>LOT 6 AMPOULES GU10 430LM 4000K</t>
  </si>
  <si>
    <t>LOT 6 AMPOULES GU10 430LM 2700K</t>
  </si>
  <si>
    <t>LOT 6 AMPOULES B22 470LM 2700K</t>
  </si>
  <si>
    <t>LOT 6 AMPOULES B22 470LM 4000K</t>
  </si>
  <si>
    <t>LOT 6 AMPOULES E27 806LM 2700K</t>
  </si>
  <si>
    <t>LOT 6 AMPOULES E27 806LM 4000K</t>
  </si>
  <si>
    <t>Rayons</t>
  </si>
  <si>
    <t>Repartition des Rayons</t>
  </si>
  <si>
    <t>Somme de CA Engage</t>
  </si>
  <si>
    <t>Repartiton des rayons</t>
  </si>
  <si>
    <t>CA Engagé</t>
  </si>
  <si>
    <t>Total général</t>
  </si>
  <si>
    <t>RAD INERTIE ORIGIN CONCORDE 1000W</t>
  </si>
  <si>
    <t>RAD INERTIE ORIGIN CONCORDE 1500W</t>
  </si>
  <si>
    <t>RAD INERTIE ORIGIN CONCORDE 2000W</t>
  </si>
  <si>
    <t>PROJECTEUR CHANTIER 2000LM ERBAUER 20W</t>
  </si>
  <si>
    <t>PROJECTEUR CHANT RECH+USB 2000LM ERBAUER</t>
  </si>
  <si>
    <t>TREPIED POUR PROJECTEUR DE CHANTIER</t>
  </si>
  <si>
    <t>CA Engage National</t>
  </si>
  <si>
    <t>Volume Engage National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</si>
</sst>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_-* #,##0.00\ [$€-40C]_-;\-* #,##0.00\ [$€-40C]_-;_-* &quot;-&quot;??\ [$€-40C]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8"/>
      <color rgb="FF9C570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5" fillId="2" borderId="0" applyNumberFormat="0" applyBorder="0" applyAlignment="0" applyProtection="0"/>
    <xf numFmtId="9" fontId="4" fillId="0" borderId="0" applyFont="0" applyFill="0" applyBorder="0" applyAlignment="0" applyProtection="0"/>
    <xf numFmtId="4" fontId="4" fillId="8" borderId="3" applyNumberFormat="0" applyProtection="0">
      <alignment horizontal="left" vertical="center" indent="1"/>
    </xf>
    <xf numFmtId="4" fontId="4" fillId="8" borderId="3" applyNumberFormat="0" applyProtection="0">
      <alignment horizontal="left" vertical="center" indent="1"/>
    </xf>
    <xf numFmtId="4" fontId="4" fillId="0" borderId="3" applyNumberFormat="0" applyProtection="0">
      <alignment horizontal="right" vertical="center"/>
    </xf>
  </cellStyleXfs>
  <cellXfs count="39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2" fillId="7" borderId="0" xfId="0" applyNumberFormat="1" applyFont="1" applyFill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/>
    <xf numFmtId="2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9" borderId="0" xfId="0" applyFill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11" fillId="0" borderId="0" xfId="0" applyFont="1"/>
    <xf numFmtId="165" fontId="0" fillId="0" borderId="0" xfId="0" applyNumberFormat="1"/>
    <xf numFmtId="1" fontId="12" fillId="0" borderId="1" xfId="0" applyNumberFormat="1" applyFont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</cellXfs>
  <cellStyles count="7">
    <cellStyle name="Neutre 2" xfId="2" xr:uid="{00000000-0005-0000-0000-000000000000}"/>
    <cellStyle name="Neutre 3" xfId="1" xr:uid="{00000000-0005-0000-0000-000001000000}"/>
    <cellStyle name="Normal" xfId="0" builtinId="0"/>
    <cellStyle name="Pourcentage 2" xfId="3" xr:uid="{00000000-0005-0000-0000-000003000000}"/>
    <cellStyle name="SAPBEXchaText" xfId="4" xr:uid="{00000000-0005-0000-0000-000004000000}"/>
    <cellStyle name="SAPBEXstdData" xfId="6" xr:uid="{00000000-0005-0000-0000-000005000000}"/>
    <cellStyle name="SAPBEXstdItem" xfId="5" xr:uid="{00000000-0005-0000-0000-000006000000}"/>
  </cellStyles>
  <dxfs count="3"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</dxfs>
  <tableStyles count="0" defaultTableStyle="TableStyleMedium2" defaultPivotStyle="PivotStyleLight16"/>
  <colors>
    <mruColors>
      <color rgb="FFFF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[09_SIEGE.xlsm]Graphique!repartition_rayon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4-4FD5-A5AD-FF96C0642C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4-4FD5-A5AD-FF96C0642C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4-4FD5-A5AD-FF96C0642C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14-4FD5-A5AD-FF96C0642C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C-4729-A366-B6448E0262C4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Graphique!$A$2:$A$4</c:f>
              <c:strCache>
                <c:ptCount val="2"/>
                <c:pt idx="0">
                  <c:v>R50</c:v>
                </c:pt>
                <c:pt idx="1">
                  <c:v>R80</c:v>
                </c:pt>
              </c:strCache>
            </c:strRef>
          </c:cat>
          <c:val>
            <c:numRef>
              <c:f>Graphique!$B$2:$B$4</c:f>
              <c:numCache>
                <c:formatCode>General</c:formatCode>
                <c:ptCount val="2"/>
                <c:pt idx="0">
                  <c:v>3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DF-48C4-84AD-0FD7FB51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[09_SIEGE.xlsm]Graphique!ca_engage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9-4036-B86E-B86777C6B6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9-4036-B86E-B86777C6B6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9-4036-B86E-B86777C6B6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9-4036-B86E-B86777C6B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61-4E37-BAD9-A49F653F76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Graphique!$I$2:$I$4</c:f>
              <c:strCache>
                <c:ptCount val="2"/>
                <c:pt idx="0">
                  <c:v>R50</c:v>
                </c:pt>
                <c:pt idx="1">
                  <c:v>R80</c:v>
                </c:pt>
              </c:strCache>
            </c:strRef>
          </c:cat>
          <c:val>
            <c:numRef>
              <c:f>Graphique!$J$2:$J$4</c:f>
              <c:numCache>
                <c:formatCode>_-* #\ ##0.00\ [$€-40C]_-;\-* #\ ##0.00\ [$€-40C]_-;_-* "-"??\ [$€-40C]_-;_-@_-</c:formatCode>
                <c:ptCount val="2"/>
                <c:pt idx="0">
                  <c:v>3993.608948326204</c:v>
                </c:pt>
                <c:pt idx="1">
                  <c:v>28454.43464149889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CDE-B8DA-478BAE52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4</xdr:row>
      <xdr:rowOff>179070</xdr:rowOff>
    </xdr:from>
    <xdr:to>
      <xdr:col>4</xdr:col>
      <xdr:colOff>53340</xdr:colOff>
      <xdr:row>13</xdr:row>
      <xdr:rowOff>171450</xdr:rowOff>
    </xdr:to>
    <xdr:sp macro="[0]!Button1_Click" textlink="">
      <xdr:nvSpPr>
        <xdr:cNvPr id="5" name="Organigramme : Processu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8625" y="1674495"/>
          <a:ext cx="3510915" cy="170688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dk1"/>
              </a:solidFill>
              <a:latin typeface="+mn-lt"/>
              <a:ea typeface="+mn-lt"/>
              <a:cs typeface="+mn-lt"/>
            </a:rPr>
            <a:t>APPUYER ICI POUR LANCER LE FORMULAIRE DE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26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10</xdr:row>
      <xdr:rowOff>0</xdr:rowOff>
    </xdr:from>
    <xdr:to>
      <xdr:col>13</xdr:col>
      <xdr:colOff>464820</xdr:colOff>
      <xdr:row>26</xdr:row>
      <xdr:rowOff>0</xdr:rowOff>
    </xdr:to>
    <xdr:graphicFrame macro="">
      <xdr:nvGraphicFramePr>
        <xdr:cNvPr id="3" name="graph_ca_eng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739140</xdr:colOff>
      <xdr:row>2</xdr:row>
      <xdr:rowOff>34290</xdr:rowOff>
    </xdr:from>
    <xdr:to>
      <xdr:col>5</xdr:col>
      <xdr:colOff>727710</xdr:colOff>
      <xdr:row>11</xdr:row>
      <xdr:rowOff>179070</xdr:rowOff>
    </xdr:to>
    <xdr:sp macro="[0]!formulaire_compilation" textlink="">
      <xdr:nvSpPr>
        <xdr:cNvPr id="2" name="Organigramme : Processu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39140" y="415290"/>
          <a:ext cx="3798570" cy="185928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FORMULAIRE</a:t>
          </a:r>
          <a:r>
            <a:rPr lang="fr-FR" sz="1100" baseline="0"/>
            <a:t> </a:t>
          </a:r>
          <a:r>
            <a:rPr lang="fr-FR" sz="1100"/>
            <a:t>COMPILATION</a:t>
          </a:r>
        </a:p>
        <a:p>
          <a:pPr algn="ctr"/>
          <a:r>
            <a:rPr lang="fr-FR" sz="1100"/>
            <a:t>Assurez-vous</a:t>
          </a:r>
          <a:r>
            <a:rPr lang="fr-FR" sz="1100" baseline="0"/>
            <a:t> que l'ensemble des fichiers régions soient fermés avant de lancer le formulaire de compilation</a:t>
          </a:r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fplc.sharepoint.com/personal/kuete_rl_frbd_kfplc_com/Documents/Documents/Rose%20Larissa/template%20travail/01%20PARAMETRAGE_F&amp;R_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COMPLETER DEPOT"/>
      <sheetName val="FP et ARR"/>
      <sheetName val="LISTE"/>
    </sheet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rthe, Pierre alexandre" refreshedDate="45001.626408101853" createdVersion="6" refreshedVersion="8" minRefreshableVersion="3" recordCount="52" xr:uid="{00000000-000A-0000-FFFF-FFFF1E000000}">
  <cacheSource type="worksheet">
    <worksheetSource ref="C1:C1048576" sheet="DATA"/>
  </cacheSource>
  <cacheFields count="1">
    <cacheField name="Rayon" numFmtId="0">
      <sharedItems containsBlank="1" count="10">
        <s v="R50"/>
        <s v="R80"/>
        <m/>
        <s v="R00" u="1"/>
        <s v="R20" u="1"/>
        <s v="R40" u="1"/>
        <s v="R10" u="1"/>
        <s v="R30" u="1"/>
        <s v="R70" u="1"/>
        <s v="R9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rthe, Pierre alexandre" refreshedDate="45001.626409143515" createdVersion="6" refreshedVersion="8" minRefreshableVersion="3" recordCount="52" xr:uid="{00000000-000A-0000-FFFF-FFFF21000000}">
  <cacheSource type="worksheet">
    <worksheetSource ref="C1:K1048576" sheet="DATA"/>
  </cacheSource>
  <cacheFields count="9">
    <cacheField name="Rayon" numFmtId="0">
      <sharedItems containsBlank="1" count="10">
        <s v="R50"/>
        <s v="R80"/>
        <m/>
        <s v="R00" u="1"/>
        <s v="R20" u="1"/>
        <s v="R40" u="1"/>
        <s v="R10" u="1"/>
        <s v="R30" u="1"/>
        <s v="R70" u="1"/>
        <s v="R90" u="1"/>
      </sharedItems>
    </cacheField>
    <cacheField name="codes" numFmtId="1">
      <sharedItems containsString="0" containsBlank="1" containsNumber="1" containsInteger="1" minValue="500097" maxValue="842181"/>
    </cacheField>
    <cacheField name="Typo" numFmtId="1">
      <sharedItems containsBlank="1"/>
    </cacheField>
    <cacheField name="Occurrence" numFmtId="0">
      <sharedItems containsString="0" containsBlank="1" containsNumber="1" containsInteger="1" minValue="1" maxValue="1"/>
    </cacheField>
    <cacheField name="Ean" numFmtId="0">
      <sharedItems containsString="0" containsBlank="1" containsNumber="1" containsInteger="1" minValue="3465700044674" maxValue="8020351001312"/>
    </cacheField>
    <cacheField name="Libellé" numFmtId="0">
      <sharedItems containsBlank="1"/>
    </cacheField>
    <cacheField name="PCB" numFmtId="0">
      <sharedItems containsString="0" containsBlank="1" containsNumber="1" containsInteger="1" minValue="2" maxValue="27"/>
    </cacheField>
    <cacheField name="taux de rattachement" numFmtId="10">
      <sharedItems containsString="0" containsBlank="1" containsNumber="1" containsInteger="1" minValue="1" maxValue="1"/>
    </cacheField>
    <cacheField name="CA Engage" numFmtId="164">
      <sharedItems containsString="0" containsBlank="1" containsNumber="1" minValue="288.7854064039409" maxValue="8336.35638506878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n v="500097"/>
    <s v="T1"/>
    <n v="1"/>
    <n v="8020351001312"/>
    <s v="CHAUFFE EAU STEATITE 200L"/>
    <n v="4"/>
    <n v="1"/>
    <n v="1750.3471711711679"/>
  </r>
  <r>
    <x v="0"/>
    <n v="500112"/>
    <s v="T1"/>
    <n v="1"/>
    <n v="3540731131125"/>
    <s v="TUBE PER GAINE EAU CHAUDE D16 25ML"/>
    <n v="27"/>
    <n v="1"/>
    <n v="1121.6105490848597"/>
  </r>
  <r>
    <x v="0"/>
    <n v="500114"/>
    <s v="T1"/>
    <n v="1"/>
    <n v="3540731115163"/>
    <s v="TUBE PER GAINE EAU FROIDE D16 25ML"/>
    <n v="27"/>
    <n v="1"/>
    <n v="1121.6512280701763"/>
  </r>
  <r>
    <x v="1"/>
    <n v="842181"/>
    <s v="T1"/>
    <n v="1"/>
    <n v="3663602760993"/>
    <s v="REGLETTE ETANCHE T8126CM BLANC COLOURS"/>
    <n v="8"/>
    <n v="1"/>
    <n v="2039.2781003799232"/>
  </r>
  <r>
    <x v="1"/>
    <n v="842175"/>
    <s v="T1"/>
    <n v="1"/>
    <n v="3663602761129"/>
    <s v="REGLETTE FLUO 120CM IP20 BLANC COLOURS"/>
    <n v="8"/>
    <n v="1"/>
    <n v="372.23258706467749"/>
  </r>
  <r>
    <x v="1"/>
    <n v="842159"/>
    <s v="T1"/>
    <n v="1"/>
    <n v="3663602761112"/>
    <s v="REGLETTE FLUO 18CM IP20 BLANC COLOURS"/>
    <n v="8"/>
    <n v="1"/>
    <n v="288.7854064039409"/>
  </r>
  <r>
    <x v="1"/>
    <n v="801775"/>
    <s v="T1"/>
    <n v="1"/>
    <n v="5059340359076"/>
    <s v="LOT 6 AMPOULES GU10 430LM 4000K"/>
    <n v="18"/>
    <n v="1"/>
    <n v="696.17033898304942"/>
  </r>
  <r>
    <x v="1"/>
    <n v="801774"/>
    <s v="T1"/>
    <n v="1"/>
    <n v="5059340359083"/>
    <s v="LOT 6 AMPOULES GU10 430LM 2700K"/>
    <n v="18"/>
    <n v="1"/>
    <n v="371.84327784891116"/>
  </r>
  <r>
    <x v="1"/>
    <n v="801776"/>
    <s v="T1"/>
    <n v="1"/>
    <n v="5059340346854"/>
    <s v="LOT 6 AMPOULES B22 470LM 2700K"/>
    <n v="15"/>
    <n v="1"/>
    <n v="377.93888439773758"/>
  </r>
  <r>
    <x v="1"/>
    <n v="801777"/>
    <s v="T1"/>
    <n v="1"/>
    <n v="5059340346861"/>
    <s v="LOT 6 AMPOULES B22 470LM 4000K"/>
    <n v="15"/>
    <n v="1"/>
    <n v="323.92680722891521"/>
  </r>
  <r>
    <x v="1"/>
    <n v="801772"/>
    <s v="T1"/>
    <n v="1"/>
    <n v="5059340346427"/>
    <s v="LOT 6 AMPOULES E27 806LM 2700K"/>
    <n v="15"/>
    <n v="1"/>
    <n v="624.77106227106003"/>
  </r>
  <r>
    <x v="1"/>
    <n v="801773"/>
    <s v="T1"/>
    <n v="1"/>
    <n v="5059340346434"/>
    <s v="LOT 6 AMPOULES E27 806LM 4000K"/>
    <n v="15"/>
    <n v="1"/>
    <n v="773.64217479674573"/>
  </r>
  <r>
    <x v="1"/>
    <n v="801093"/>
    <s v="T1"/>
    <n v="1"/>
    <n v="3465700044674"/>
    <s v="RAD INERTIE ORIGIN CONCORDE 1000W"/>
    <n v="16"/>
    <n v="1"/>
    <n v="6661.5987480438062"/>
  </r>
  <r>
    <x v="1"/>
    <n v="801094"/>
    <s v="T1"/>
    <n v="1"/>
    <n v="3465700044681"/>
    <s v="RAD INERTIE ORIGIN CONCORDE 1500W"/>
    <n v="14"/>
    <n v="1"/>
    <n v="8336.3563850687824"/>
  </r>
  <r>
    <x v="1"/>
    <n v="801095"/>
    <s v="T1"/>
    <n v="1"/>
    <n v="3465700044698"/>
    <s v="RAD INERTIE ORIGIN CONCORDE 2000W"/>
    <n v="8"/>
    <n v="1"/>
    <n v="3820.8458456486078"/>
  </r>
  <r>
    <x v="1"/>
    <n v="801087"/>
    <s v="T1"/>
    <n v="1"/>
    <n v="5059340240657"/>
    <s v="PROJECTEUR CHANTIER 2000LM ERBAUER 20W"/>
    <n v="4"/>
    <n v="1"/>
    <n v="1644.47708198838"/>
  </r>
  <r>
    <x v="1"/>
    <n v="811160"/>
    <s v="T1"/>
    <n v="1"/>
    <n v="5059340159676"/>
    <s v="PROJECTEUR CHANT RECH+USB 2000LM ERBAUER"/>
    <n v="4"/>
    <n v="1"/>
    <n v="1674.4978135788269"/>
  </r>
  <r>
    <x v="1"/>
    <n v="821625"/>
    <s v="T1"/>
    <n v="1"/>
    <n v="3663602563129"/>
    <s v="TREPIED POUR PROJECTEUR DE CHANTIER"/>
    <n v="2"/>
    <n v="1"/>
    <n v="448.0701277955265"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  <r>
    <x v="2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repartition_rayon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3" rowHeaderCaption="Rayons">
  <location ref="A1:B4" firstHeaderRow="1" firstDataRow="1" firstDataCol="1"/>
  <pivotFields count="1">
    <pivotField axis="axisRow" dataField="1" multipleItemSelectionAllowed="1" showAll="0">
      <items count="11">
        <item m="1" x="7"/>
        <item m="1" x="5"/>
        <item x="0"/>
        <item x="2"/>
        <item m="1" x="6"/>
        <item m="1" x="4"/>
        <item m="1" x="9"/>
        <item m="1" x="8"/>
        <item m="1" x="3"/>
        <item x="1"/>
        <item t="default"/>
      </items>
    </pivotField>
  </pivotFields>
  <rowFields count="1">
    <field x="0"/>
  </rowFields>
  <rowItems count="3">
    <i>
      <x v="2"/>
    </i>
    <i>
      <x v="9"/>
    </i>
    <i t="grand">
      <x/>
    </i>
  </rowItems>
  <colItems count="1">
    <i/>
  </colItems>
  <dataFields count="1">
    <dataField name="Repartition des Rayons" fld="0" subtotal="count" baseField="0" baseItem="1"/>
  </dataFields>
  <chartFormats count="10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3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ca_engage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2" rowHeaderCaption="Rayons">
  <location ref="I1:J4" firstHeaderRow="1" firstDataRow="1" firstDataCol="1"/>
  <pivotFields count="9">
    <pivotField axis="axisRow" showAll="0">
      <items count="11">
        <item m="1" x="7"/>
        <item m="1" x="5"/>
        <item x="0"/>
        <item x="2"/>
        <item m="1" x="8"/>
        <item m="1" x="4"/>
        <item m="1" x="6"/>
        <item m="1" x="9"/>
        <item m="1"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 v="2"/>
    </i>
    <i>
      <x v="9"/>
    </i>
    <i t="grand">
      <x/>
    </i>
  </rowItems>
  <colItems count="1">
    <i/>
  </colItems>
  <dataFields count="1">
    <dataField name="Somme de CA Engage" fld="8" baseField="0" baseItem="0" numFmtId="165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1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B1:AB4"/>
  <sheetViews>
    <sheetView workbookViewId="0">
      <selection activeCell="E12" sqref="E12"/>
    </sheetView>
  </sheetViews>
  <sheetFormatPr baseColWidth="10" defaultColWidth="11.42578125" defaultRowHeight="15" x14ac:dyDescent="0.25"/>
  <cols>
    <col min="1" max="1" width="5.5703125" customWidth="1"/>
    <col min="2" max="3" width="16.7109375" customWidth="1"/>
    <col min="4" max="4" width="19.28515625" bestFit="1" customWidth="1"/>
  </cols>
  <sheetData>
    <row r="1" spans="2:28" ht="42.6" customHeight="1" x14ac:dyDescent="0.25">
      <c r="B1" s="36" t="s">
        <v>0</v>
      </c>
      <c r="C1" s="36"/>
      <c r="D1" s="36"/>
    </row>
    <row r="2" spans="2:28" ht="36" customHeight="1" thickBot="1" x14ac:dyDescent="0.3">
      <c r="B2" s="26" t="s">
        <v>1</v>
      </c>
      <c r="C2" s="26" t="s">
        <v>2</v>
      </c>
      <c r="D2" s="26" t="s">
        <v>3</v>
      </c>
    </row>
    <row r="3" spans="2:28" ht="25.15" customHeight="1" thickBot="1" x14ac:dyDescent="0.3">
      <c r="B3" s="23" t="s">
        <v>4</v>
      </c>
      <c r="C3" s="24">
        <v>2023</v>
      </c>
      <c r="D3" s="25" t="s">
        <v>5</v>
      </c>
    </row>
    <row r="4" spans="2:28" x14ac:dyDescent="0.25">
      <c r="AB4" s="33" t="s">
        <v>6</v>
      </c>
    </row>
  </sheetData>
  <mergeCells count="1">
    <mergeCell ref="B1:D1"/>
  </mergeCells>
  <pageMargins left="0.7" right="0.7" top="0.75" bottom="0.75" header="0.3" footer="0.3"/>
  <customProperties>
    <customPr name="EpmWorksheetKeyString_GUI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Z51"/>
  <sheetViews>
    <sheetView tabSelected="1" topLeftCell="H1" workbookViewId="0">
      <selection activeCell="K8" sqref="K8"/>
    </sheetView>
  </sheetViews>
  <sheetFormatPr baseColWidth="10" defaultColWidth="11.42578125" defaultRowHeight="15" x14ac:dyDescent="0.25"/>
  <cols>
    <col min="2" max="2" width="17.42578125" bestFit="1" customWidth="1"/>
    <col min="4" max="4" width="11.5703125" style="29"/>
    <col min="5" max="5" width="11.5703125" style="16"/>
    <col min="7" max="7" width="16.42578125" customWidth="1"/>
    <col min="8" max="8" width="42.42578125" bestFit="1" customWidth="1"/>
    <col min="10" max="10" width="11.5703125" style="9"/>
    <col min="11" max="11" width="18.28515625" style="32" bestFit="1" customWidth="1"/>
    <col min="12" max="12" width="23" style="32" bestFit="1" customWidth="1"/>
    <col min="13" max="13" width="11.5703125" style="9"/>
    <col min="14" max="14" width="11.5703125" style="10"/>
    <col min="15" max="15" width="11.5703125"/>
    <col min="16" max="26" width="11.5703125" style="13"/>
  </cols>
  <sheetData>
    <row r="1" spans="1:26" ht="24" x14ac:dyDescent="0.25">
      <c r="A1" s="4" t="s">
        <v>1</v>
      </c>
      <c r="B1" s="4" t="s">
        <v>7</v>
      </c>
      <c r="C1" s="1" t="s">
        <v>8</v>
      </c>
      <c r="D1" s="27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6" t="s">
        <v>15</v>
      </c>
      <c r="K1" s="30" t="s">
        <v>59</v>
      </c>
      <c r="L1" s="30" t="s">
        <v>60</v>
      </c>
      <c r="M1" s="21" t="s">
        <v>16</v>
      </c>
      <c r="N1" s="19" t="s">
        <v>17</v>
      </c>
      <c r="O1" s="5" t="s">
        <v>18</v>
      </c>
      <c r="P1" s="11" t="s">
        <v>19</v>
      </c>
      <c r="Q1" s="11" t="s">
        <v>20</v>
      </c>
      <c r="R1" s="11" t="s">
        <v>21</v>
      </c>
      <c r="S1" s="11" t="s">
        <v>22</v>
      </c>
      <c r="T1" s="11" t="s">
        <v>23</v>
      </c>
      <c r="U1" s="11" t="s">
        <v>24</v>
      </c>
      <c r="V1" s="11" t="s">
        <v>25</v>
      </c>
      <c r="W1" s="11" t="s">
        <v>26</v>
      </c>
      <c r="X1" s="11" t="s">
        <v>27</v>
      </c>
      <c r="Y1" s="11" t="s">
        <v>28</v>
      </c>
      <c r="Z1" s="11" t="s">
        <v>29</v>
      </c>
    </row>
    <row r="2" spans="1:26" x14ac:dyDescent="0.25">
      <c r="A2" s="7" t="s">
        <v>4</v>
      </c>
      <c r="B2" s="7" t="s">
        <v>30</v>
      </c>
      <c r="C2" s="2" t="s">
        <v>31</v>
      </c>
      <c r="D2" s="28">
        <v>500097</v>
      </c>
      <c r="E2" s="15" t="s">
        <v>32</v>
      </c>
      <c r="F2" s="2">
        <f t="shared" ref="F2:F20" si="0">COUNTIF(D:D,D2)</f>
        <v>1</v>
      </c>
      <c r="G2" s="3">
        <v>8020351001312</v>
      </c>
      <c r="H2" s="2" t="s">
        <v>33</v>
      </c>
      <c r="I2" s="12">
        <v>4</v>
      </c>
      <c r="J2" s="8">
        <v>1</v>
      </c>
      <c r="K2" s="31">
        <v>1750.3471711711679</v>
      </c>
      <c r="L2" s="31"/>
      <c r="M2" s="8">
        <v>0.02</v>
      </c>
      <c r="N2" s="20" t="s">
        <v>34</v>
      </c>
      <c r="O2" s="14">
        <v>8</v>
      </c>
      <c r="P2" s="12">
        <v>1</v>
      </c>
      <c r="Q2" s="12">
        <v>2</v>
      </c>
      <c r="R2" s="12">
        <v>3</v>
      </c>
      <c r="S2" s="12">
        <v>4</v>
      </c>
      <c r="T2" s="12">
        <v>5</v>
      </c>
      <c r="U2" s="12">
        <v>6</v>
      </c>
      <c r="V2" s="12">
        <v>7</v>
      </c>
      <c r="W2" s="12">
        <v>8</v>
      </c>
      <c r="X2" s="12">
        <v>9</v>
      </c>
      <c r="Y2" s="12">
        <v>10</v>
      </c>
      <c r="Z2" s="12">
        <v>11</v>
      </c>
    </row>
    <row r="3" spans="1:26" x14ac:dyDescent="0.25">
      <c r="A3" s="7" t="s">
        <v>4</v>
      </c>
      <c r="B3" s="7" t="s">
        <v>30</v>
      </c>
      <c r="C3" s="2" t="s">
        <v>31</v>
      </c>
      <c r="D3" s="28">
        <v>500112</v>
      </c>
      <c r="E3" s="15" t="s">
        <v>32</v>
      </c>
      <c r="F3" s="2">
        <f t="shared" si="0"/>
        <v>1</v>
      </c>
      <c r="G3" s="3">
        <v>3540731131125</v>
      </c>
      <c r="H3" s="2" t="s">
        <v>35</v>
      </c>
      <c r="I3" s="12">
        <v>27</v>
      </c>
      <c r="J3" s="8">
        <v>1</v>
      </c>
      <c r="K3" s="31">
        <v>1121.6105490848597</v>
      </c>
      <c r="L3" s="31"/>
      <c r="M3" s="8">
        <v>0.24</v>
      </c>
      <c r="N3" s="20">
        <v>3.67</v>
      </c>
      <c r="O3" s="14">
        <v>54</v>
      </c>
      <c r="P3" s="12">
        <v>9</v>
      </c>
      <c r="Q3" s="12">
        <v>18</v>
      </c>
      <c r="R3" s="12">
        <v>27</v>
      </c>
      <c r="S3" s="12">
        <v>36</v>
      </c>
      <c r="T3" s="12">
        <v>45</v>
      </c>
      <c r="U3" s="12">
        <v>54</v>
      </c>
      <c r="V3" s="12">
        <v>63</v>
      </c>
      <c r="W3" s="12">
        <v>72</v>
      </c>
      <c r="X3" s="12">
        <v>81</v>
      </c>
      <c r="Y3" s="12">
        <v>90</v>
      </c>
      <c r="Z3" s="12">
        <v>99</v>
      </c>
    </row>
    <row r="4" spans="1:26" x14ac:dyDescent="0.25">
      <c r="A4" s="7" t="s">
        <v>4</v>
      </c>
      <c r="B4" s="7" t="s">
        <v>30</v>
      </c>
      <c r="C4" s="2" t="s">
        <v>31</v>
      </c>
      <c r="D4" s="28">
        <v>500114</v>
      </c>
      <c r="E4" s="15" t="s">
        <v>32</v>
      </c>
      <c r="F4" s="2">
        <f t="shared" si="0"/>
        <v>1</v>
      </c>
      <c r="G4" s="3">
        <v>3540731115163</v>
      </c>
      <c r="H4" s="2" t="s">
        <v>36</v>
      </c>
      <c r="I4" s="12">
        <v>27</v>
      </c>
      <c r="J4" s="8">
        <v>1</v>
      </c>
      <c r="K4" s="31">
        <v>1121.6512280701763</v>
      </c>
      <c r="L4" s="31"/>
      <c r="M4" s="8">
        <v>0.23</v>
      </c>
      <c r="N4" s="20">
        <v>2.89</v>
      </c>
      <c r="O4" s="14">
        <v>54</v>
      </c>
      <c r="P4" s="12">
        <v>9</v>
      </c>
      <c r="Q4" s="12">
        <v>18</v>
      </c>
      <c r="R4" s="12">
        <v>27</v>
      </c>
      <c r="S4" s="12">
        <v>36</v>
      </c>
      <c r="T4" s="12">
        <v>45</v>
      </c>
      <c r="U4" s="12">
        <v>54</v>
      </c>
      <c r="V4" s="12">
        <v>63</v>
      </c>
      <c r="W4" s="12">
        <v>72</v>
      </c>
      <c r="X4" s="12">
        <v>81</v>
      </c>
      <c r="Y4" s="12">
        <v>90</v>
      </c>
      <c r="Z4" s="12">
        <v>99</v>
      </c>
    </row>
    <row r="5" spans="1:26" x14ac:dyDescent="0.25">
      <c r="A5" s="7" t="s">
        <v>4</v>
      </c>
      <c r="B5" s="7" t="s">
        <v>30</v>
      </c>
      <c r="C5" s="2" t="s">
        <v>37</v>
      </c>
      <c r="D5" s="35">
        <v>842181</v>
      </c>
      <c r="E5" s="15" t="s">
        <v>32</v>
      </c>
      <c r="F5" s="2">
        <f t="shared" si="0"/>
        <v>1</v>
      </c>
      <c r="G5" s="3">
        <v>3663602760993</v>
      </c>
      <c r="H5" s="2" t="s">
        <v>38</v>
      </c>
      <c r="I5" s="12">
        <v>8</v>
      </c>
      <c r="J5" s="8">
        <v>1</v>
      </c>
      <c r="K5" s="31">
        <v>2039.2781003799232</v>
      </c>
      <c r="L5" s="31"/>
      <c r="M5" s="8">
        <v>0.35</v>
      </c>
      <c r="N5" s="20">
        <v>2.11</v>
      </c>
      <c r="O5" s="14">
        <v>98</v>
      </c>
      <c r="P5" s="12">
        <v>16</v>
      </c>
      <c r="Q5" s="12">
        <v>32</v>
      </c>
      <c r="R5" s="12">
        <v>48</v>
      </c>
      <c r="S5" s="12">
        <v>64</v>
      </c>
      <c r="T5" s="12">
        <v>80</v>
      </c>
      <c r="U5" s="12">
        <v>96</v>
      </c>
      <c r="V5" s="12">
        <v>112</v>
      </c>
      <c r="W5" s="12">
        <v>128</v>
      </c>
      <c r="X5" s="12">
        <v>144</v>
      </c>
      <c r="Y5" s="12">
        <v>160</v>
      </c>
      <c r="Z5" s="12">
        <v>176</v>
      </c>
    </row>
    <row r="6" spans="1:26" x14ac:dyDescent="0.25">
      <c r="A6" s="7" t="s">
        <v>4</v>
      </c>
      <c r="B6" s="7" t="s">
        <v>30</v>
      </c>
      <c r="C6" s="2" t="s">
        <v>37</v>
      </c>
      <c r="D6" s="35">
        <v>842175</v>
      </c>
      <c r="E6" s="15" t="s">
        <v>32</v>
      </c>
      <c r="F6" s="2">
        <f t="shared" si="0"/>
        <v>1</v>
      </c>
      <c r="G6" s="3">
        <v>3663602761129</v>
      </c>
      <c r="H6" s="2" t="s">
        <v>39</v>
      </c>
      <c r="I6" s="12">
        <v>8</v>
      </c>
      <c r="J6" s="8">
        <v>1</v>
      </c>
      <c r="K6" s="31">
        <v>372.23258706467749</v>
      </c>
      <c r="L6" s="31"/>
      <c r="M6" s="8">
        <v>0.39</v>
      </c>
      <c r="N6" s="20">
        <v>2.7</v>
      </c>
      <c r="O6" s="14">
        <v>25</v>
      </c>
      <c r="P6" s="12">
        <v>4</v>
      </c>
      <c r="Q6" s="12">
        <v>8</v>
      </c>
      <c r="R6" s="12">
        <v>12</v>
      </c>
      <c r="S6" s="12">
        <v>16</v>
      </c>
      <c r="T6" s="12">
        <v>20</v>
      </c>
      <c r="U6" s="12">
        <v>24</v>
      </c>
      <c r="V6" s="12">
        <v>28</v>
      </c>
      <c r="W6" s="12">
        <v>32</v>
      </c>
      <c r="X6" s="12">
        <v>36</v>
      </c>
      <c r="Y6" s="12">
        <v>40</v>
      </c>
      <c r="Z6" s="12">
        <v>44</v>
      </c>
    </row>
    <row r="7" spans="1:26" x14ac:dyDescent="0.25">
      <c r="A7" s="7" t="s">
        <v>4</v>
      </c>
      <c r="B7" s="7" t="s">
        <v>30</v>
      </c>
      <c r="C7" s="2" t="s">
        <v>37</v>
      </c>
      <c r="D7" s="35">
        <v>842159</v>
      </c>
      <c r="E7" s="15" t="s">
        <v>32</v>
      </c>
      <c r="F7" s="2">
        <f t="shared" si="0"/>
        <v>1</v>
      </c>
      <c r="G7" s="3">
        <v>3663602761112</v>
      </c>
      <c r="H7" s="2" t="s">
        <v>40</v>
      </c>
      <c r="I7" s="12">
        <v>8</v>
      </c>
      <c r="J7" s="8">
        <v>1</v>
      </c>
      <c r="K7" s="31">
        <v>288.7854064039409</v>
      </c>
      <c r="L7" s="31"/>
      <c r="M7" s="8">
        <v>0.24</v>
      </c>
      <c r="N7" s="20">
        <v>2.78</v>
      </c>
      <c r="O7" s="14">
        <v>34</v>
      </c>
      <c r="P7" s="12">
        <v>6</v>
      </c>
      <c r="Q7" s="12">
        <v>12</v>
      </c>
      <c r="R7" s="12">
        <v>18</v>
      </c>
      <c r="S7" s="12">
        <v>24</v>
      </c>
      <c r="T7" s="12">
        <v>30</v>
      </c>
      <c r="U7" s="12">
        <v>36</v>
      </c>
      <c r="V7" s="12">
        <v>42</v>
      </c>
      <c r="W7" s="12">
        <v>48</v>
      </c>
      <c r="X7" s="12">
        <v>54</v>
      </c>
      <c r="Y7" s="12">
        <v>60</v>
      </c>
      <c r="Z7" s="12">
        <v>66</v>
      </c>
    </row>
    <row r="8" spans="1:26" x14ac:dyDescent="0.25">
      <c r="A8" s="7" t="s">
        <v>4</v>
      </c>
      <c r="B8" s="7" t="s">
        <v>30</v>
      </c>
      <c r="C8" s="2" t="s">
        <v>37</v>
      </c>
      <c r="D8" s="28">
        <v>801775</v>
      </c>
      <c r="E8" s="15" t="s">
        <v>32</v>
      </c>
      <c r="F8" s="2">
        <f t="shared" si="0"/>
        <v>1</v>
      </c>
      <c r="G8" s="3">
        <v>5059340359076</v>
      </c>
      <c r="H8" s="2" t="s">
        <v>41</v>
      </c>
      <c r="I8" s="12">
        <v>18</v>
      </c>
      <c r="J8" s="8">
        <v>1</v>
      </c>
      <c r="K8" s="31">
        <v>696.17033898304942</v>
      </c>
      <c r="L8" s="31"/>
      <c r="M8" s="8">
        <v>0.62</v>
      </c>
      <c r="N8" s="20">
        <v>31.87</v>
      </c>
      <c r="O8" s="14">
        <v>45</v>
      </c>
      <c r="P8" s="12">
        <v>8</v>
      </c>
      <c r="Q8" s="12">
        <v>16</v>
      </c>
      <c r="R8" s="12">
        <v>24</v>
      </c>
      <c r="S8" s="12">
        <v>32</v>
      </c>
      <c r="T8" s="12">
        <v>40</v>
      </c>
      <c r="U8" s="12">
        <v>48</v>
      </c>
      <c r="V8" s="12">
        <v>56</v>
      </c>
      <c r="W8" s="12">
        <v>64</v>
      </c>
      <c r="X8" s="12">
        <v>72</v>
      </c>
      <c r="Y8" s="12">
        <v>80</v>
      </c>
      <c r="Z8" s="12">
        <v>88</v>
      </c>
    </row>
    <row r="9" spans="1:26" x14ac:dyDescent="0.25">
      <c r="A9" s="7" t="s">
        <v>4</v>
      </c>
      <c r="B9" s="7" t="s">
        <v>30</v>
      </c>
      <c r="C9" s="2" t="s">
        <v>37</v>
      </c>
      <c r="D9" s="28">
        <v>801774</v>
      </c>
      <c r="E9" s="15" t="s">
        <v>32</v>
      </c>
      <c r="F9" s="2">
        <f t="shared" si="0"/>
        <v>1</v>
      </c>
      <c r="G9" s="3">
        <v>5059340359083</v>
      </c>
      <c r="H9" s="2" t="s">
        <v>42</v>
      </c>
      <c r="I9" s="12">
        <v>18</v>
      </c>
      <c r="J9" s="8">
        <v>1</v>
      </c>
      <c r="K9" s="31">
        <v>371.84327784891116</v>
      </c>
      <c r="L9" s="31"/>
      <c r="M9" s="8">
        <v>0.62</v>
      </c>
      <c r="N9" s="20">
        <v>39.58</v>
      </c>
      <c r="O9" s="14">
        <v>24</v>
      </c>
      <c r="P9" s="12">
        <v>4</v>
      </c>
      <c r="Q9" s="12">
        <v>8</v>
      </c>
      <c r="R9" s="12">
        <v>12</v>
      </c>
      <c r="S9" s="12">
        <v>16</v>
      </c>
      <c r="T9" s="12">
        <v>20</v>
      </c>
      <c r="U9" s="12">
        <v>24</v>
      </c>
      <c r="V9" s="12">
        <v>28</v>
      </c>
      <c r="W9" s="12">
        <v>32</v>
      </c>
      <c r="X9" s="12">
        <v>36</v>
      </c>
      <c r="Y9" s="12">
        <v>40</v>
      </c>
      <c r="Z9" s="12">
        <v>44</v>
      </c>
    </row>
    <row r="10" spans="1:26" x14ac:dyDescent="0.25">
      <c r="A10" s="7" t="s">
        <v>4</v>
      </c>
      <c r="B10" s="7" t="s">
        <v>30</v>
      </c>
      <c r="C10" s="2" t="s">
        <v>37</v>
      </c>
      <c r="D10" s="28">
        <v>801776</v>
      </c>
      <c r="E10" s="15" t="s">
        <v>32</v>
      </c>
      <c r="F10" s="2">
        <f t="shared" si="0"/>
        <v>1</v>
      </c>
      <c r="G10" s="3">
        <v>5059340346854</v>
      </c>
      <c r="H10" s="2" t="s">
        <v>43</v>
      </c>
      <c r="I10" s="12">
        <v>15</v>
      </c>
      <c r="J10" s="8">
        <v>1</v>
      </c>
      <c r="K10" s="31">
        <v>377.93888439773758</v>
      </c>
      <c r="L10" s="31"/>
      <c r="M10" s="8">
        <v>0.61</v>
      </c>
      <c r="N10" s="20">
        <v>28.68</v>
      </c>
      <c r="O10" s="14">
        <v>28</v>
      </c>
      <c r="P10" s="12">
        <v>5</v>
      </c>
      <c r="Q10" s="12">
        <v>10</v>
      </c>
      <c r="R10" s="12">
        <v>15</v>
      </c>
      <c r="S10" s="12">
        <v>20</v>
      </c>
      <c r="T10" s="12">
        <v>25</v>
      </c>
      <c r="U10" s="12">
        <v>30</v>
      </c>
      <c r="V10" s="12">
        <v>35</v>
      </c>
      <c r="W10" s="12">
        <v>40</v>
      </c>
      <c r="X10" s="12">
        <v>45</v>
      </c>
      <c r="Y10" s="12">
        <v>50</v>
      </c>
      <c r="Z10" s="12">
        <v>55</v>
      </c>
    </row>
    <row r="11" spans="1:26" x14ac:dyDescent="0.25">
      <c r="A11" s="7" t="s">
        <v>4</v>
      </c>
      <c r="B11" s="7" t="s">
        <v>30</v>
      </c>
      <c r="C11" s="2" t="s">
        <v>37</v>
      </c>
      <c r="D11" s="28">
        <v>801777</v>
      </c>
      <c r="E11" s="15" t="s">
        <v>32</v>
      </c>
      <c r="F11" s="2">
        <f t="shared" si="0"/>
        <v>1</v>
      </c>
      <c r="G11" s="3">
        <v>5059340346861</v>
      </c>
      <c r="H11" s="2" t="s">
        <v>44</v>
      </c>
      <c r="I11" s="12">
        <v>15</v>
      </c>
      <c r="J11" s="8">
        <v>1</v>
      </c>
      <c r="K11" s="31">
        <v>323.92680722891521</v>
      </c>
      <c r="L11" s="31"/>
      <c r="M11" s="8">
        <v>0.61</v>
      </c>
      <c r="N11" s="20">
        <v>22.81</v>
      </c>
      <c r="O11" s="14">
        <v>24</v>
      </c>
      <c r="P11" s="12">
        <v>4</v>
      </c>
      <c r="Q11" s="12">
        <v>8</v>
      </c>
      <c r="R11" s="12">
        <v>12</v>
      </c>
      <c r="S11" s="12">
        <v>16</v>
      </c>
      <c r="T11" s="12">
        <v>20</v>
      </c>
      <c r="U11" s="12">
        <v>24</v>
      </c>
      <c r="V11" s="12">
        <v>28</v>
      </c>
      <c r="W11" s="12">
        <v>32</v>
      </c>
      <c r="X11" s="12">
        <v>36</v>
      </c>
      <c r="Y11" s="12">
        <v>40</v>
      </c>
      <c r="Z11" s="12">
        <v>44</v>
      </c>
    </row>
    <row r="12" spans="1:26" x14ac:dyDescent="0.25">
      <c r="A12" s="7" t="s">
        <v>4</v>
      </c>
      <c r="B12" s="7" t="s">
        <v>30</v>
      </c>
      <c r="C12" s="2" t="s">
        <v>37</v>
      </c>
      <c r="D12" s="28">
        <v>801772</v>
      </c>
      <c r="E12" s="15" t="s">
        <v>32</v>
      </c>
      <c r="F12" s="2">
        <f t="shared" si="0"/>
        <v>1</v>
      </c>
      <c r="G12" s="3">
        <v>5059340346427</v>
      </c>
      <c r="H12" s="2" t="s">
        <v>45</v>
      </c>
      <c r="I12" s="12">
        <v>15</v>
      </c>
      <c r="J12" s="8">
        <v>1</v>
      </c>
      <c r="K12" s="31">
        <v>624.77106227106003</v>
      </c>
      <c r="L12" s="31"/>
      <c r="M12" s="8">
        <v>0.56000000000000005</v>
      </c>
      <c r="N12" s="20">
        <v>28.23</v>
      </c>
      <c r="O12" s="14">
        <v>50</v>
      </c>
      <c r="P12" s="12">
        <v>8</v>
      </c>
      <c r="Q12" s="12">
        <v>16</v>
      </c>
      <c r="R12" s="12">
        <v>24</v>
      </c>
      <c r="S12" s="12">
        <v>32</v>
      </c>
      <c r="T12" s="12">
        <v>40</v>
      </c>
      <c r="U12" s="12">
        <v>48</v>
      </c>
      <c r="V12" s="12">
        <v>56</v>
      </c>
      <c r="W12" s="12">
        <v>64</v>
      </c>
      <c r="X12" s="12">
        <v>72</v>
      </c>
      <c r="Y12" s="12">
        <v>80</v>
      </c>
      <c r="Z12" s="12">
        <v>88</v>
      </c>
    </row>
    <row r="13" spans="1:26" x14ac:dyDescent="0.25">
      <c r="A13" s="7" t="s">
        <v>4</v>
      </c>
      <c r="B13" s="7" t="s">
        <v>30</v>
      </c>
      <c r="C13" s="2" t="s">
        <v>37</v>
      </c>
      <c r="D13" s="28">
        <v>801773</v>
      </c>
      <c r="E13" s="15" t="s">
        <v>32</v>
      </c>
      <c r="F13" s="2">
        <f t="shared" si="0"/>
        <v>1</v>
      </c>
      <c r="G13" s="3">
        <v>5059340346434</v>
      </c>
      <c r="H13" s="2" t="s">
        <v>46</v>
      </c>
      <c r="I13" s="12">
        <v>15</v>
      </c>
      <c r="J13" s="8">
        <v>1</v>
      </c>
      <c r="K13" s="31">
        <v>773.64217479674573</v>
      </c>
      <c r="L13" s="31"/>
      <c r="M13" s="8">
        <v>0.56000000000000005</v>
      </c>
      <c r="N13" s="20">
        <v>25.74</v>
      </c>
      <c r="O13" s="14">
        <v>62</v>
      </c>
      <c r="P13" s="12">
        <v>10</v>
      </c>
      <c r="Q13" s="12">
        <v>20</v>
      </c>
      <c r="R13" s="12">
        <v>30</v>
      </c>
      <c r="S13" s="12">
        <v>40</v>
      </c>
      <c r="T13" s="12">
        <v>50</v>
      </c>
      <c r="U13" s="12">
        <v>60</v>
      </c>
      <c r="V13" s="12">
        <v>70</v>
      </c>
      <c r="W13" s="12">
        <v>80</v>
      </c>
      <c r="X13" s="12">
        <v>90</v>
      </c>
      <c r="Y13" s="12">
        <v>100</v>
      </c>
      <c r="Z13" s="12">
        <v>110</v>
      </c>
    </row>
    <row r="14" spans="1:26" x14ac:dyDescent="0.25">
      <c r="A14" s="7" t="s">
        <v>4</v>
      </c>
      <c r="B14" s="7" t="s">
        <v>30</v>
      </c>
      <c r="C14" s="2" t="s">
        <v>37</v>
      </c>
      <c r="D14" s="28">
        <v>801093</v>
      </c>
      <c r="E14" s="15" t="s">
        <v>32</v>
      </c>
      <c r="F14" s="2">
        <f t="shared" si="0"/>
        <v>1</v>
      </c>
      <c r="G14" s="3">
        <v>3465700044674</v>
      </c>
      <c r="H14" s="2" t="s">
        <v>53</v>
      </c>
      <c r="I14" s="12">
        <v>16</v>
      </c>
      <c r="J14" s="8">
        <v>1</v>
      </c>
      <c r="K14" s="31">
        <v>6661.5987480438062</v>
      </c>
      <c r="L14" s="31"/>
      <c r="M14" s="8">
        <v>0.19</v>
      </c>
      <c r="N14" s="20">
        <v>5.73</v>
      </c>
      <c r="O14" s="14">
        <v>42</v>
      </c>
      <c r="P14" s="12">
        <v>7</v>
      </c>
      <c r="Q14" s="12">
        <v>14</v>
      </c>
      <c r="R14" s="12">
        <v>21</v>
      </c>
      <c r="S14" s="12">
        <v>28</v>
      </c>
      <c r="T14" s="12">
        <v>35</v>
      </c>
      <c r="U14" s="12">
        <v>42</v>
      </c>
      <c r="V14" s="12">
        <v>49</v>
      </c>
      <c r="W14" s="12">
        <v>56</v>
      </c>
      <c r="X14" s="12">
        <v>63</v>
      </c>
      <c r="Y14" s="12">
        <v>70</v>
      </c>
      <c r="Z14" s="12">
        <v>77</v>
      </c>
    </row>
    <row r="15" spans="1:26" x14ac:dyDescent="0.25">
      <c r="A15" s="7" t="s">
        <v>4</v>
      </c>
      <c r="B15" s="7" t="s">
        <v>30</v>
      </c>
      <c r="C15" s="2" t="s">
        <v>37</v>
      </c>
      <c r="D15" s="28">
        <v>801094</v>
      </c>
      <c r="E15" s="15" t="s">
        <v>32</v>
      </c>
      <c r="F15" s="2">
        <f t="shared" si="0"/>
        <v>1</v>
      </c>
      <c r="G15" s="3">
        <v>3465700044681</v>
      </c>
      <c r="H15" s="2" t="s">
        <v>54</v>
      </c>
      <c r="I15" s="12">
        <v>14</v>
      </c>
      <c r="J15" s="8">
        <v>1</v>
      </c>
      <c r="K15" s="31">
        <v>8336.3563850687824</v>
      </c>
      <c r="L15" s="31"/>
      <c r="M15" s="8">
        <v>0.13</v>
      </c>
      <c r="N15" s="20">
        <v>7.5</v>
      </c>
      <c r="O15" s="14">
        <v>42</v>
      </c>
      <c r="P15" s="12">
        <v>7</v>
      </c>
      <c r="Q15" s="12">
        <v>14</v>
      </c>
      <c r="R15" s="12">
        <v>21</v>
      </c>
      <c r="S15" s="12">
        <v>28</v>
      </c>
      <c r="T15" s="12">
        <v>35</v>
      </c>
      <c r="U15" s="12">
        <v>42</v>
      </c>
      <c r="V15" s="12">
        <v>49</v>
      </c>
      <c r="W15" s="12">
        <v>56</v>
      </c>
      <c r="X15" s="12">
        <v>63</v>
      </c>
      <c r="Y15" s="12">
        <v>70</v>
      </c>
      <c r="Z15" s="12">
        <v>77</v>
      </c>
    </row>
    <row r="16" spans="1:26" x14ac:dyDescent="0.25">
      <c r="A16" s="7" t="s">
        <v>4</v>
      </c>
      <c r="B16" s="7" t="s">
        <v>30</v>
      </c>
      <c r="C16" s="2" t="s">
        <v>37</v>
      </c>
      <c r="D16" s="28">
        <v>801095</v>
      </c>
      <c r="E16" s="15" t="s">
        <v>32</v>
      </c>
      <c r="F16" s="2">
        <f t="shared" si="0"/>
        <v>1</v>
      </c>
      <c r="G16" s="3">
        <v>3465700044698</v>
      </c>
      <c r="H16" s="2" t="s">
        <v>55</v>
      </c>
      <c r="I16" s="12">
        <v>8</v>
      </c>
      <c r="J16" s="8">
        <v>1</v>
      </c>
      <c r="K16" s="31">
        <v>3820.8458456486078</v>
      </c>
      <c r="L16" s="31"/>
      <c r="M16" s="8">
        <v>0.1</v>
      </c>
      <c r="N16" s="20">
        <v>4.09</v>
      </c>
      <c r="O16" s="14">
        <v>16</v>
      </c>
      <c r="P16" s="12">
        <v>3</v>
      </c>
      <c r="Q16" s="12">
        <v>6</v>
      </c>
      <c r="R16" s="12">
        <v>9</v>
      </c>
      <c r="S16" s="12">
        <v>12</v>
      </c>
      <c r="T16" s="12">
        <v>15</v>
      </c>
      <c r="U16" s="12">
        <v>18</v>
      </c>
      <c r="V16" s="12">
        <v>21</v>
      </c>
      <c r="W16" s="12">
        <v>24</v>
      </c>
      <c r="X16" s="12">
        <v>27</v>
      </c>
      <c r="Y16" s="12">
        <v>30</v>
      </c>
      <c r="Z16" s="12">
        <v>33</v>
      </c>
    </row>
    <row r="17" spans="1:26" x14ac:dyDescent="0.25">
      <c r="A17" s="7" t="s">
        <v>4</v>
      </c>
      <c r="B17" s="7" t="s">
        <v>30</v>
      </c>
      <c r="C17" s="2" t="s">
        <v>37</v>
      </c>
      <c r="D17" s="28">
        <v>801087</v>
      </c>
      <c r="E17" s="15" t="s">
        <v>32</v>
      </c>
      <c r="F17" s="2">
        <f t="shared" si="0"/>
        <v>1</v>
      </c>
      <c r="G17" s="3">
        <v>5059340240657</v>
      </c>
      <c r="H17" s="2" t="s">
        <v>56</v>
      </c>
      <c r="I17" s="12">
        <v>4</v>
      </c>
      <c r="J17" s="8">
        <v>1</v>
      </c>
      <c r="K17" s="31">
        <v>1644.47708198838</v>
      </c>
      <c r="L17" s="31"/>
      <c r="M17" s="8">
        <v>0.35</v>
      </c>
      <c r="N17" s="20">
        <v>7.64</v>
      </c>
      <c r="O17" s="14">
        <v>50</v>
      </c>
      <c r="P17" s="12">
        <v>8</v>
      </c>
      <c r="Q17" s="12">
        <v>16</v>
      </c>
      <c r="R17" s="12">
        <v>24</v>
      </c>
      <c r="S17" s="12">
        <v>32</v>
      </c>
      <c r="T17" s="12">
        <v>40</v>
      </c>
      <c r="U17" s="12">
        <v>48</v>
      </c>
      <c r="V17" s="12">
        <v>56</v>
      </c>
      <c r="W17" s="12">
        <v>64</v>
      </c>
      <c r="X17" s="12">
        <v>72</v>
      </c>
      <c r="Y17" s="12">
        <v>80</v>
      </c>
      <c r="Z17" s="12">
        <v>88</v>
      </c>
    </row>
    <row r="18" spans="1:26" x14ac:dyDescent="0.25">
      <c r="A18" s="7" t="s">
        <v>4</v>
      </c>
      <c r="B18" s="7" t="s">
        <v>30</v>
      </c>
      <c r="C18" s="2" t="s">
        <v>37</v>
      </c>
      <c r="D18" s="28">
        <v>811160</v>
      </c>
      <c r="E18" s="15" t="s">
        <v>32</v>
      </c>
      <c r="F18" s="2">
        <f t="shared" si="0"/>
        <v>1</v>
      </c>
      <c r="G18" s="3">
        <v>5059340159676</v>
      </c>
      <c r="H18" s="2" t="s">
        <v>57</v>
      </c>
      <c r="I18" s="12">
        <v>4</v>
      </c>
      <c r="J18" s="8">
        <v>1</v>
      </c>
      <c r="K18" s="31">
        <v>1674.4978135788269</v>
      </c>
      <c r="L18" s="31"/>
      <c r="M18" s="8">
        <v>0.37</v>
      </c>
      <c r="N18" s="20">
        <v>6.49</v>
      </c>
      <c r="O18" s="14">
        <v>30</v>
      </c>
      <c r="P18" s="12">
        <v>5</v>
      </c>
      <c r="Q18" s="12">
        <v>10</v>
      </c>
      <c r="R18" s="12">
        <v>15</v>
      </c>
      <c r="S18" s="12">
        <v>20</v>
      </c>
      <c r="T18" s="12">
        <v>25</v>
      </c>
      <c r="U18" s="12">
        <v>30</v>
      </c>
      <c r="V18" s="12">
        <v>35</v>
      </c>
      <c r="W18" s="12">
        <v>40</v>
      </c>
      <c r="X18" s="12">
        <v>45</v>
      </c>
      <c r="Y18" s="12">
        <v>50</v>
      </c>
      <c r="Z18" s="12">
        <v>55</v>
      </c>
    </row>
    <row r="19" spans="1:26" x14ac:dyDescent="0.25">
      <c r="A19" s="7" t="s">
        <v>4</v>
      </c>
      <c r="B19" s="7" t="s">
        <v>30</v>
      </c>
      <c r="C19" s="2" t="s">
        <v>37</v>
      </c>
      <c r="D19" s="28">
        <v>821625</v>
      </c>
      <c r="E19" s="15" t="s">
        <v>32</v>
      </c>
      <c r="F19" s="2">
        <f t="shared" si="0"/>
        <v>1</v>
      </c>
      <c r="G19" s="3">
        <v>3663602563129</v>
      </c>
      <c r="H19" s="2" t="s">
        <v>58</v>
      </c>
      <c r="I19" s="12">
        <v>2</v>
      </c>
      <c r="J19" s="8">
        <v>1</v>
      </c>
      <c r="K19" s="31">
        <v>448.0701277955265</v>
      </c>
      <c r="L19" s="31"/>
      <c r="M19" s="8">
        <v>0.06</v>
      </c>
      <c r="N19" s="20">
        <v>4.01</v>
      </c>
      <c r="O19" s="14">
        <v>15</v>
      </c>
      <c r="P19" s="12">
        <v>2</v>
      </c>
      <c r="Q19" s="12">
        <v>4</v>
      </c>
      <c r="R19" s="12">
        <v>6</v>
      </c>
      <c r="S19" s="12">
        <v>8</v>
      </c>
      <c r="T19" s="12">
        <v>10</v>
      </c>
      <c r="U19" s="12">
        <v>12</v>
      </c>
      <c r="V19" s="12">
        <v>14</v>
      </c>
      <c r="W19" s="12">
        <v>16</v>
      </c>
      <c r="X19" s="12">
        <v>18</v>
      </c>
      <c r="Y19" s="12">
        <v>20</v>
      </c>
      <c r="Z19" s="12">
        <v>22</v>
      </c>
    </row>
    <row r="20" spans="1:26" x14ac:dyDescent="0.25">
      <c r="A20" s="7"/>
      <c r="B20" s="7"/>
      <c r="C20" s="2"/>
      <c r="D20" s="28"/>
      <c r="E20" s="15"/>
      <c r="F20" s="2">
        <f t="shared" si="0"/>
        <v>0</v>
      </c>
      <c r="G20" s="3"/>
      <c r="H20" s="2"/>
      <c r="I20" s="12"/>
      <c r="J20" s="8"/>
      <c r="K20" s="31"/>
      <c r="L20" s="31"/>
      <c r="M20" s="8"/>
      <c r="N20" s="20"/>
      <c r="O20" s="1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7"/>
      <c r="B21" s="7"/>
      <c r="C21" s="2"/>
      <c r="D21" s="28"/>
      <c r="E21" s="15"/>
      <c r="F21" s="2"/>
      <c r="G21" s="3"/>
      <c r="H21" s="2"/>
      <c r="I21" s="12"/>
      <c r="J21" s="8"/>
      <c r="K21" s="31"/>
      <c r="L21" s="31"/>
      <c r="M21" s="8"/>
      <c r="N21" s="20"/>
      <c r="O21" s="1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7"/>
      <c r="B22" s="7"/>
      <c r="C22" s="2"/>
      <c r="D22" s="28"/>
      <c r="E22" s="15"/>
      <c r="F22" s="2"/>
      <c r="G22" s="3"/>
      <c r="H22" s="2"/>
      <c r="I22" s="12"/>
      <c r="J22" s="8"/>
      <c r="K22" s="31"/>
      <c r="L22" s="31"/>
      <c r="M22" s="8"/>
      <c r="N22" s="20"/>
      <c r="O22" s="1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7"/>
      <c r="B23" s="7"/>
      <c r="C23" s="2"/>
      <c r="D23" s="28"/>
      <c r="E23" s="15"/>
      <c r="F23" s="2"/>
      <c r="G23" s="3"/>
      <c r="H23" s="2"/>
      <c r="I23" s="12"/>
      <c r="J23" s="8"/>
      <c r="K23" s="31"/>
      <c r="L23" s="31"/>
      <c r="M23" s="8"/>
      <c r="N23" s="20"/>
      <c r="O23" s="1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7"/>
      <c r="B24" s="7"/>
      <c r="C24" s="2"/>
      <c r="D24" s="28"/>
      <c r="E24" s="15"/>
      <c r="F24" s="2"/>
      <c r="G24" s="3"/>
      <c r="H24" s="2"/>
      <c r="I24" s="12"/>
      <c r="J24" s="8"/>
      <c r="K24" s="31"/>
      <c r="L24" s="31"/>
      <c r="M24" s="8"/>
      <c r="N24" s="20"/>
      <c r="O24" s="1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7"/>
      <c r="B25" s="7"/>
      <c r="C25" s="2"/>
      <c r="D25" s="28"/>
      <c r="E25" s="15"/>
      <c r="F25" s="2"/>
      <c r="G25" s="3"/>
      <c r="H25" s="2"/>
      <c r="I25" s="12"/>
      <c r="J25" s="8"/>
      <c r="K25" s="31"/>
      <c r="L25" s="31"/>
      <c r="M25" s="8"/>
      <c r="N25" s="20"/>
      <c r="O25" s="1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7"/>
      <c r="B26" s="7"/>
      <c r="C26" s="2"/>
      <c r="D26" s="28"/>
      <c r="E26" s="15"/>
      <c r="F26" s="2"/>
      <c r="G26" s="3"/>
      <c r="H26" s="2"/>
      <c r="I26" s="12"/>
      <c r="J26" s="8"/>
      <c r="K26" s="31"/>
      <c r="L26" s="31"/>
      <c r="M26" s="8"/>
      <c r="N26" s="20"/>
      <c r="O26" s="1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7"/>
      <c r="B27" s="7"/>
      <c r="C27" s="2"/>
      <c r="D27" s="28"/>
      <c r="E27" s="15"/>
      <c r="F27" s="2"/>
      <c r="G27" s="3"/>
      <c r="H27" s="2"/>
      <c r="I27" s="12"/>
      <c r="J27" s="8"/>
      <c r="K27" s="31"/>
      <c r="L27" s="31"/>
      <c r="M27" s="8"/>
      <c r="N27" s="20"/>
      <c r="O27" s="1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7"/>
      <c r="B28" s="7"/>
      <c r="C28" s="2"/>
      <c r="D28" s="28"/>
      <c r="E28" s="15"/>
      <c r="F28" s="2"/>
      <c r="G28" s="3"/>
      <c r="H28" s="2"/>
      <c r="I28" s="12"/>
      <c r="J28" s="8"/>
      <c r="K28" s="31"/>
      <c r="L28" s="31"/>
      <c r="M28" s="8"/>
      <c r="N28" s="20"/>
      <c r="O28" s="1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7"/>
      <c r="B29" s="7"/>
      <c r="C29" s="2"/>
      <c r="D29" s="28"/>
      <c r="E29" s="15"/>
      <c r="F29" s="2"/>
      <c r="G29" s="3"/>
      <c r="H29" s="2"/>
      <c r="I29" s="12"/>
      <c r="J29" s="8"/>
      <c r="K29" s="31"/>
      <c r="L29" s="31"/>
      <c r="M29" s="8"/>
      <c r="N29" s="20"/>
      <c r="O29" s="1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7"/>
      <c r="B30" s="7"/>
      <c r="C30" s="2"/>
      <c r="D30" s="28"/>
      <c r="E30" s="15"/>
      <c r="F30" s="2"/>
      <c r="G30" s="3"/>
      <c r="H30" s="2"/>
      <c r="I30" s="12"/>
      <c r="J30" s="8"/>
      <c r="K30" s="31"/>
      <c r="L30" s="31"/>
      <c r="M30" s="8"/>
      <c r="N30" s="20"/>
      <c r="O30" s="1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7"/>
      <c r="B31" s="7"/>
      <c r="C31" s="2"/>
      <c r="D31" s="28"/>
      <c r="E31" s="15"/>
      <c r="F31" s="2"/>
      <c r="G31" s="3"/>
      <c r="H31" s="2"/>
      <c r="I31" s="12"/>
      <c r="J31" s="8"/>
      <c r="K31" s="31"/>
      <c r="L31" s="31"/>
      <c r="M31" s="8"/>
      <c r="N31" s="20"/>
      <c r="O31" s="1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7"/>
      <c r="B32" s="7"/>
      <c r="C32" s="2"/>
      <c r="D32" s="28"/>
      <c r="E32" s="15"/>
      <c r="F32" s="2"/>
      <c r="G32" s="3"/>
      <c r="H32" s="2"/>
      <c r="I32" s="12"/>
      <c r="J32" s="8"/>
      <c r="K32" s="31"/>
      <c r="L32" s="31"/>
      <c r="M32" s="8"/>
      <c r="N32" s="20"/>
      <c r="O32" s="1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7"/>
      <c r="B33" s="7"/>
      <c r="C33" s="2"/>
      <c r="D33" s="28"/>
      <c r="E33" s="15"/>
      <c r="F33" s="2"/>
      <c r="G33" s="3"/>
      <c r="H33" s="2"/>
      <c r="I33" s="12"/>
      <c r="J33" s="8"/>
      <c r="K33" s="31"/>
      <c r="L33" s="31"/>
      <c r="M33" s="8"/>
      <c r="N33" s="20"/>
      <c r="O33" s="1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7"/>
      <c r="B34" s="7"/>
      <c r="C34" s="2"/>
      <c r="D34" s="28"/>
      <c r="E34" s="15"/>
      <c r="F34" s="2"/>
      <c r="G34" s="3"/>
      <c r="H34" s="2"/>
      <c r="I34" s="12"/>
      <c r="J34" s="8"/>
      <c r="K34" s="31"/>
      <c r="L34" s="31"/>
      <c r="M34" s="8"/>
      <c r="N34" s="20"/>
      <c r="O34" s="1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7"/>
      <c r="B35" s="7"/>
      <c r="C35" s="2"/>
      <c r="D35" s="28"/>
      <c r="E35" s="15"/>
      <c r="F35" s="2"/>
      <c r="G35" s="3"/>
      <c r="H35" s="2"/>
      <c r="I35" s="12"/>
      <c r="J35" s="8"/>
      <c r="K35" s="31"/>
      <c r="L35" s="31"/>
      <c r="M35" s="8"/>
      <c r="N35" s="20"/>
      <c r="O35" s="1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7"/>
      <c r="B36" s="7"/>
      <c r="C36" s="2"/>
      <c r="D36" s="28"/>
      <c r="E36" s="15"/>
      <c r="F36" s="2"/>
      <c r="G36" s="3"/>
      <c r="H36" s="2"/>
      <c r="I36" s="12"/>
      <c r="J36" s="8"/>
      <c r="K36" s="31"/>
      <c r="L36" s="31"/>
      <c r="M36" s="8"/>
      <c r="N36" s="20"/>
      <c r="O36" s="1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7"/>
      <c r="B37" s="7"/>
      <c r="C37" s="2"/>
      <c r="D37" s="28"/>
      <c r="E37" s="15"/>
      <c r="F37" s="2"/>
      <c r="G37" s="3"/>
      <c r="H37" s="2"/>
      <c r="I37" s="12"/>
      <c r="J37" s="8"/>
      <c r="K37" s="31"/>
      <c r="L37" s="31"/>
      <c r="M37" s="8"/>
      <c r="N37" s="20"/>
      <c r="O37" s="1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7"/>
      <c r="B38" s="7"/>
      <c r="C38" s="2"/>
      <c r="D38" s="28"/>
      <c r="E38" s="15"/>
      <c r="F38" s="2"/>
      <c r="G38" s="3"/>
      <c r="H38" s="2"/>
      <c r="I38" s="12"/>
      <c r="J38" s="8"/>
      <c r="K38" s="31"/>
      <c r="L38" s="31"/>
      <c r="M38" s="8"/>
      <c r="N38" s="20"/>
      <c r="O38" s="1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x14ac:dyDescent="0.25">
      <c r="A39" s="7"/>
      <c r="B39" s="7"/>
      <c r="C39" s="2"/>
      <c r="D39" s="28"/>
      <c r="E39" s="15"/>
      <c r="F39" s="2"/>
      <c r="G39" s="3"/>
      <c r="H39" s="2"/>
      <c r="I39" s="12"/>
      <c r="J39" s="8"/>
      <c r="K39" s="31"/>
      <c r="L39" s="31"/>
      <c r="M39" s="8"/>
      <c r="N39" s="20"/>
      <c r="O39" s="1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x14ac:dyDescent="0.25">
      <c r="A40" s="7"/>
      <c r="B40" s="7"/>
      <c r="C40" s="2"/>
      <c r="D40" s="28"/>
      <c r="E40" s="15"/>
      <c r="F40" s="2"/>
      <c r="G40" s="3"/>
      <c r="H40" s="2"/>
      <c r="I40" s="12"/>
      <c r="J40" s="8"/>
      <c r="K40" s="31"/>
      <c r="L40" s="31"/>
      <c r="M40" s="8"/>
      <c r="N40" s="20"/>
      <c r="O40" s="1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x14ac:dyDescent="0.25">
      <c r="A41" s="7"/>
      <c r="B41" s="7"/>
      <c r="C41" s="2"/>
      <c r="D41" s="28"/>
      <c r="E41" s="15"/>
      <c r="F41" s="2"/>
      <c r="G41" s="3"/>
      <c r="H41" s="2"/>
      <c r="I41" s="12"/>
      <c r="J41" s="8"/>
      <c r="K41" s="31"/>
      <c r="L41" s="31"/>
      <c r="M41" s="8"/>
      <c r="N41" s="20"/>
      <c r="O41" s="1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7"/>
      <c r="B42" s="7"/>
      <c r="C42" s="2"/>
      <c r="D42" s="28"/>
      <c r="E42" s="15"/>
      <c r="F42" s="2"/>
      <c r="G42" s="3"/>
      <c r="H42" s="2"/>
      <c r="I42" s="12"/>
      <c r="J42" s="8"/>
      <c r="K42" s="31"/>
      <c r="L42" s="31"/>
      <c r="M42" s="8"/>
      <c r="N42" s="20"/>
      <c r="O42" s="1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x14ac:dyDescent="0.25">
      <c r="A43" s="7"/>
      <c r="B43" s="7"/>
      <c r="C43" s="2"/>
      <c r="D43" s="28"/>
      <c r="E43" s="15"/>
      <c r="F43" s="2"/>
      <c r="G43" s="3"/>
      <c r="H43" s="2"/>
      <c r="I43" s="12"/>
      <c r="J43" s="8"/>
      <c r="K43" s="31"/>
      <c r="L43" s="31"/>
      <c r="M43" s="8"/>
      <c r="N43" s="20"/>
      <c r="O43" s="1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x14ac:dyDescent="0.25">
      <c r="A44" s="7"/>
      <c r="B44" s="7"/>
      <c r="C44" s="2"/>
      <c r="D44" s="28"/>
      <c r="E44" s="15"/>
      <c r="F44" s="2"/>
      <c r="G44" s="3"/>
      <c r="H44" s="2"/>
      <c r="I44" s="12"/>
      <c r="J44" s="8"/>
      <c r="K44" s="31"/>
      <c r="L44" s="31"/>
      <c r="M44" s="8"/>
      <c r="N44" s="20"/>
      <c r="O44" s="1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x14ac:dyDescent="0.25">
      <c r="A45" s="7"/>
      <c r="B45" s="7"/>
      <c r="C45" s="2"/>
      <c r="D45" s="28"/>
      <c r="E45" s="15"/>
      <c r="F45" s="2"/>
      <c r="G45" s="3"/>
      <c r="H45" s="2"/>
      <c r="I45" s="12"/>
      <c r="J45" s="8"/>
      <c r="K45" s="31"/>
      <c r="L45" s="31"/>
      <c r="M45" s="8"/>
      <c r="N45" s="20"/>
      <c r="O45" s="1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x14ac:dyDescent="0.25">
      <c r="A46" s="7"/>
      <c r="B46" s="7"/>
      <c r="C46" s="2"/>
      <c r="D46" s="28"/>
      <c r="E46" s="15"/>
      <c r="F46" s="2"/>
      <c r="G46" s="3"/>
      <c r="H46" s="2"/>
      <c r="I46" s="12"/>
      <c r="J46" s="8"/>
      <c r="K46" s="31"/>
      <c r="L46" s="31"/>
      <c r="M46" s="8"/>
      <c r="N46" s="20"/>
      <c r="O46" s="1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x14ac:dyDescent="0.25">
      <c r="A47" s="7"/>
      <c r="B47" s="7"/>
      <c r="C47" s="2"/>
      <c r="D47" s="28"/>
      <c r="E47" s="15"/>
      <c r="F47" s="2"/>
      <c r="G47" s="3"/>
      <c r="H47" s="2"/>
      <c r="I47" s="12"/>
      <c r="J47" s="8"/>
      <c r="K47" s="31"/>
      <c r="L47" s="31"/>
      <c r="M47" s="8"/>
      <c r="N47" s="20"/>
      <c r="O47" s="1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x14ac:dyDescent="0.25">
      <c r="A48" s="7"/>
      <c r="B48" s="7"/>
      <c r="C48" s="2"/>
      <c r="D48" s="28"/>
      <c r="E48" s="15"/>
      <c r="F48" s="2"/>
      <c r="G48" s="3"/>
      <c r="H48" s="2"/>
      <c r="I48" s="12"/>
      <c r="J48" s="8"/>
      <c r="K48" s="31"/>
      <c r="L48" s="31"/>
      <c r="M48" s="8"/>
      <c r="N48" s="20"/>
      <c r="O48" s="1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x14ac:dyDescent="0.25">
      <c r="A49" s="7"/>
      <c r="B49" s="7"/>
      <c r="C49" s="2"/>
      <c r="D49" s="28"/>
      <c r="E49" s="15"/>
      <c r="F49" s="2"/>
      <c r="G49" s="3"/>
      <c r="H49" s="2"/>
      <c r="I49" s="12"/>
      <c r="J49" s="8"/>
      <c r="K49" s="31"/>
      <c r="L49" s="31"/>
      <c r="M49" s="8"/>
      <c r="N49" s="20"/>
      <c r="O49" s="1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x14ac:dyDescent="0.25">
      <c r="A50" s="7"/>
      <c r="B50" s="7"/>
      <c r="C50" s="2"/>
      <c r="D50" s="28"/>
      <c r="E50" s="15"/>
      <c r="F50" s="2"/>
      <c r="G50" s="3"/>
      <c r="H50" s="2"/>
      <c r="I50" s="12"/>
      <c r="J50" s="8"/>
      <c r="K50" s="31"/>
      <c r="L50" s="31"/>
      <c r="M50" s="8"/>
      <c r="N50" s="20"/>
      <c r="O50" s="1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x14ac:dyDescent="0.25">
      <c r="A51" s="7"/>
      <c r="B51" s="7"/>
      <c r="C51" s="2"/>
      <c r="D51" s="28"/>
      <c r="E51" s="15"/>
      <c r="F51" s="2"/>
      <c r="G51" s="3"/>
      <c r="H51" s="2"/>
      <c r="I51" s="12"/>
      <c r="J51" s="8"/>
      <c r="K51" s="31"/>
      <c r="L51" s="31"/>
      <c r="M51" s="8"/>
      <c r="N51" s="20"/>
      <c r="O51" s="1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</sheetData>
  <sheetProtection sort="0" autoFilter="0" pivotTables="0"/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6"/>
  <sheetViews>
    <sheetView workbookViewId="0">
      <selection activeCell="J2" sqref="J2"/>
    </sheetView>
  </sheetViews>
  <sheetFormatPr baseColWidth="10" defaultColWidth="11.42578125" defaultRowHeight="15" x14ac:dyDescent="0.25"/>
  <cols>
    <col min="1" max="1" width="12.5703125" bestFit="1" customWidth="1"/>
    <col min="2" max="2" width="21.5703125" bestFit="1" customWidth="1"/>
    <col min="8" max="8" width="11.5703125" style="22"/>
    <col min="9" max="9" width="12.5703125" bestFit="1" customWidth="1"/>
    <col min="10" max="10" width="21.7109375" style="34" bestFit="1" customWidth="1"/>
    <col min="12" max="12" width="19.5703125" bestFit="1" customWidth="1"/>
    <col min="13" max="13" width="19.42578125" bestFit="1" customWidth="1"/>
    <col min="14" max="14" width="19.42578125" customWidth="1"/>
  </cols>
  <sheetData>
    <row r="1" spans="1:13" x14ac:dyDescent="0.25">
      <c r="A1" s="18" t="s">
        <v>47</v>
      </c>
      <c r="B1" t="s">
        <v>48</v>
      </c>
      <c r="I1" s="18" t="s">
        <v>47</v>
      </c>
      <c r="J1" s="34" t="s">
        <v>49</v>
      </c>
    </row>
    <row r="2" spans="1:13" x14ac:dyDescent="0.25">
      <c r="A2" s="17" t="s">
        <v>31</v>
      </c>
      <c r="B2">
        <v>3</v>
      </c>
      <c r="D2" s="37" t="s">
        <v>50</v>
      </c>
      <c r="E2" s="37"/>
      <c r="F2" s="37"/>
      <c r="I2" s="17" t="s">
        <v>31</v>
      </c>
      <c r="J2" s="34">
        <v>3993.608948326204</v>
      </c>
      <c r="L2" s="38" t="s">
        <v>51</v>
      </c>
      <c r="M2" s="38"/>
    </row>
    <row r="3" spans="1:13" x14ac:dyDescent="0.25">
      <c r="A3" s="17" t="s">
        <v>37</v>
      </c>
      <c r="B3">
        <v>15</v>
      </c>
      <c r="D3" s="37"/>
      <c r="E3" s="37"/>
      <c r="F3" s="37"/>
      <c r="I3" s="17" t="s">
        <v>37</v>
      </c>
      <c r="J3" s="34">
        <v>28454.43464149889</v>
      </c>
      <c r="L3" s="38"/>
      <c r="M3" s="38"/>
    </row>
    <row r="4" spans="1:13" x14ac:dyDescent="0.25">
      <c r="A4" s="17" t="s">
        <v>52</v>
      </c>
      <c r="B4">
        <v>18</v>
      </c>
      <c r="D4" s="37"/>
      <c r="E4" s="37"/>
      <c r="F4" s="37"/>
      <c r="I4" s="17" t="s">
        <v>52</v>
      </c>
      <c r="J4" s="34">
        <v>32448.043589825094</v>
      </c>
      <c r="L4" s="38"/>
      <c r="M4" s="38"/>
    </row>
    <row r="5" spans="1:13" x14ac:dyDescent="0.25">
      <c r="J5"/>
    </row>
    <row r="6" spans="1:13" x14ac:dyDescent="0.25">
      <c r="J6"/>
    </row>
  </sheetData>
  <mergeCells count="2">
    <mergeCell ref="D2:F4"/>
    <mergeCell ref="L2:M4"/>
  </mergeCells>
  <pageMargins left="0.7" right="0.7" top="0.75" bottom="0.75" header="0.3" footer="0.3"/>
  <customProperties>
    <customPr name="EpmWorksheetKeyString_GUID" r:id="rId3"/>
  </customPropertie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"/>
  <sheetViews>
    <sheetView workbookViewId="0">
      <selection activeCell="I27" sqref="I27"/>
    </sheetView>
  </sheetViews>
  <sheetFormatPr baseColWidth="10" defaultColWidth="11.42578125" defaultRowHeight="15" x14ac:dyDescent="0.25"/>
  <sheetData/>
  <pageMargins left="0.7" right="0.7" top="0.75" bottom="0.75" header="0.3" footer="0.3"/>
  <customProperties>
    <customPr name="EpmWorksheetKeyString_GU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FADF6DE-06E7-44B7-BC50-71F0A6E012C7}">
  <ds:schemaRefs>
    <ds:schemaRef ds:uri="9c586c3c-84a8-46c3-aad8-62fa706293bf"/>
    <ds:schemaRef ds:uri="http://purl.org/dc/elements/1.1/"/>
    <ds:schemaRef ds:uri="4b883733-c83c-4c3b-a600-079bec236235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95E27D2-82BF-4E21-A41D-28F262DD5B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9A63FE-6040-463B-B059-62E659FC4A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86c3c-84a8-46c3-aad8-62fa706293bf"/>
    <ds:schemaRef ds:uri="4b883733-c83c-4c3b-a600-079bec2362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Info</vt:lpstr>
      <vt:lpstr>DATA</vt:lpstr>
      <vt:lpstr>Graphique</vt:lpstr>
      <vt:lpstr>Compilation</vt:lpstr>
    </vt:vector>
  </TitlesOfParts>
  <Manager/>
  <Company>SOLUTEC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Lucas Pin-Belloc</cp:lastModifiedBy>
  <cp:revision/>
  <dcterms:created xsi:type="dcterms:W3CDTF">2022-12-09T10:18:17Z</dcterms:created>
  <dcterms:modified xsi:type="dcterms:W3CDTF">2023-05-03T15:18:19Z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