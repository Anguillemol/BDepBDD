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5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lutec\1\"/>
    </mc:Choice>
  </mc:AlternateContent>
  <xr:revisionPtr revIDLastSave="0" documentId="13_ncr:1_{119773AB-EABF-4CE3-9BCE-7B12ED88AB12}" xr6:coauthVersionLast="47" xr6:coauthVersionMax="47" xr10:uidLastSave="{00000000-0000-0000-0000-000000000000}"/>
  <bookViews>
    <workbookView xWindow="-108" yWindow="-108" windowWidth="23256" windowHeight="12576" tabRatio="845" xr2:uid="{56C5300C-70DC-4D14-BBC5-46B390EAB285}"/>
  </bookViews>
  <sheets>
    <sheet name="Config" sheetId="7" r:id="rId1"/>
    <sheet name="Ajout nouveau depot" sheetId="3" state="veryHidden" r:id="rId2"/>
    <sheet name="Modifier depot" sheetId="10" state="veryHidden" r:id="rId3"/>
    <sheet name="Fermeture depot" sheetId="12" state="veryHidden" r:id="rId4"/>
    <sheet name="Recherche unique" sheetId="19" state="veryHidden" r:id="rId5"/>
    <sheet name="Recherche multiples" sheetId="20" state="veryHidden" r:id="rId6"/>
    <sheet name="filtres" sheetId="22" state="veryHidden" r:id="rId7"/>
    <sheet name="BDD" sheetId="8" state="veryHidden" r:id="rId8"/>
  </sheets>
  <functionGroups builtInGroupCount="19">
    <functionGroup name="Cryptosheets"/>
  </functionGroups>
  <externalReferences>
    <externalReference r:id="rId9"/>
  </externalReferences>
  <definedNames>
    <definedName name="Chemin_BDD">Config!$B$5</definedName>
    <definedName name="cluster2021">BDD[Cluster 2021]</definedName>
    <definedName name="cluster2021_multi">'Recherche multiples'!$B$5</definedName>
    <definedName name="cluster2021_multi2">'Recherche multiples'!$C$5</definedName>
    <definedName name="cluster2021_multi3">'Recherche multiples'!$D$5</definedName>
    <definedName name="code_BRICO">[1]requetes_uniques!$B$1</definedName>
    <definedName name="code_BRICO_unique" localSheetId="4">'Recherche unique'!$B$3</definedName>
    <definedName name="code_EASIER">[1]requetes_uniques!$B$2</definedName>
    <definedName name="code_EASIER_unique" localSheetId="4">'Recherche unique'!$B$4</definedName>
    <definedName name="CSadministratif_multi">'Recherche multiples'!$B$13</definedName>
    <definedName name="CSadministratif_multi2">'Recherche multiples'!$C$13</definedName>
    <definedName name="CSadministratif_multi3">'Recherche multiples'!$D$13</definedName>
    <definedName name="CSamenagement_multi">'Recherche multiples'!$B$10</definedName>
    <definedName name="CSamenagement_multi2">'Recherche multiples'!$C$10</definedName>
    <definedName name="CSamenagement_multi3">'Recherche multiples'!$D$10</definedName>
    <definedName name="CScaisse_multi">'Recherche multiples'!$B$14</definedName>
    <definedName name="CScaisse_multi2">'Recherche multiples'!$C$14</definedName>
    <definedName name="CScaisse_multi3">'Recherche multiples'!$D$14</definedName>
    <definedName name="CSchoix">filtres!$G$2:$G$8</definedName>
    <definedName name="CSconstruction_multi">'Recherche multiples'!$B$11</definedName>
    <definedName name="CSconstruction_multi2">'Recherche multiples'!$C$11</definedName>
    <definedName name="CSconstruction_multi3">'Recherche multiples'!$D$11</definedName>
    <definedName name="CSlogistique_multi">'Recherche multiples'!$B$9</definedName>
    <definedName name="CSlogistique_multi2">'Recherche multiples'!$C$9</definedName>
    <definedName name="CSlogistique_multi3">'Recherche multiples'!$D$9</definedName>
    <definedName name="csRefAdmi">BDD[CS Référent Administratif]</definedName>
    <definedName name="csRefAmen">BDD[CS Référent Aménagement]</definedName>
    <definedName name="csRefCais">BDD[CS Référent Caisse]</definedName>
    <definedName name="csRefCons">BDD[CS Référent Construction]</definedName>
    <definedName name="csRefLogi">BDD[CS Référent Logistique]</definedName>
    <definedName name="csRefSecu">BDD[CS Référent Sécurité]</definedName>
    <definedName name="csRefTech">BDD[CS Référent Technique]</definedName>
    <definedName name="CSsecurite_multi">'Recherche multiples'!$B$8</definedName>
    <definedName name="CSsecurite_multi2">'Recherche multiples'!$C$8</definedName>
    <definedName name="CSsecurite_multi3">'Recherche multiples'!$D$8</definedName>
    <definedName name="CStechnique_multi">'Recherche multiples'!$B$12</definedName>
    <definedName name="CStechnique_multi2">'Recherche multiples'!$C$12</definedName>
    <definedName name="CStechnique_multi3">'Recherche multiples'!$D$12</definedName>
    <definedName name="departement_multi">'Recherche multiples'!$B$4</definedName>
    <definedName name="departement_multi2">'Recherche multiples'!$C$4</definedName>
    <definedName name="departement_multi3">'Recherche multiples'!$D$4</definedName>
    <definedName name="Depot">[1]requetes_uniques!$B$3</definedName>
    <definedName name="depot_unique">'Recherche unique'!$B$5</definedName>
    <definedName name="dirDepot">[1]requetes_uniques!$B$4</definedName>
    <definedName name="dirDepot_unique" localSheetId="4">'Recherche unique'!$B$6</definedName>
    <definedName name="DonnéesExternes_1" localSheetId="7" hidden="1">BDD!$A$1:$IK$126</definedName>
    <definedName name="fermDep_CodeBRICO">'Fermeture depot'!$A$5</definedName>
    <definedName name="fermDep_CodeEASIER">'Fermeture depot'!$B$5</definedName>
    <definedName name="fermDep_Depot">'Fermeture depot'!$C$5</definedName>
    <definedName name="fermDep_Region">'Fermeture depot'!$E$5</definedName>
    <definedName name="fermDep_Statut">'Fermeture depot'!$F$5</definedName>
    <definedName name="modifDep_CodeBRICO" localSheetId="3">'Fermeture depot'!$A$5</definedName>
    <definedName name="modifDep_CodeBRICO" localSheetId="2">'Modifier depot'!$A$5</definedName>
    <definedName name="modifDep_CodeEASIER" localSheetId="3">'Fermeture depot'!$B$5</definedName>
    <definedName name="modifDep_CodeEASIER" localSheetId="2">'Modifier depot'!$B$5</definedName>
    <definedName name="modifDep_Depot" localSheetId="3">'Fermeture depot'!$C$5</definedName>
    <definedName name="modifDep_Depot" localSheetId="2">'Modifier depot'!$C$5</definedName>
    <definedName name="modifDep_Region" localSheetId="3">'Fermeture depot'!$E$5</definedName>
    <definedName name="modifDep_Region" localSheetId="2">'Modifier depot'!$E$5</definedName>
    <definedName name="modifDep_Statut" localSheetId="3">'Fermeture depot'!$F$5</definedName>
    <definedName name="modifDep_Statut" localSheetId="2">'Modifier depot'!$F$5</definedName>
    <definedName name="nouvDep_CodeBRICO">'Ajout nouveau depot'!$A$5</definedName>
    <definedName name="nouvDep_CodeEASIER">'Ajout nouveau depot'!$B$5</definedName>
    <definedName name="nouvDep_Depot">'Ajout nouveau depot'!$C$5</definedName>
    <definedName name="nouvDep_Region">'Ajout nouveau depot'!$E$5</definedName>
    <definedName name="nouvDep_Statut">'Ajout nouveau depot'!#REF!</definedName>
    <definedName name="proprietaire">filtres!$C$2:$C$4</definedName>
    <definedName name="proprietaire_multi">'Recherche multiples'!$B$7</definedName>
    <definedName name="propriétaire_multi">'Recherche multiples'!$B$7</definedName>
    <definedName name="proprietaire_multi2">'Recherche multiples'!$C$7</definedName>
    <definedName name="proprietaire_multi3">'Recherche multiples'!$D$7</definedName>
    <definedName name="region2022_multi">'Recherche multiples'!$B$3</definedName>
    <definedName name="region2022_multi2">'Recherche multiples'!$C$3</definedName>
    <definedName name="region2022_multi3">'Recherche multiples'!$D$3</definedName>
    <definedName name="regions">filtres!$A$3:$A$15</definedName>
    <definedName name="Surface_Totale_CDAC">BDD[Surface Totale CDAC]</definedName>
    <definedName name="surfaceTot_multi">'Recherche multiples'!$B$6</definedName>
    <definedName name="surfaceTot_multi2">'Recherche multiples'!$C$6</definedName>
    <definedName name="surfaceTot_multi3">'Recherche multiples'!$D$6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22" l="1" a="1"/>
  <c r="N2" i="22" s="1"/>
  <c r="J2" i="22" a="1"/>
  <c r="J2" i="22" s="1"/>
  <c r="I2" i="22" a="1"/>
  <c r="I2" i="22" s="1"/>
  <c r="H2" i="22" a="1"/>
  <c r="H2" i="22" s="1"/>
  <c r="F2" i="22" a="1"/>
  <c r="F2" i="22" s="1"/>
  <c r="E2" i="22" a="1"/>
  <c r="E2" i="22" s="1"/>
  <c r="B3" i="22" a="1"/>
  <c r="B3" i="22" s="1"/>
  <c r="A3" i="22" a="1"/>
  <c r="A3" i="22" s="1"/>
  <c r="K2" i="22" l="1" a="1"/>
  <c r="K2" i="22" s="1"/>
  <c r="L2" i="22" a="1"/>
  <c r="L2" i="22" s="1"/>
  <c r="M2" i="22" a="1"/>
  <c r="M2" i="22" s="1"/>
  <c r="F19" i="20" l="1" a="1"/>
  <c r="F19" i="20" s="1"/>
  <c r="C19" i="20" a="1"/>
  <c r="C19" i="20" s="1"/>
  <c r="E19" i="20" a="1"/>
  <c r="E19" i="20" s="1"/>
  <c r="K19" i="20" a="1"/>
  <c r="K19" i="20" s="1"/>
  <c r="D19" i="20" a="1"/>
  <c r="D19" i="20" s="1"/>
  <c r="J19" i="20" a="1"/>
  <c r="J19" i="20" s="1"/>
  <c r="G19" i="20" a="1"/>
  <c r="G19" i="20" s="1"/>
  <c r="H19" i="20" a="1"/>
  <c r="H19" i="20" s="1"/>
  <c r="I19" i="20" a="1"/>
  <c r="I19" i="20" s="1"/>
  <c r="L19" i="20" a="1"/>
  <c r="L19" i="20" s="1"/>
  <c r="A19" i="20" a="1"/>
  <c r="A19" i="20" s="1"/>
  <c r="B16" i="20" s="1"/>
  <c r="B19" i="20" a="1"/>
  <c r="B19" i="20" s="1"/>
  <c r="F9" i="19" a="1"/>
  <c r="F9" i="19" s="1"/>
  <c r="J9" i="19" a="1"/>
  <c r="J9" i="19" s="1"/>
  <c r="C9" i="19" a="1"/>
  <c r="C9" i="19" s="1"/>
  <c r="K9" i="19" a="1"/>
  <c r="K9" i="19" s="1"/>
  <c r="E9" i="19" a="1"/>
  <c r="E9" i="19" s="1"/>
  <c r="H9" i="19" a="1"/>
  <c r="H9" i="19" s="1"/>
  <c r="L9" i="19" a="1"/>
  <c r="L9" i="19" s="1"/>
  <c r="D9" i="19" a="1"/>
  <c r="D9" i="19" s="1"/>
  <c r="G9" i="19" a="1"/>
  <c r="G9" i="19" s="1"/>
  <c r="I9" i="19" a="1"/>
  <c r="I9" i="19" s="1"/>
  <c r="B9" i="19" a="1"/>
  <c r="B9" i="19" s="1"/>
  <c r="A9" i="19" a="1"/>
  <c r="A9" i="19" s="1"/>
  <c r="F5" i="12" a="1"/>
  <c r="F5" i="12" s="1"/>
  <c r="E5" i="12" a="1"/>
  <c r="E5" i="12" s="1"/>
  <c r="D5" i="12" a="1"/>
  <c r="D5" i="12" s="1"/>
  <c r="C5" i="12" a="1"/>
  <c r="C5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16C90A-DCA4-4711-838B-2EDE0BCC6F8D}" keepAlive="1" name="Requête - BDD" description="Connexion à la requête « BDD » dans le classeur." type="5" refreshedVersion="8" background="1" saveData="1">
    <dbPr connection="Provider=Microsoft.Mashup.OleDb.1;Data Source=$Workbook$;Location=BDD;Extended Properties=&quot;&quot;" command="SELECT * FROM [BD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<sst xmlns="http://schemas.openxmlformats.org/spreadsheetml/2006/main" count="15757" uniqueCount="3415">
  <si>
    <t>Ajout nouveau dépôt</t>
  </si>
  <si>
    <t>Code BRICO</t>
  </si>
  <si>
    <t>Code EASIER</t>
  </si>
  <si>
    <t>Dépôt</t>
  </si>
  <si>
    <t>Région administrative</t>
  </si>
  <si>
    <t>Région 2022</t>
  </si>
  <si>
    <t>Directeur Régional</t>
  </si>
  <si>
    <t>Directeur Régional téléphone</t>
  </si>
  <si>
    <t>Directeur dépôt</t>
  </si>
  <si>
    <t>Directeur dépôt mail</t>
  </si>
  <si>
    <t>Directeur dépôt téléphone</t>
  </si>
  <si>
    <t>Date de prise de fonction</t>
  </si>
  <si>
    <t>Chef Sécurité</t>
  </si>
  <si>
    <t>Chef Sécurité mail</t>
  </si>
  <si>
    <t>Chef Sécurité Téléphone</t>
  </si>
  <si>
    <t>Chef Sécurité Statut</t>
  </si>
  <si>
    <t>DM file Sécurité</t>
  </si>
  <si>
    <t>CS Référent Sécurité</t>
  </si>
  <si>
    <t>Chef Logistique</t>
  </si>
  <si>
    <t>Chef Logistique mail</t>
  </si>
  <si>
    <t>Chef Logistique Téléphone</t>
  </si>
  <si>
    <t xml:space="preserve">Chef Logistique Statut </t>
  </si>
  <si>
    <t>DM file Logistique</t>
  </si>
  <si>
    <t>CS Référent Logistique</t>
  </si>
  <si>
    <t>Chef Aménagement</t>
  </si>
  <si>
    <t>Chef Aménagement mail</t>
  </si>
  <si>
    <t>Chef Aménagement Téléphone</t>
  </si>
  <si>
    <t>DM file Aménagement</t>
  </si>
  <si>
    <t>CS Référent Aménagement</t>
  </si>
  <si>
    <t>Chef Construction</t>
  </si>
  <si>
    <t>Chef Construction mail</t>
  </si>
  <si>
    <t>Chef Construction Téléphone</t>
  </si>
  <si>
    <t>DM file Construction</t>
  </si>
  <si>
    <t>CS Référent Construction</t>
  </si>
  <si>
    <t>Chef Technique</t>
  </si>
  <si>
    <t>Chef Technique mail</t>
  </si>
  <si>
    <t>Chef Technique Téléphone</t>
  </si>
  <si>
    <t>DM file Technique</t>
  </si>
  <si>
    <t>CS Référent Technique</t>
  </si>
  <si>
    <t>Chef Administratif</t>
  </si>
  <si>
    <t>Chef Administratif mail</t>
  </si>
  <si>
    <t>Chef Administratif Téléphone</t>
  </si>
  <si>
    <t>DM file Administratif</t>
  </si>
  <si>
    <t>CS Référent Administratif</t>
  </si>
  <si>
    <t>Chef Caisse</t>
  </si>
  <si>
    <t>Chef Caisse mail</t>
  </si>
  <si>
    <t>Chef Caisse Téléphone</t>
  </si>
  <si>
    <t>DM file Caisse</t>
  </si>
  <si>
    <t>CS Référent Caisse</t>
  </si>
  <si>
    <t xml:space="preserve">Responsable RH </t>
  </si>
  <si>
    <t>Responsable RH Téléphone</t>
  </si>
  <si>
    <t>Responsable CDG</t>
  </si>
  <si>
    <t>Responsable CDG Téléphone</t>
  </si>
  <si>
    <t>Adresse</t>
  </si>
  <si>
    <t>Ville</t>
  </si>
  <si>
    <t>Département</t>
  </si>
  <si>
    <t>TELEPHONE STANDARD</t>
  </si>
  <si>
    <t>Latitude (en degrés décimaux)</t>
  </si>
  <si>
    <t>Longitude (en degrés décimaux)</t>
  </si>
  <si>
    <t>N° SIREN</t>
  </si>
  <si>
    <t>+ SIRET</t>
  </si>
  <si>
    <t>Date d'Ouverture</t>
  </si>
  <si>
    <t>Ancienneté du dépôt</t>
  </si>
  <si>
    <t>Horaire d'ouverture jours 1</t>
  </si>
  <si>
    <t>Horaire d'ouverture horaires 1</t>
  </si>
  <si>
    <t>Horaire d'ouverture jours 2</t>
  </si>
  <si>
    <t>Horaire d'ouverture horaires 2</t>
  </si>
  <si>
    <t>Horaire d'ouverture jours 3</t>
  </si>
  <si>
    <t>Horaire d'ouverture horaires 3</t>
  </si>
  <si>
    <t>Amplitude Horaire</t>
  </si>
  <si>
    <t>CA TTC 2021</t>
  </si>
  <si>
    <t>BASSIN 2021</t>
  </si>
  <si>
    <t>Cluster 2021</t>
  </si>
  <si>
    <t>Passages Caisses 2021</t>
  </si>
  <si>
    <t>Taux de Démarque 2021</t>
  </si>
  <si>
    <t>ETP CDI 2021</t>
  </si>
  <si>
    <t>ETP CDD 2021</t>
  </si>
  <si>
    <t>ETP INTERIM 2021</t>
  </si>
  <si>
    <t>ETP GLOBAL 2021</t>
  </si>
  <si>
    <t>Format dépôt</t>
  </si>
  <si>
    <t>Nombre de sites</t>
  </si>
  <si>
    <t>Zone Scolaire</t>
  </si>
  <si>
    <t>Zone de Droit Social</t>
  </si>
  <si>
    <t>Entrepôt Legacy</t>
  </si>
  <si>
    <t>Entrepôt Easier</t>
  </si>
  <si>
    <t>Plateforme Legacy</t>
  </si>
  <si>
    <t>Plateforme Easier</t>
  </si>
  <si>
    <t>Plateforme Arrivage</t>
  </si>
  <si>
    <t>Plateforme Arrivage ECC</t>
  </si>
  <si>
    <t>Plateforme de rattachement (Gamme et Arrivages) après ouvertures</t>
  </si>
  <si>
    <t>GLN Plateforme Gamme</t>
  </si>
  <si>
    <t>Code plateforme</t>
  </si>
  <si>
    <t>Entrepôt déporté</t>
  </si>
  <si>
    <t>Origine du Dépôt</t>
  </si>
  <si>
    <t>Situation du Dépôt</t>
  </si>
  <si>
    <t>Propriétaire
ou Locataire</t>
  </si>
  <si>
    <t>Surface Totale CDAC</t>
  </si>
  <si>
    <t>Surface de vente intérieure</t>
  </si>
  <si>
    <t>Type de surface SVI</t>
  </si>
  <si>
    <t>Typologie
 SVI</t>
  </si>
  <si>
    <t>Cour Matériaux</t>
  </si>
  <si>
    <t>Distance Cour Matériaux Dépôt</t>
  </si>
  <si>
    <t>Surface Bâti</t>
  </si>
  <si>
    <t>Type de surface Bâti</t>
  </si>
  <si>
    <t>Typologie
 Bâti</t>
  </si>
  <si>
    <t>Surface des matériaux en CDAC</t>
  </si>
  <si>
    <t>SURFACE Bâti en CDAC</t>
  </si>
  <si>
    <t>dont Local de vente Bâti en CDAC</t>
  </si>
  <si>
    <t>dont GNB en surface de vente</t>
  </si>
  <si>
    <t>dont Bâti Couvert en CDAC</t>
  </si>
  <si>
    <t>dont Bâti Non couvert en CDAC</t>
  </si>
  <si>
    <t>Surface de la cour matériaux hors CDAC</t>
  </si>
  <si>
    <t>dont Bâti Couvert hors CDAC</t>
  </si>
  <si>
    <t>dont Bâti Non Couvert hors CDAC</t>
  </si>
  <si>
    <t>Emplacement Menuiserie</t>
  </si>
  <si>
    <t>Configuration Menuiserie</t>
  </si>
  <si>
    <t>Distance Menuiserie/ Dépôt</t>
  </si>
  <si>
    <t>Show Room Menuiserie</t>
  </si>
  <si>
    <t>Surface de la menuiserie</t>
  </si>
  <si>
    <t>dont Menuiserie en surface de vente</t>
  </si>
  <si>
    <t>dont Menuiserie en réserve</t>
  </si>
  <si>
    <t>Show Room Salle de Bains</t>
  </si>
  <si>
    <t>Surface de la réserve</t>
  </si>
  <si>
    <t>Surface du Sas</t>
  </si>
  <si>
    <t>Surface des bureaux</t>
  </si>
  <si>
    <t>Places de parking</t>
  </si>
  <si>
    <t>Fournisseur Agencement</t>
  </si>
  <si>
    <t>Nbre d'engins de manutention</t>
  </si>
  <si>
    <t>Système de Gestion de Flotte</t>
  </si>
  <si>
    <t>PC Dédiés Flexpoint</t>
  </si>
  <si>
    <t xml:space="preserve">Nbre  de caisses ACCUEIL </t>
  </si>
  <si>
    <t>Nbre de caisses MAGASIN</t>
  </si>
  <si>
    <t>Nbre de Caisses BATI</t>
  </si>
  <si>
    <t>Nbre de Caisses GNB</t>
  </si>
  <si>
    <t>Nbre de Caisses DEPOUILL</t>
  </si>
  <si>
    <t>Total Caisses</t>
  </si>
  <si>
    <t>Date Remplacement Caisses</t>
  </si>
  <si>
    <t>Nbre SCO</t>
  </si>
  <si>
    <t>Modèle SCO</t>
  </si>
  <si>
    <t>Modèle de TPE</t>
  </si>
  <si>
    <t>Date Remplacement TPE</t>
  </si>
  <si>
    <t>Dotation PDA Motorola MC 75</t>
  </si>
  <si>
    <t>PDA MC 75 Restant 01/2017</t>
  </si>
  <si>
    <t>Imprimante Zebra</t>
  </si>
  <si>
    <t>PDA Relevés de prix</t>
  </si>
  <si>
    <t>Rescencemnt PDA 2019</t>
  </si>
  <si>
    <t>Taux de vols pour 100 000 habitants</t>
  </si>
  <si>
    <t>Dépôt à risque de Vol et nature du risque</t>
  </si>
  <si>
    <t>Taux de Braquage pour 100 000 habitants</t>
  </si>
  <si>
    <t>Braquages</t>
  </si>
  <si>
    <t>Braquage cible</t>
  </si>
  <si>
    <t>Taux de cambriolage pour 100 000 habitants</t>
  </si>
  <si>
    <t>Cambriolages</t>
  </si>
  <si>
    <t>Dont Cambriolage du coffre</t>
  </si>
  <si>
    <t>Total Evènements</t>
  </si>
  <si>
    <t>Type de Coffre</t>
  </si>
  <si>
    <t>Automate GLORY</t>
  </si>
  <si>
    <t>Modèle de Coffre</t>
  </si>
  <si>
    <t>Nombre de Points de Ramassage LOOMIS</t>
  </si>
  <si>
    <t>Pneumatique Coffre</t>
  </si>
  <si>
    <t>Antennes Anti-Vol</t>
  </si>
  <si>
    <t>Vidéo Complète en Dépôt</t>
  </si>
  <si>
    <t>Vidéo dans les locaux sociaux</t>
  </si>
  <si>
    <t>Vidéo en Caisses</t>
  </si>
  <si>
    <t>Vidéo en Logistique</t>
  </si>
  <si>
    <t>Vidéo au Bâti</t>
  </si>
  <si>
    <t>Société de Sécurité 2019</t>
  </si>
  <si>
    <t>Coût horaire 2019</t>
  </si>
  <si>
    <t>Nombre d'heures Gardiennage 2017</t>
  </si>
  <si>
    <t>Société d'intervention de Nuit</t>
  </si>
  <si>
    <t>Dépôt Sprinklé</t>
  </si>
  <si>
    <t>Système de Sécurité Incendie</t>
  </si>
  <si>
    <t>Modèle de Centrale d'Alarme</t>
  </si>
  <si>
    <t>Installateur Alarme 1</t>
  </si>
  <si>
    <t>Installateur Alarme 2</t>
  </si>
  <si>
    <t>Télésurveilleur</t>
  </si>
  <si>
    <t>Télésurveilleur Téléphone</t>
  </si>
  <si>
    <t>GTB</t>
  </si>
  <si>
    <t>Porte d'accès aux locaux Sociaux</t>
  </si>
  <si>
    <t>Contrôle d'accès par badge</t>
  </si>
  <si>
    <t>Contrôle d'accès Migré sur serveur</t>
  </si>
  <si>
    <t>DATI en Menuiserie</t>
  </si>
  <si>
    <t>Générateur de fumée dans le Local Sécurité</t>
  </si>
  <si>
    <t>Ralentisseurs sur Parking</t>
  </si>
  <si>
    <t>Plots anti bélier sur Parking</t>
  </si>
  <si>
    <t>Barrières de fermeture du Parking</t>
  </si>
  <si>
    <t>Bavolets Logistique</t>
  </si>
  <si>
    <t>Eclairage LED</t>
  </si>
  <si>
    <t>Ascenseurs</t>
  </si>
  <si>
    <t>Façade ROUGE</t>
  </si>
  <si>
    <t>Revitalisation Remodling</t>
  </si>
  <si>
    <t>DRIVE</t>
  </si>
  <si>
    <t>DRIVE date</t>
  </si>
  <si>
    <t>I Dépôt</t>
  </si>
  <si>
    <t>Livraison Locale In Store</t>
  </si>
  <si>
    <t>Livraison Locale In Store Date</t>
  </si>
  <si>
    <t>ZRM</t>
  </si>
  <si>
    <t>ZRM Date</t>
  </si>
  <si>
    <t>Contenu ZRM</t>
  </si>
  <si>
    <t>imprimante dédiée ZRM</t>
  </si>
  <si>
    <t>EASIER OU LEGACY</t>
  </si>
  <si>
    <t>Bac à sable</t>
  </si>
  <si>
    <t>Fournisseur Sable</t>
  </si>
  <si>
    <t>Trémie</t>
  </si>
  <si>
    <t>Godet hydraulique</t>
  </si>
  <si>
    <t>Godet mécanique</t>
  </si>
  <si>
    <t>Béton à la toupie</t>
  </si>
  <si>
    <t>chargeuses</t>
  </si>
  <si>
    <t>date de retour mails</t>
  </si>
  <si>
    <t>I DEPOT</t>
  </si>
  <si>
    <t>Découpe Bois</t>
  </si>
  <si>
    <t>Test Renfort équipe</t>
  </si>
  <si>
    <t>Test sur Mesure placards</t>
  </si>
  <si>
    <t>Test sur Mesure Menuiserie</t>
  </si>
  <si>
    <t>Test Téléphonie sur IP</t>
  </si>
  <si>
    <t>Test RETENCY Tracking Clients</t>
  </si>
  <si>
    <t>Présentoir à Dalles</t>
  </si>
  <si>
    <t>Showroom Salle de Bains</t>
  </si>
  <si>
    <t>Showroom Salle de Bains Date</t>
  </si>
  <si>
    <t>Ergosquelette</t>
  </si>
  <si>
    <t>Transpalette ciseaux</t>
  </si>
  <si>
    <t>Plaques téflonées</t>
  </si>
  <si>
    <t>Cages Palettes</t>
  </si>
  <si>
    <t>Les clients pénétrent dans la zone des bureaux pour accéder aux toilettes</t>
  </si>
  <si>
    <t>Société de Nettoyage</t>
  </si>
  <si>
    <t>Fenêtres à l'étage des bureaux</t>
  </si>
  <si>
    <t>Comptage Clients</t>
  </si>
  <si>
    <t>Contexte Comptage - T CUENTO</t>
  </si>
  <si>
    <t>N° TVA</t>
  </si>
  <si>
    <t>N° Commerçant</t>
  </si>
  <si>
    <t>Code Abonné Transax</t>
  </si>
  <si>
    <t>Code Vendeur CACF</t>
  </si>
  <si>
    <t>Code IP CACF</t>
  </si>
  <si>
    <t>N° Commerçant drive</t>
  </si>
  <si>
    <t>N° Commerçant Payement sans contact</t>
  </si>
  <si>
    <t>Code IBAN/ BNP</t>
  </si>
  <si>
    <t>Compte Identifiant</t>
  </si>
  <si>
    <t>Mot de passe</t>
  </si>
  <si>
    <t>Taux d'AT 2015</t>
  </si>
  <si>
    <t>Taux d'AT 2016</t>
  </si>
  <si>
    <t>Taux d'AT 2017</t>
  </si>
  <si>
    <t>Taux d'AT 2018</t>
  </si>
  <si>
    <t>Taux d'AT 2019</t>
  </si>
  <si>
    <t>Taux d'AT 2020</t>
  </si>
  <si>
    <t>Taux d'AT 2021</t>
  </si>
  <si>
    <t>RH</t>
  </si>
  <si>
    <t>donnees depot</t>
  </si>
  <si>
    <t>surface</t>
  </si>
  <si>
    <t>agencement</t>
  </si>
  <si>
    <t>caisses</t>
  </si>
  <si>
    <t>PDA</t>
  </si>
  <si>
    <t>menace</t>
  </si>
  <si>
    <t>securité</t>
  </si>
  <si>
    <t>concept commercial</t>
  </si>
  <si>
    <t>divers</t>
  </si>
  <si>
    <t>num commercant</t>
  </si>
  <si>
    <t>colissimo</t>
  </si>
  <si>
    <t>accident travail</t>
  </si>
  <si>
    <t>Secteur Sécurité</t>
  </si>
  <si>
    <t>Secteur Logistique</t>
  </si>
  <si>
    <t>Secteur Aménagement</t>
  </si>
  <si>
    <t>Secteur Construction</t>
  </si>
  <si>
    <t>Secteur Technique</t>
  </si>
  <si>
    <t>Secteur Administratif</t>
  </si>
  <si>
    <t>Secteur Caisse</t>
  </si>
  <si>
    <t>REIMS</t>
  </si>
  <si>
    <t>GRAND EST</t>
  </si>
  <si>
    <t>Nord Est</t>
  </si>
  <si>
    <t>Jean Marie PELUT</t>
  </si>
  <si>
    <t>MICHEL CHIPY</t>
  </si>
  <si>
    <t>mchipy@bricodepot.com</t>
  </si>
  <si>
    <t>SEBASTIEN LAUDY</t>
  </si>
  <si>
    <t>slaudy@bricodepot.com</t>
  </si>
  <si>
    <t>Sécu</t>
  </si>
  <si>
    <t>JEROME MIESZANIEC</t>
  </si>
  <si>
    <t>jmieszaniec@bricodepot.com</t>
  </si>
  <si>
    <t>Log</t>
  </si>
  <si>
    <t>NICOLAS JANKOVIC</t>
  </si>
  <si>
    <t>njankovic@bricodepot.com</t>
  </si>
  <si>
    <t>MICKAEL ROULY</t>
  </si>
  <si>
    <t>mrouly@bricodepot.com</t>
  </si>
  <si>
    <t>GREGORY DUQUENNE</t>
  </si>
  <si>
    <t>gduquenne@bricodepot.com</t>
  </si>
  <si>
    <t>CHRISTELLE SCHABATH</t>
  </si>
  <si>
    <t>cschabath@bricodepot.com</t>
  </si>
  <si>
    <t>THOMAS MOLLON</t>
  </si>
  <si>
    <t>tmollon@bricodepot.com</t>
  </si>
  <si>
    <t xml:space="preserve">JULIEN MANGOLD </t>
  </si>
  <si>
    <t>3 Bvd Gustave Eiffel</t>
  </si>
  <si>
    <t>51100 Reims</t>
  </si>
  <si>
    <t>Lundi au Vendredi</t>
  </si>
  <si>
    <t>07:00 à 19:30</t>
  </si>
  <si>
    <t>Samedi</t>
  </si>
  <si>
    <t>Dimanche</t>
  </si>
  <si>
    <t>8H à 13H</t>
  </si>
  <si>
    <t>Groupe 3</t>
  </si>
  <si>
    <t>20M &lt;...&lt; 25M</t>
  </si>
  <si>
    <t>En L</t>
  </si>
  <si>
    <t>B</t>
  </si>
  <si>
    <t>B1</t>
  </si>
  <si>
    <t>VD060</t>
  </si>
  <si>
    <t>1117 PTF IDF Lisses</t>
  </si>
  <si>
    <t>VD067</t>
  </si>
  <si>
    <t>1117- PF de St Germain lès A</t>
  </si>
  <si>
    <t xml:space="preserve">CASTORAMA </t>
  </si>
  <si>
    <t>Zone industrielle</t>
  </si>
  <si>
    <t>Propriétaire</t>
  </si>
  <si>
    <t>T2</t>
  </si>
  <si>
    <t>En CDAC</t>
  </si>
  <si>
    <t>T1</t>
  </si>
  <si>
    <t>Surface de vente</t>
  </si>
  <si>
    <t>En surface de vente intérieure</t>
  </si>
  <si>
    <t xml:space="preserve">TORRI S100 </t>
  </si>
  <si>
    <t>VX820</t>
  </si>
  <si>
    <t>2018/2019</t>
  </si>
  <si>
    <t>3 PDA MC 70</t>
  </si>
  <si>
    <t xml:space="preserve"> </t>
  </si>
  <si>
    <t>Tirelire</t>
  </si>
  <si>
    <t>GOLD 20 ENDFX 240 Store</t>
  </si>
  <si>
    <t>NON</t>
  </si>
  <si>
    <t>LUXANT</t>
  </si>
  <si>
    <t>SECURITAS</t>
  </si>
  <si>
    <t>OUI</t>
  </si>
  <si>
    <t>SSI Brico Dépôt</t>
  </si>
  <si>
    <t>ATS Master 4602</t>
  </si>
  <si>
    <t>ABT</t>
  </si>
  <si>
    <t>TELESURE</t>
  </si>
  <si>
    <t>LED T5</t>
  </si>
  <si>
    <t>REMODLING 2011</t>
  </si>
  <si>
    <t>BLANDIN 119130</t>
  </si>
  <si>
    <t/>
  </si>
  <si>
    <t>FR 94 451 647 903</t>
  </si>
  <si>
    <t>IP600654</t>
  </si>
  <si>
    <t>FR7630004023230001044468678</t>
  </si>
  <si>
    <t xml:space="preserve"> kBdk371</t>
  </si>
  <si>
    <t>ALBI (Gaillac)</t>
  </si>
  <si>
    <t>OCCITANIE</t>
  </si>
  <si>
    <t>Centre Aquitaine</t>
  </si>
  <si>
    <t>Stéphane MURAIS</t>
  </si>
  <si>
    <t>YANNICK PIERRE</t>
  </si>
  <si>
    <t>ypierre@bricodepot.com</t>
  </si>
  <si>
    <t>LAURENT GARDINAL</t>
  </si>
  <si>
    <t>lgardinal@bricodepot.com</t>
  </si>
  <si>
    <t>ERIC AVILES</t>
  </si>
  <si>
    <t>eaviles@bricodepot.com</t>
  </si>
  <si>
    <t>ALEXIS BRINCHAULT</t>
  </si>
  <si>
    <t>abrinchault@bricodepot.com</t>
  </si>
  <si>
    <t>SYLVIANE FREISS</t>
  </si>
  <si>
    <t>sfreiss@bricodepot.com</t>
  </si>
  <si>
    <t>SALIM AOULAD HADJ AISSA</t>
  </si>
  <si>
    <t>saouladhadjaissa@bricodepot.com</t>
  </si>
  <si>
    <t>JULIE GANTER</t>
  </si>
  <si>
    <t>jganter@bricodepot.com</t>
  </si>
  <si>
    <t>SARAH VERNIERE</t>
  </si>
  <si>
    <t>sverniere@bricodepot.com</t>
  </si>
  <si>
    <t>GAUTHIER SELME</t>
  </si>
  <si>
    <t>Marion ESNOULT</t>
  </si>
  <si>
    <t>RN 88. CC Galacté</t>
  </si>
  <si>
    <t>81600 Gaillac</t>
  </si>
  <si>
    <t>15M &lt;...&lt; 20M</t>
  </si>
  <si>
    <t>Tube</t>
  </si>
  <si>
    <t>C</t>
  </si>
  <si>
    <t>VD063</t>
  </si>
  <si>
    <t>1115 PTF SUD Grans</t>
  </si>
  <si>
    <t>VD066</t>
  </si>
  <si>
    <t>1110 - PF de Castelnau d'Estretefond</t>
  </si>
  <si>
    <t>REPRISE MAG BRICOLAGE</t>
  </si>
  <si>
    <t>Isolé</t>
  </si>
  <si>
    <t>&lt; 3000 M²</t>
  </si>
  <si>
    <t>Intérieure</t>
  </si>
  <si>
    <t>En mix extérieur + surface de vente intérieure</t>
  </si>
  <si>
    <t>REDSTOCK</t>
  </si>
  <si>
    <t>1  par le toit</t>
  </si>
  <si>
    <t>FRANCE  GARDIENNAGE</t>
  </si>
  <si>
    <t>SCUTUM</t>
  </si>
  <si>
    <t>REVITALISATION 2011</t>
  </si>
  <si>
    <t>Cuisine, SdB, douche,menuiserie</t>
  </si>
  <si>
    <t>EASIER</t>
  </si>
  <si>
    <t>IP600425</t>
  </si>
  <si>
    <t>FR7630004023230001044963378</t>
  </si>
  <si>
    <t xml:space="preserve"> IVkF362</t>
  </si>
  <si>
    <t>ANGOULEME (Champniers)</t>
  </si>
  <si>
    <t>NOUVELLE AQUITAINE</t>
  </si>
  <si>
    <t>SYLVAIN CANONNE</t>
  </si>
  <si>
    <t>scanonne@bricodepot.com</t>
  </si>
  <si>
    <t xml:space="preserve">CEDRIC GUILLAUD </t>
  </si>
  <si>
    <t>cguillaud@bricodepot.com</t>
  </si>
  <si>
    <t>STEPHANIE PERON</t>
  </si>
  <si>
    <t>speron@bricodepot.com</t>
  </si>
  <si>
    <t xml:space="preserve">Non affecté </t>
  </si>
  <si>
    <t>YANN JAILLARD</t>
  </si>
  <si>
    <t>yjaillard@bricodepot.com</t>
  </si>
  <si>
    <t>ALEXANDRE LESTANG</t>
  </si>
  <si>
    <t>alestang@bricodepot.com</t>
  </si>
  <si>
    <t>CAROLINE BAS</t>
  </si>
  <si>
    <t>cbas@bricodepot.com</t>
  </si>
  <si>
    <t>FABIEN BETNA</t>
  </si>
  <si>
    <t>fbetna@bricodepot.com</t>
  </si>
  <si>
    <t>FABIEN BATNA</t>
  </si>
  <si>
    <t>ZAC Les montagnes 385 rue de l'Entrait</t>
  </si>
  <si>
    <t>16430  Champniers</t>
  </si>
  <si>
    <t>25M &lt;...&lt; 30M</t>
  </si>
  <si>
    <t>A</t>
  </si>
  <si>
    <t>1114 PTF OUEST St-Sylvain</t>
  </si>
  <si>
    <t>VD065</t>
  </si>
  <si>
    <t>REPRISE WELDOM</t>
  </si>
  <si>
    <t>Zone Commerciale</t>
  </si>
  <si>
    <t>Mixte</t>
  </si>
  <si>
    <t>Déportée en CDAC</t>
  </si>
  <si>
    <t>Extérieure</t>
  </si>
  <si>
    <t>En showroom à l’intérieur de la menuiserie</t>
  </si>
  <si>
    <t xml:space="preserve"> % de Démarque élevé</t>
  </si>
  <si>
    <t>Automate</t>
  </si>
  <si>
    <t>CASHINFINITYTM CI-100</t>
  </si>
  <si>
    <t xml:space="preserve">SICOM GSM </t>
  </si>
  <si>
    <t>T5</t>
  </si>
  <si>
    <t>REMODLING R300 2015</t>
  </si>
  <si>
    <t>SDB douches amenagement de placard</t>
  </si>
  <si>
    <t>EASIER &amp; LEGACY</t>
  </si>
  <si>
    <t>IP600427</t>
  </si>
  <si>
    <t>FR7630004023230001070600478</t>
  </si>
  <si>
    <t>hjdR615</t>
  </si>
  <si>
    <t>ARCACHON (Biganos)</t>
  </si>
  <si>
    <t>ERIC JOULAUD</t>
  </si>
  <si>
    <t>ejoulaud@bricodepot.com</t>
  </si>
  <si>
    <t>JEAN PASCAL PEUREUX</t>
  </si>
  <si>
    <t>jppeureux@bricodepot.com</t>
  </si>
  <si>
    <t>ERIC DUPLOUY</t>
  </si>
  <si>
    <t>eduplouy@bricodepot.com</t>
  </si>
  <si>
    <t>CLEMENCE PICARD</t>
  </si>
  <si>
    <t>cpicard@bricodepot.com</t>
  </si>
  <si>
    <t>ADRIEN SADON</t>
  </si>
  <si>
    <t>asadon@bricodepot.com</t>
  </si>
  <si>
    <t>EMIDIO DE OLIVEIRA TAVARES</t>
  </si>
  <si>
    <t>edeoliveiratavares@bricodepot.com</t>
  </si>
  <si>
    <t>SOLANGE RODRIGUEZ</t>
  </si>
  <si>
    <t>srodriguez@bricodepot.com</t>
  </si>
  <si>
    <t>WILLIAM  RENARD</t>
  </si>
  <si>
    <t>wrenard@bricodepot.com</t>
  </si>
  <si>
    <t>WILLIAM RENARD</t>
  </si>
  <si>
    <t>ZAC Nord Rue Gutenberg</t>
  </si>
  <si>
    <t>33380 Biganos</t>
  </si>
  <si>
    <t>16 Ans 1 Mois</t>
  </si>
  <si>
    <t>Symétrique</t>
  </si>
  <si>
    <t xml:space="preserve">CREATION </t>
  </si>
  <si>
    <t>En mix extérieur + showroom à l’intérieur de la menuiserie</t>
  </si>
  <si>
    <t>2 Tentative par le toit</t>
  </si>
  <si>
    <t xml:space="preserve">Cuisine, dressings,SdB, douche, menuiserie, poeles, inserts. </t>
  </si>
  <si>
    <t>LEGACY</t>
  </si>
  <si>
    <t>LN MAURICE 100566</t>
  </si>
  <si>
    <t>IP600343</t>
  </si>
  <si>
    <t>FR7630004023230001060056578</t>
  </si>
  <si>
    <t>DMZH491</t>
  </si>
  <si>
    <t>BORDEAUX (Artigues)</t>
  </si>
  <si>
    <t>URBINO ESTEVES</t>
  </si>
  <si>
    <t>uesteves@bricodepot.com</t>
  </si>
  <si>
    <t>DRIDJI BOUATROUS</t>
  </si>
  <si>
    <t>dbouatrous@bricodepot.com</t>
  </si>
  <si>
    <t xml:space="preserve">Sécu </t>
  </si>
  <si>
    <t>BERNARD NAVARRI</t>
  </si>
  <si>
    <t>bnavarri@bricodepot.com</t>
  </si>
  <si>
    <t>ERIC COLL</t>
  </si>
  <si>
    <t>ecoll@bricodepot.com</t>
  </si>
  <si>
    <t>FREDERIC AUFORT</t>
  </si>
  <si>
    <t>faufort@bricodepot.com</t>
  </si>
  <si>
    <t>FRANCOIS DESLYPPER</t>
  </si>
  <si>
    <t>fdeslypper@bricodepot.com</t>
  </si>
  <si>
    <t>JEROME MARSILLIAC</t>
  </si>
  <si>
    <t>jmarsilliac@bricodepot.com</t>
  </si>
  <si>
    <t>FLORENCE SAROTTE</t>
  </si>
  <si>
    <t>fsarotte@bricodepot.com</t>
  </si>
  <si>
    <t>Avenue du Peyrou</t>
  </si>
  <si>
    <t>33370 Artigues</t>
  </si>
  <si>
    <t>20 Ans 6 Mois</t>
  </si>
  <si>
    <t>9H à 17H</t>
  </si>
  <si>
    <t>&gt; 40M</t>
  </si>
  <si>
    <t>Gnb</t>
  </si>
  <si>
    <t>GNB</t>
  </si>
  <si>
    <t>sup. ou égal T3</t>
  </si>
  <si>
    <t>FULL</t>
  </si>
  <si>
    <t xml:space="preserve"> Indice de risque élevé</t>
  </si>
  <si>
    <t>1 Tentative</t>
  </si>
  <si>
    <t>CASHINFINITYTM CI-100 + GOLD 20 ENDFX 370 Store</t>
  </si>
  <si>
    <t>Locale Stanley</t>
  </si>
  <si>
    <t>REMODLING R300 2016</t>
  </si>
  <si>
    <t>5 Ambiances + Cabines</t>
  </si>
  <si>
    <t>IP600344</t>
  </si>
  <si>
    <t>FR7630004023230001044914878</t>
  </si>
  <si>
    <t>PJZw214</t>
  </si>
  <si>
    <t>BRIVE La GAILLARDE</t>
  </si>
  <si>
    <t>ERIC PERROT</t>
  </si>
  <si>
    <t>eperrot@bricodepot.com</t>
  </si>
  <si>
    <t>ERIC LAMY</t>
  </si>
  <si>
    <t>elamy@bricodepot.com</t>
  </si>
  <si>
    <t>CYRILLE SUDRE</t>
  </si>
  <si>
    <t>csudre@bricodepot.com</t>
  </si>
  <si>
    <t>BAPTISTE BOUILLOT</t>
  </si>
  <si>
    <t>bbouillot@bricodepot.com</t>
  </si>
  <si>
    <t>GILLES LEFOUR</t>
  </si>
  <si>
    <t>glefour@bricodepot.com</t>
  </si>
  <si>
    <t>NADINE LORRON</t>
  </si>
  <si>
    <t>nlorron@bricodepot.com</t>
  </si>
  <si>
    <t>ZAC du Mazaud</t>
  </si>
  <si>
    <t>19100 Brive La Gaillarde</t>
  </si>
  <si>
    <t>B2</t>
  </si>
  <si>
    <t>Locataire</t>
  </si>
  <si>
    <t>Showroom en ext menuiserie</t>
  </si>
  <si>
    <t>CASHINFINITYTM CI-100  (projet NMO)</t>
  </si>
  <si>
    <t>Meubles de SdB, douche et cabine</t>
  </si>
  <si>
    <t>SCMC 126292</t>
  </si>
  <si>
    <t>IP600429</t>
  </si>
  <si>
    <t>FR7630004023230001122126878</t>
  </si>
  <si>
    <t>OZTZ372</t>
  </si>
  <si>
    <t>LA ROCHELLE (Andilly)</t>
  </si>
  <si>
    <t>MANUELLA CASTRO</t>
  </si>
  <si>
    <t>mcastro@bricodepot.com</t>
  </si>
  <si>
    <t>FLORIAN DOUDELET</t>
  </si>
  <si>
    <t>fdoudelet@bricodepot.com</t>
  </si>
  <si>
    <t>FRANCK CIESLIK</t>
  </si>
  <si>
    <t>fcieslik@bricodepot.com</t>
  </si>
  <si>
    <t>CLEMENT CHAUCHET</t>
  </si>
  <si>
    <t>cchauchet@bricodepot.com</t>
  </si>
  <si>
    <t>JEAN PHILIPPE LEMAITRE</t>
  </si>
  <si>
    <t>jlemaitre@bricodepot.com</t>
  </si>
  <si>
    <t xml:space="preserve">non affecté </t>
  </si>
  <si>
    <t>Bel Air - Les Quatre Quartiers</t>
  </si>
  <si>
    <t>17230 Andilly</t>
  </si>
  <si>
    <t>1112 - PF du Grand Fougeray</t>
  </si>
  <si>
    <t>REPRISE ECOBOIS</t>
  </si>
  <si>
    <t xml:space="preserve">CASHINFINITYTM CI-100 </t>
  </si>
  <si>
    <t>zmr géré p/construction</t>
  </si>
  <si>
    <t>CAISSONS CUISINE</t>
  </si>
  <si>
    <t>CARRIERES KLEBER MOREAU SA 112139</t>
  </si>
  <si>
    <t>IP600347</t>
  </si>
  <si>
    <t>FR7630004023230001099467678</t>
  </si>
  <si>
    <t>oNgm571</t>
  </si>
  <si>
    <t>MONTAUBAN</t>
  </si>
  <si>
    <t>XAVIER MOREAU</t>
  </si>
  <si>
    <t>xmoreau@bricodepot.com</t>
  </si>
  <si>
    <t>NICOLAS KOZLOWSKI / PIERRE VACHER</t>
  </si>
  <si>
    <t>nkozlowski@bricodepot.com / pvacher@bricodepot.com</t>
  </si>
  <si>
    <t>ALAIN BANZATO</t>
  </si>
  <si>
    <t>abanzato@bricodepot.com</t>
  </si>
  <si>
    <t>JEROME BUE</t>
  </si>
  <si>
    <t>jbue@bricodepot.com</t>
  </si>
  <si>
    <t>DAVID LUCIANI</t>
  </si>
  <si>
    <t>dluciani@bricodepot.com</t>
  </si>
  <si>
    <t>SARAH BEJAOUI</t>
  </si>
  <si>
    <t>sbejaoui@bricodepot.com</t>
  </si>
  <si>
    <t>SYLVIE PALANQUE</t>
  </si>
  <si>
    <t>spalanque@bricodepot.com</t>
  </si>
  <si>
    <t>LAURENT CAUJOLLE</t>
  </si>
  <si>
    <t>lcaujolle@bricodepot.com</t>
  </si>
  <si>
    <t>RN 20. Aussonne</t>
  </si>
  <si>
    <t>82000 Montauban</t>
  </si>
  <si>
    <t>30M &lt;...&lt; 35M</t>
  </si>
  <si>
    <t>Centre Commercial</t>
  </si>
  <si>
    <t>Déportée</t>
  </si>
  <si>
    <t>TORRI S100</t>
  </si>
  <si>
    <t>CD 15002</t>
  </si>
  <si>
    <t>Meubles SDB, Cuisine,plan de travail, douches</t>
  </si>
  <si>
    <t>IP600430</t>
  </si>
  <si>
    <t>FR7630004023230001044837278</t>
  </si>
  <si>
    <t>xTIA991</t>
  </si>
  <si>
    <t>PERIGUEUX (Trelissac)</t>
  </si>
  <si>
    <t>PHILIPPE GARLASCHI</t>
  </si>
  <si>
    <t>pgarlaschi@bricodepot.com</t>
  </si>
  <si>
    <t>WILLIAM SAJOT</t>
  </si>
  <si>
    <t>wsajot@bricodepot.com</t>
  </si>
  <si>
    <t>JEROME MILLOT</t>
  </si>
  <si>
    <t>jmillot@bricodepot.com</t>
  </si>
  <si>
    <t>REMI REVEILLHES</t>
  </si>
  <si>
    <t>rreveillhes@bricodepot.com</t>
  </si>
  <si>
    <t>STEPHANE LAPELLEGERIE</t>
  </si>
  <si>
    <t>slapellegerie@bricodepot.com</t>
  </si>
  <si>
    <t>THIERRY THIALON</t>
  </si>
  <si>
    <t>tthialon@bricodepot.com</t>
  </si>
  <si>
    <t>GERALDINE BISSON</t>
  </si>
  <si>
    <t>gbisson@bricodepot.com</t>
  </si>
  <si>
    <t>CELINE COULOMBEL</t>
  </si>
  <si>
    <t>ccoulombel@bricodepot.com</t>
  </si>
  <si>
    <t xml:space="preserve">205 Avenue Michel Grandou </t>
  </si>
  <si>
    <t>24750 Trelissac</t>
  </si>
  <si>
    <t>REPRISE GIFI</t>
  </si>
  <si>
    <t>inf. à T1</t>
  </si>
  <si>
    <t xml:space="preserve">Cuisine, SdB, poele bois &amp; pellets , carrelage, decoupe polyliss, escalier, storebannes, plans de travail,  bois de chauffage, atelier, tuyau jardin découpe, radiateurs chauffage centrale, cuisinette+ meubles ss evier, dressing </t>
  </si>
  <si>
    <t>IP600431</t>
  </si>
  <si>
    <t>FR7630004023230001044924578</t>
  </si>
  <si>
    <t>lAyR734</t>
  </si>
  <si>
    <t>RODEZ (Sébazac)</t>
  </si>
  <si>
    <t>PHILIPPE SALVATORE</t>
  </si>
  <si>
    <t>psalvatore@bricodepot.com</t>
  </si>
  <si>
    <t>BRUNO KACZMAREK</t>
  </si>
  <si>
    <t>bkaczmarek@bricodepot.com</t>
  </si>
  <si>
    <t>ERWAN LAURENT</t>
  </si>
  <si>
    <t>elaurent@bricodepot.com</t>
  </si>
  <si>
    <t>LAETITIA TROUSSICOT</t>
  </si>
  <si>
    <t>ltroussicot@bricodepot.com</t>
  </si>
  <si>
    <t>CYRIL BARDOU</t>
  </si>
  <si>
    <t>cbardou@bricodepot.com</t>
  </si>
  <si>
    <t>CEDRIC SALVAT</t>
  </si>
  <si>
    <t>csalvat@bricodepot.com</t>
  </si>
  <si>
    <t>VALERIE CAMPOBELLO</t>
  </si>
  <si>
    <t>vcampobello@bricodepot.com</t>
  </si>
  <si>
    <t>Pôle commercial le Comtal Nord. Route d'Aurillac</t>
  </si>
  <si>
    <t>12740 Sébazac</t>
  </si>
  <si>
    <t>REPRISE LECLERC</t>
  </si>
  <si>
    <t>MILLIUM 2 240 DFX Store</t>
  </si>
  <si>
    <t>RELOOKING FULL 2021</t>
  </si>
  <si>
    <t>Cuisine, sdb, douche, dressing</t>
  </si>
  <si>
    <t>STE DES GRANULATS CONDOMOISE 126845</t>
  </si>
  <si>
    <t>IP600432</t>
  </si>
  <si>
    <t>FR7630004023230001093560378</t>
  </si>
  <si>
    <t>LCAC476</t>
  </si>
  <si>
    <t>SAINTES (St Georges des Coteaux)</t>
  </si>
  <si>
    <t>HERVE FRIBOULET</t>
  </si>
  <si>
    <t>hfriboulet@bricodepot.com</t>
  </si>
  <si>
    <t>JEROME MICHAUD</t>
  </si>
  <si>
    <t>jmichaud@bricodepot.com</t>
  </si>
  <si>
    <t>EMMANUEL PECHEUX</t>
  </si>
  <si>
    <t>epecheux@bricodepot.com</t>
  </si>
  <si>
    <t>STEPHANIE POIGNET</t>
  </si>
  <si>
    <t>spoignet@bricodepot.com</t>
  </si>
  <si>
    <t>DOROTHEE CABARAT / PHILIPPE LECLERC</t>
  </si>
  <si>
    <t>dcabarat@bricodepot.com / pleclerc@bricodepot.com</t>
  </si>
  <si>
    <t>PHILIPPE LECLERC</t>
  </si>
  <si>
    <t>DIDIER BOISLIVEAU</t>
  </si>
  <si>
    <t>dboisliveau@bricodepot.com</t>
  </si>
  <si>
    <t>VIRGINIE BLENEAU</t>
  </si>
  <si>
    <t>vbleneau@bricodepot.com</t>
  </si>
  <si>
    <t>ISABELLE DUQUENOY</t>
  </si>
  <si>
    <t>iduquenoy@bricodepot.com</t>
  </si>
  <si>
    <t>RD 137. Route de Rochefort</t>
  </si>
  <si>
    <t>17810 St georges des coteaux</t>
  </si>
  <si>
    <t>13 Ans 10 Mois</t>
  </si>
  <si>
    <t>CASHINFINITYTM CI-100  (projet NMO)</t>
  </si>
  <si>
    <t>REVITALISATION 2014</t>
  </si>
  <si>
    <t>Meuble SdB, cabine &amp; paroi douche, cuisine, carrelage, chauffes eau</t>
  </si>
  <si>
    <t>IP600353</t>
  </si>
  <si>
    <t>FR7630004023230001078622378</t>
  </si>
  <si>
    <t>ZNbE834</t>
  </si>
  <si>
    <t>ANGERS (Beaucouzé)</t>
  </si>
  <si>
    <t>PAYS DE LA LOIRE</t>
  </si>
  <si>
    <t>Centre Atlantique</t>
  </si>
  <si>
    <t>Cyril ROBINET</t>
  </si>
  <si>
    <t>DAVID CATRY</t>
  </si>
  <si>
    <t>dcatry@bricodepot.com</t>
  </si>
  <si>
    <t>THOMAS VOISE</t>
  </si>
  <si>
    <t>tvoise@bricodepot.com</t>
  </si>
  <si>
    <t>SONIA LEMARCHAND</t>
  </si>
  <si>
    <t>slemarchand@bricodepot.com</t>
  </si>
  <si>
    <t>JEREMY LECOEUR</t>
  </si>
  <si>
    <t>jlecoeur@bricodepot.com</t>
  </si>
  <si>
    <t>QUENTIN DOPEUX</t>
  </si>
  <si>
    <t>qdopeux@bricodepot.com</t>
  </si>
  <si>
    <t>SANDRA MOGER</t>
  </si>
  <si>
    <t>smoger@bricodepot.com</t>
  </si>
  <si>
    <t>AUDREY GREFFIER</t>
  </si>
  <si>
    <t>agreffier@bricodepot.com</t>
  </si>
  <si>
    <t>ALIZEE CESTONA</t>
  </si>
  <si>
    <t>Aurélie GACHIGNARD / Aïcha JARRAYA</t>
  </si>
  <si>
    <t>ZI Angers-Beauxouzé - 18 Rue du pavillon</t>
  </si>
  <si>
    <t>49070 Angers-Beaucouzé</t>
  </si>
  <si>
    <t>15M &lt;</t>
  </si>
  <si>
    <t>PDA MC 70 Modèle Casto</t>
  </si>
  <si>
    <t>SSI Brico Dépôt + Tiers</t>
  </si>
  <si>
    <t>PERIN TELESURVEILLANCE</t>
  </si>
  <si>
    <t>LED</t>
  </si>
  <si>
    <t>LA FLORENTAISE 114211</t>
  </si>
  <si>
    <t>IP600340</t>
  </si>
  <si>
    <t>FR7630004023230001143563878</t>
  </si>
  <si>
    <t>MzfO121</t>
  </si>
  <si>
    <t>ANGERS (St Sylvain D'Anjou)</t>
  </si>
  <si>
    <t>LAURENCE VACCARIZI</t>
  </si>
  <si>
    <t>lvaccarizi@bricodepot.com</t>
  </si>
  <si>
    <t>NICOLAS BORE</t>
  </si>
  <si>
    <t>nbore@bricodepot.com</t>
  </si>
  <si>
    <t>FLORENT GRANGER</t>
  </si>
  <si>
    <t>fgranger@bricodepot.com</t>
  </si>
  <si>
    <t>EMMANUEL DEROUET</t>
  </si>
  <si>
    <t>ederouet@bricodepot.com</t>
  </si>
  <si>
    <t>DAVID L HERMITE</t>
  </si>
  <si>
    <t>dlhermite@bricodepot.com</t>
  </si>
  <si>
    <t>RODOLPHE  PRIN</t>
  </si>
  <si>
    <t>rprin@bricodepot.com</t>
  </si>
  <si>
    <t>RODOLPHE PRIN</t>
  </si>
  <si>
    <t>ROSELYNE FOUQUET</t>
  </si>
  <si>
    <t>rfouquet@bricodepot.com</t>
  </si>
  <si>
    <t>ISABELLE CLERTEAU</t>
  </si>
  <si>
    <t>iclerteau@bricodepot.com</t>
  </si>
  <si>
    <t>ZA de la Millardière. RD 11</t>
  </si>
  <si>
    <t>49480 St Sylvain D'Anjou</t>
  </si>
  <si>
    <t>REPRISE RURAL SERVICE</t>
  </si>
  <si>
    <t>sup. à 4000</t>
  </si>
  <si>
    <t>portails exterieur, arrieres ligne de caisse: portes de garage stores bannes, suface de vente: velux porte d'entrée, fenetre alu grise, portes interieur</t>
  </si>
  <si>
    <t>2  par le toit</t>
  </si>
  <si>
    <t>IP600342</t>
  </si>
  <si>
    <t>FR7630004023230001058145678</t>
  </si>
  <si>
    <t>cCmc541</t>
  </si>
  <si>
    <t>BLOIS (Villebarou)</t>
  </si>
  <si>
    <t>CENTRE-VAL DE LOIRE</t>
  </si>
  <si>
    <t>ROMAIN BALLOY / ERIC PETRA</t>
  </si>
  <si>
    <t>rballoy@bricodepot.com / epetra@bricodepot.com</t>
  </si>
  <si>
    <t>mission 01/01/2021 - 10/09/2018</t>
  </si>
  <si>
    <t>SEBASTIEN RODRIGUEZ</t>
  </si>
  <si>
    <t>JEREMY ARNOULT</t>
  </si>
  <si>
    <t>jarnoult@bricodepot.com</t>
  </si>
  <si>
    <t>SEBASTIEN LECLERC</t>
  </si>
  <si>
    <t>sleclerc@bricodepot.com</t>
  </si>
  <si>
    <t>VIRGINIE FOUCHAULT</t>
  </si>
  <si>
    <t>vfouchault@bricodepot.com</t>
  </si>
  <si>
    <t>CARINE GUENON</t>
  </si>
  <si>
    <t>cguenon@bricodepot.com</t>
  </si>
  <si>
    <t>CC Blois 2. Route de Vendôme</t>
  </si>
  <si>
    <t>41000 Villebarou</t>
  </si>
  <si>
    <t>Atypique</t>
  </si>
  <si>
    <t>REPRISE CMJ</t>
  </si>
  <si>
    <t>Hors CDAC</t>
  </si>
  <si>
    <t>SSI CORA</t>
  </si>
  <si>
    <t>IP521965</t>
  </si>
  <si>
    <t>FR7630004023230001044555978</t>
  </si>
  <si>
    <t>twui936</t>
  </si>
  <si>
    <t>CHATEAUROUX (Le Poinçonnet)</t>
  </si>
  <si>
    <t>BASTIEN FORTE</t>
  </si>
  <si>
    <t>bforte@bricodepot.com</t>
  </si>
  <si>
    <t>CEDRIC DORADOUX</t>
  </si>
  <si>
    <t>cdoradoux@bricodepot.com</t>
  </si>
  <si>
    <t>EMMANUEL LAURENT</t>
  </si>
  <si>
    <t>MARIE PAULE PHILIPPON</t>
  </si>
  <si>
    <t>mphilippon@bricodepot.com</t>
  </si>
  <si>
    <t>BERTRAND KIBELERT</t>
  </si>
  <si>
    <t>bkibelert@bricodepot.com</t>
  </si>
  <si>
    <t>OLIVIER VARVAT</t>
  </si>
  <si>
    <t>ovarvat@bricodepot.com</t>
  </si>
  <si>
    <t>ADELINE TUAL</t>
  </si>
  <si>
    <t>atual@bricodepot.com</t>
  </si>
  <si>
    <t>LAURENCE DUBAU</t>
  </si>
  <si>
    <t>ldubau@bricodepot.com</t>
  </si>
  <si>
    <t>Route de Montluçon</t>
  </si>
  <si>
    <t>36330 Le Poinçonnet</t>
  </si>
  <si>
    <t xml:space="preserve">REPRISE </t>
  </si>
  <si>
    <t>En extérieur</t>
  </si>
  <si>
    <t>GOLD 20 ENDFX 240 Store + CASHINFINITYTM CI-100 (de Darnétal)</t>
  </si>
  <si>
    <t>RELOOKING FULL EN COURS 2022</t>
  </si>
  <si>
    <t>IP521962</t>
  </si>
  <si>
    <t>FR7630004023230001055371478</t>
  </si>
  <si>
    <t>MzYe191</t>
  </si>
  <si>
    <t>CHOLET</t>
  </si>
  <si>
    <t>FRANCIS BLANCAFORT</t>
  </si>
  <si>
    <t>fblancafort@bricodepot.com</t>
  </si>
  <si>
    <t>JERÔME MASSE</t>
  </si>
  <si>
    <t>jmasse@bricodepot.com</t>
  </si>
  <si>
    <t>Sécu - Log</t>
  </si>
  <si>
    <t>JEROME MASSE</t>
  </si>
  <si>
    <t>Log-Sécu</t>
  </si>
  <si>
    <t>YANNIS JILALI</t>
  </si>
  <si>
    <t>yjilali@bricodepot.com</t>
  </si>
  <si>
    <t>LY TOU TSENG PAYIA</t>
  </si>
  <si>
    <t>lpayia@bricodepot.com</t>
  </si>
  <si>
    <t>MAGALI VINCENDEAU</t>
  </si>
  <si>
    <t>mvincendeau@bricodepot.com</t>
  </si>
  <si>
    <t>SOPHIE RABIN</t>
  </si>
  <si>
    <t>srabin@bricodepot.com</t>
  </si>
  <si>
    <t>Route des Sables</t>
  </si>
  <si>
    <t>49300 Cholet</t>
  </si>
  <si>
    <t>CASTORAMA BRIKER</t>
  </si>
  <si>
    <t>Zone Urbaine</t>
  </si>
  <si>
    <t>IP600345</t>
  </si>
  <si>
    <t>FR7630004023230001044652978</t>
  </si>
  <si>
    <t xml:space="preserve"> xcYV501</t>
  </si>
  <si>
    <t>LA ROCHE sur YON (Mouilleron Le Captif)</t>
  </si>
  <si>
    <t>DAVID REBUFFE</t>
  </si>
  <si>
    <t>drebuffe@bricodepot.com</t>
  </si>
  <si>
    <t>ISMAEL KOUAME ANAKY</t>
  </si>
  <si>
    <t>ianaky@bricodepot.com</t>
  </si>
  <si>
    <t>EMMANUEL FERREIRA</t>
  </si>
  <si>
    <t>eferreira@bricodepot.com</t>
  </si>
  <si>
    <t>ROMARIC GAUCHARD</t>
  </si>
  <si>
    <t>rgauchard@bricodepot.com</t>
  </si>
  <si>
    <t>CHRISTOPHE GIRARD</t>
  </si>
  <si>
    <t>cgirard@bricodepot.com</t>
  </si>
  <si>
    <t>PATRICK  DUBREUILH</t>
  </si>
  <si>
    <t>pdubreuilh@bricodepot.com</t>
  </si>
  <si>
    <t>RENAUD DAVOINE</t>
  </si>
  <si>
    <t>rdavoine@bricodepot.com</t>
  </si>
  <si>
    <t>SERENA REITER</t>
  </si>
  <si>
    <t>sreiter@bricodepot.com</t>
  </si>
  <si>
    <t>DAVIS REBUFFE</t>
  </si>
  <si>
    <t>ZAC de Beaupuy</t>
  </si>
  <si>
    <t>85000 Mouilleron Le Captif</t>
  </si>
  <si>
    <t>MEDIUM</t>
  </si>
  <si>
    <t>CASHINFINITYTM CI-100 + GOLD 20 ENDFX 240 Store</t>
  </si>
  <si>
    <t>Cuisine, SdB, douche, menuiserie</t>
  </si>
  <si>
    <t>LAFARGE GRANULATS France 119025</t>
  </si>
  <si>
    <t>5 Ambiances</t>
  </si>
  <si>
    <t>IP600346</t>
  </si>
  <si>
    <t>FR7630004023230001044934278</t>
  </si>
  <si>
    <t>yQXB308</t>
  </si>
  <si>
    <t>NANTES (St Herblain)</t>
  </si>
  <si>
    <t>STEPHANE VAREILLE</t>
  </si>
  <si>
    <t>svareille@bricodepot.com</t>
  </si>
  <si>
    <t>LAURENT MARTY</t>
  </si>
  <si>
    <t>lmarty@bricodepot.com</t>
  </si>
  <si>
    <t>THIERRY TENNIER</t>
  </si>
  <si>
    <t>ttennier@bricodepot.com</t>
  </si>
  <si>
    <t>VIANNEY ROCHER</t>
  </si>
  <si>
    <t>vrocher@bricodepot.com</t>
  </si>
  <si>
    <t>NICOLAS  BRET</t>
  </si>
  <si>
    <t>nbret@bricodepot.com</t>
  </si>
  <si>
    <t>ROMAIN RICOU</t>
  </si>
  <si>
    <t>rricou@bricodepot.com</t>
  </si>
  <si>
    <t>NATHALIE FOUET</t>
  </si>
  <si>
    <t>nfouet@bricodepot.com</t>
  </si>
  <si>
    <t>ANNIE HERVET</t>
  </si>
  <si>
    <t>ahervet@bricodepot.com</t>
  </si>
  <si>
    <t>Zone Atlantis. 5 Place Magellan</t>
  </si>
  <si>
    <t>44800 St Herblain</t>
  </si>
  <si>
    <t>35M &lt;...&lt; 40M</t>
  </si>
  <si>
    <t>CASHINFINITYTM CI-100 (casto)</t>
  </si>
  <si>
    <t>SECURITE PROTECTION (Atlantis)</t>
  </si>
  <si>
    <t xml:space="preserve"> FT NOVALIS T3+FT 969433</t>
  </si>
  <si>
    <t>DELTA SECURITY</t>
  </si>
  <si>
    <t>DELTA SECURITY SOLUTIONS</t>
  </si>
  <si>
    <t>Meuble de sdb/cabine de douche</t>
  </si>
  <si>
    <t>OPTIM BETON 117801</t>
  </si>
  <si>
    <t>OUI / HS</t>
  </si>
  <si>
    <t>IP600352</t>
  </si>
  <si>
    <t>FR7630004023230001044478378</t>
  </si>
  <si>
    <t>AGoK880</t>
  </si>
  <si>
    <t>ORLEANS (Saran)</t>
  </si>
  <si>
    <t>FREDERIC THEVENIAUT</t>
  </si>
  <si>
    <t>ftheveniaut@bricodepot.com</t>
  </si>
  <si>
    <t>YANN DELAGE</t>
  </si>
  <si>
    <t>ydelage@bricodepot.com</t>
  </si>
  <si>
    <t>ZOUHEIR SAADI</t>
  </si>
  <si>
    <t>zsaadi@bricodepot.com</t>
  </si>
  <si>
    <t>SAMIR DJEBARI</t>
  </si>
  <si>
    <t>sdjebari@bricodepot.com</t>
  </si>
  <si>
    <t>BENJAMIN BERSON</t>
  </si>
  <si>
    <t>bberson@bricodepot.com</t>
  </si>
  <si>
    <t>SYLVAIN PASQUET</t>
  </si>
  <si>
    <t>spasquet@bricodepot.com</t>
  </si>
  <si>
    <t>FANNY  CHAUVEAU</t>
  </si>
  <si>
    <t>fchauveau@bricodepot.com</t>
  </si>
  <si>
    <t>CHRISTELLE CREAC'HCADEC</t>
  </si>
  <si>
    <t>ccreac'hcadec@bricodepot.com</t>
  </si>
  <si>
    <t>CC Cap Saran. ZA Cent Arpents. 160 rue B.Franklin</t>
  </si>
  <si>
    <t>45770 Saran</t>
  </si>
  <si>
    <t>20 Ans 8 Mois</t>
  </si>
  <si>
    <t>IP521968</t>
  </si>
  <si>
    <t>FR7630004023230001044876078</t>
  </si>
  <si>
    <t>OQGG134</t>
  </si>
  <si>
    <t>POITIERS (Dissay)</t>
  </si>
  <si>
    <t>EMMANUEL ROQUES</t>
  </si>
  <si>
    <t>eroques@bricodepot.com</t>
  </si>
  <si>
    <t>ERIC CHAUVELIER</t>
  </si>
  <si>
    <t>echauvelier@bricodepot.com</t>
  </si>
  <si>
    <t>DIDIER GAZEL</t>
  </si>
  <si>
    <t>dgazel@bricodepot.com</t>
  </si>
  <si>
    <t>NICOLAS PIDOUX</t>
  </si>
  <si>
    <t>npidoux@bricodepot.com</t>
  </si>
  <si>
    <t>HENRI LOURIOUX</t>
  </si>
  <si>
    <t>hlourioux@bricodepot.com</t>
  </si>
  <si>
    <t>STEPHANE CHABERNAUD</t>
  </si>
  <si>
    <t>schabernaud@bricodepot.com</t>
  </si>
  <si>
    <t>PHILIPPE GRIVAULT</t>
  </si>
  <si>
    <t>pgrivault@bricodepot.com</t>
  </si>
  <si>
    <t>AURELIE SIROT</t>
  </si>
  <si>
    <t>asirot@bricodepot.com</t>
  </si>
  <si>
    <t>Lieu dit Puy Grenier</t>
  </si>
  <si>
    <t>86130 Dissay</t>
  </si>
  <si>
    <t>07:00 à 12:30 / 14:00 à 19:29</t>
  </si>
  <si>
    <t>REPRISE MAG MEUBLES</t>
  </si>
  <si>
    <t>4000 M² et +</t>
  </si>
  <si>
    <t>T3</t>
  </si>
  <si>
    <t>Paroies &amp; cabines de douches, Meubles SDB, Cuisine</t>
  </si>
  <si>
    <t>IP521970</t>
  </si>
  <si>
    <t>FR7630004023230001044594778</t>
  </si>
  <si>
    <t>MaKM131</t>
  </si>
  <si>
    <t>SAUMUR</t>
  </si>
  <si>
    <t>LAETITIA PEIXOTO</t>
  </si>
  <si>
    <t>lpeixoto@bricodepot.com</t>
  </si>
  <si>
    <t>NELSON FONTES</t>
  </si>
  <si>
    <t>nfontes@bricodepot.com</t>
  </si>
  <si>
    <t>Sécu-Log</t>
  </si>
  <si>
    <t>VINCENT DUBOIS</t>
  </si>
  <si>
    <t>vdubois@bricodepot.com</t>
  </si>
  <si>
    <t>MARIE LAURE JUNGERS</t>
  </si>
  <si>
    <t>mjungers@bricodepot.com</t>
  </si>
  <si>
    <t>MAGALIE  LEFEBVRE</t>
  </si>
  <si>
    <t>mlefebvre2@bricodepot.com</t>
  </si>
  <si>
    <t>Boulevard des Demoiselles ZAC ecoparc. St Lambert des Levées</t>
  </si>
  <si>
    <t>49400 Saumur</t>
  </si>
  <si>
    <t>07:00 à 12:30 / 14:00 à 19:30</t>
  </si>
  <si>
    <t>REPRISE ENTREPOT BRICOLAGE</t>
  </si>
  <si>
    <t>IP521969</t>
  </si>
  <si>
    <t>FR7630004023230001169647178</t>
  </si>
  <si>
    <t>QBLh107</t>
  </si>
  <si>
    <t>TOURS (St Cyr sur Loire)</t>
  </si>
  <si>
    <t>ROMAIN BALLOY</t>
  </si>
  <si>
    <t>rballoy@bricodepot.com</t>
  </si>
  <si>
    <t>VANESSA COQUARD</t>
  </si>
  <si>
    <t>vcoquard@bricodepot.com</t>
  </si>
  <si>
    <t>STEPHANE BLANCHET</t>
  </si>
  <si>
    <t>sblanchet@bricodepot.com</t>
  </si>
  <si>
    <t>ARNAUD GIRARD</t>
  </si>
  <si>
    <t>agirard@bricodepot.com</t>
  </si>
  <si>
    <t>CHRISTOPHE SCHNEIDER</t>
  </si>
  <si>
    <t>cschneider@bricodepot.com</t>
  </si>
  <si>
    <t>NICOLAS DAVID</t>
  </si>
  <si>
    <t>ndavid@bridodepot.com</t>
  </si>
  <si>
    <t>JOSE BENTO</t>
  </si>
  <si>
    <t>jbento@bricodepot.com</t>
  </si>
  <si>
    <t>MAGALIE  VAUTRIN</t>
  </si>
  <si>
    <t>mvautrin@bricodepot.com</t>
  </si>
  <si>
    <t>ZAC Equatop. Clos de la Lande</t>
  </si>
  <si>
    <t>37540 St Cyr sur Loire</t>
  </si>
  <si>
    <t>07:00 à 19:29</t>
  </si>
  <si>
    <t>VDP Sécurité</t>
  </si>
  <si>
    <t>ST GEORGES DE GRANULATS 126377</t>
  </si>
  <si>
    <t>NOIN</t>
  </si>
  <si>
    <t>7 Ambiances + Cabines</t>
  </si>
  <si>
    <t>IP521971</t>
  </si>
  <si>
    <t>FR7630004023230001050696078</t>
  </si>
  <si>
    <t>MEol865</t>
  </si>
  <si>
    <t>AUXERRE (Perrigny)</t>
  </si>
  <si>
    <t>BOURGOGNE-FRANCHE-COMTE</t>
  </si>
  <si>
    <t>Centre Est</t>
  </si>
  <si>
    <t>Pascal FREVOL</t>
  </si>
  <si>
    <t>JEAN PIERRE HOAREAU</t>
  </si>
  <si>
    <t>jhoareau@bricodepot.com</t>
  </si>
  <si>
    <t>DENIS LAISNE</t>
  </si>
  <si>
    <t>dlaisne@bricodepot.com</t>
  </si>
  <si>
    <t>MEHMET KOKEN</t>
  </si>
  <si>
    <t>mkoken@bricodepot.com</t>
  </si>
  <si>
    <t>BENEDICTE GUERIN</t>
  </si>
  <si>
    <t>bguerin@bricodepot.com</t>
  </si>
  <si>
    <t>CHARLOTTE BORBOUSE</t>
  </si>
  <si>
    <t>cborbouse@bricodepot.com</t>
  </si>
  <si>
    <t>LOUISE  PIGUET</t>
  </si>
  <si>
    <t>lpiguet@bricodepot.com</t>
  </si>
  <si>
    <t>DOMINIQUE LAGRANGE</t>
  </si>
  <si>
    <t>dlagrange@bricodepot.com</t>
  </si>
  <si>
    <t>ELISE MATHIEU</t>
  </si>
  <si>
    <t>emathieu@bricodepot.com</t>
  </si>
  <si>
    <t>AUDREY ESTRADE / DAVID DARDAILLON</t>
  </si>
  <si>
    <t>Sandrine CORGNIARD</t>
  </si>
  <si>
    <t>RN 66. Lieu-dit Les Chesnez</t>
  </si>
  <si>
    <t>89000 Perrigny</t>
  </si>
  <si>
    <t>REMODLING R300 2014</t>
  </si>
  <si>
    <t xml:space="preserve">Poêles à bois, SdB, douche, menuiserie, aménagements de placard, </t>
  </si>
  <si>
    <t>SAS MRF Agce DLB PONT S/ YONNE 120940</t>
  </si>
  <si>
    <t>IP600401</t>
  </si>
  <si>
    <t>FR7630004023230001055361778</t>
  </si>
  <si>
    <t>Jglm291</t>
  </si>
  <si>
    <t>BESANCON (Chalezeule)</t>
  </si>
  <si>
    <t>KARIM LOUAHAB</t>
  </si>
  <si>
    <t>klouahab@bricodepot.com</t>
  </si>
  <si>
    <t>REYNALD ROY</t>
  </si>
  <si>
    <t>rroy@bricodepot.com</t>
  </si>
  <si>
    <t>JEAN BENOIT CLERC</t>
  </si>
  <si>
    <t>jclerc@bricodepot.com</t>
  </si>
  <si>
    <t>PHILIPPE  NONNOTTE</t>
  </si>
  <si>
    <t>pnonnotte@bricodepot.com</t>
  </si>
  <si>
    <t>PHILIPPE BANSE / CELINE MARASTONI</t>
  </si>
  <si>
    <t>pbanse@bricodepot.com / cmarastoni@bricodepot.com</t>
  </si>
  <si>
    <t>VALERIE LAGOCKI</t>
  </si>
  <si>
    <t>vlagocki@bricodepot.com</t>
  </si>
  <si>
    <t>VIRGINIE GONCALVES</t>
  </si>
  <si>
    <t>vgoncalves@bricodepot.com</t>
  </si>
  <si>
    <t>ZI les Marnières Route de Warnecourt</t>
  </si>
  <si>
    <t>25220 Chalezeule</t>
  </si>
  <si>
    <t>1103 PTF EST Dijon</t>
  </si>
  <si>
    <t>VD062</t>
  </si>
  <si>
    <t>1103-Longvic</t>
  </si>
  <si>
    <t>CARRIERE DE L'EST 114194</t>
  </si>
  <si>
    <t>IP600402</t>
  </si>
  <si>
    <t>FR7630004023230001044585078</t>
  </si>
  <si>
    <t>XIVU587</t>
  </si>
  <si>
    <t>BOURGES (St Germain du Puy)</t>
  </si>
  <si>
    <t>OLIVER DAVID</t>
  </si>
  <si>
    <t>odavid@bricodepot.com</t>
  </si>
  <si>
    <t>CHRISTOPHE PETITPAS</t>
  </si>
  <si>
    <t>cpetitpas@bricodepot.com</t>
  </si>
  <si>
    <t>SEBASTIEN COUZY</t>
  </si>
  <si>
    <t>scouzy@bricodepot.com</t>
  </si>
  <si>
    <t>SYLVAIN BEREAULT</t>
  </si>
  <si>
    <t>sbereault@bricodepot.com</t>
  </si>
  <si>
    <t>MARC GIRAULT</t>
  </si>
  <si>
    <t>mgirault@bricodepot.com</t>
  </si>
  <si>
    <t>SEBASTIEN MILLERIOUX</t>
  </si>
  <si>
    <t>smillerioux@bricodepot.com</t>
  </si>
  <si>
    <t>OLIVIER DAVID</t>
  </si>
  <si>
    <t>ELODIE BESSEGE</t>
  </si>
  <si>
    <t>ebessege@bricodepot.com</t>
  </si>
  <si>
    <t>RN 151. Route de la Charité</t>
  </si>
  <si>
    <t>18390 St Germain du Puy</t>
  </si>
  <si>
    <t>Nous allons refaire une ZRM: Cuisine, SdB, douche, amenagement de placard, poêle à bois.</t>
  </si>
  <si>
    <t>GSM 191154</t>
  </si>
  <si>
    <t>IP521966</t>
  </si>
  <si>
    <t>FR7630004023230001044497778</t>
  </si>
  <si>
    <t>MCLx558</t>
  </si>
  <si>
    <t>DIJON (Chenove)</t>
  </si>
  <si>
    <t>BRUNO CAINAUD</t>
  </si>
  <si>
    <t>bcainaud@bricodepot.com</t>
  </si>
  <si>
    <t>FERNANDO MATEUS</t>
  </si>
  <si>
    <t>fmateus@bricodepot.com</t>
  </si>
  <si>
    <t>PHILIPPE BACHELET</t>
  </si>
  <si>
    <t>pbachelet@bricodepot.com</t>
  </si>
  <si>
    <t>CELINE MASSON</t>
  </si>
  <si>
    <t>cmasson@bricodepot.com</t>
  </si>
  <si>
    <t>PIERRE ROBERT</t>
  </si>
  <si>
    <t>probert@bricodepot.com</t>
  </si>
  <si>
    <t>JOVANA ANDJELKOVIC</t>
  </si>
  <si>
    <t>jandjelkovic@bricodepot.com</t>
  </si>
  <si>
    <t>ISABELLE GIRARD</t>
  </si>
  <si>
    <t>igirard@bricodepot.com</t>
  </si>
  <si>
    <t>CHRISTELLE DUPIN</t>
  </si>
  <si>
    <t>cdupin@bricodepot.com</t>
  </si>
  <si>
    <t>CC Grands Crus 124 avenue Roland Carraz</t>
  </si>
  <si>
    <t>21300 Chenove</t>
  </si>
  <si>
    <t>en extérieur + show-room dans l'algeco</t>
  </si>
  <si>
    <t>ABT 2017</t>
  </si>
  <si>
    <t>SSI SUPER U</t>
  </si>
  <si>
    <t>CD 15002 + CD 150</t>
  </si>
  <si>
    <t>RELOOKING LIGHT 2021</t>
  </si>
  <si>
    <t>IP600418</t>
  </si>
  <si>
    <t>FR7630004023230001044575378</t>
  </si>
  <si>
    <t>FZGx366</t>
  </si>
  <si>
    <t>MONTARGIS (Villemandeur)</t>
  </si>
  <si>
    <t>JOACHIM GUIHENEUF</t>
  </si>
  <si>
    <t>jguiheneuf@bricodepot.com</t>
  </si>
  <si>
    <t>LUDIVINE BROUARD</t>
  </si>
  <si>
    <t>lbrouardbricodepot.com</t>
  </si>
  <si>
    <t>JAN MATZKY</t>
  </si>
  <si>
    <t>jmatzky@bricodepot.com</t>
  </si>
  <si>
    <t>NATHALIE LEGRAND</t>
  </si>
  <si>
    <t>nlegrand@bricodepot.com</t>
  </si>
  <si>
    <t>FABIEN CZERWINSKI</t>
  </si>
  <si>
    <t>fczerwinski@bricodepot.com</t>
  </si>
  <si>
    <t>BENOIT DESPIEGALAERE</t>
  </si>
  <si>
    <t>bdespiegalaere@bricodepot.com</t>
  </si>
  <si>
    <t>SANDRINE LEJAULT</t>
  </si>
  <si>
    <t>slejault@bricodepot.com</t>
  </si>
  <si>
    <t>22 Rue des Frères Lumière</t>
  </si>
  <si>
    <t>45700 Villemandeur</t>
  </si>
  <si>
    <t>REPRISE JARDINERIE</t>
  </si>
  <si>
    <t xml:space="preserve"> SOSEMAT  126910</t>
  </si>
  <si>
    <t>IP600419</t>
  </si>
  <si>
    <t>FR7630004023230001135891178</t>
  </si>
  <si>
    <t>mWPd947</t>
  </si>
  <si>
    <t>MONTBELIARD</t>
  </si>
  <si>
    <t>NICOLAS BALLOIR</t>
  </si>
  <si>
    <t>nballoir@bricodepot.com</t>
  </si>
  <si>
    <t>THIERRY BATTAGLIA</t>
  </si>
  <si>
    <t>tbattaglia@bricodepot.com</t>
  </si>
  <si>
    <t>REGINE VITTORI</t>
  </si>
  <si>
    <t>rvittori@bricodepot.com</t>
  </si>
  <si>
    <t>RACHID BARRIHANE</t>
  </si>
  <si>
    <t>rbarrihane@bricodepot.com</t>
  </si>
  <si>
    <t>CEDRIC FLAGEOLET</t>
  </si>
  <si>
    <t>cflageolet@bricodepot.com</t>
  </si>
  <si>
    <t>ROXANE BREUILLOT</t>
  </si>
  <si>
    <t>rbreuillot@bricodepot.com</t>
  </si>
  <si>
    <t>JOELLE MANGEAT</t>
  </si>
  <si>
    <t>jmangeat@bricodepot.com</t>
  </si>
  <si>
    <t>ZAC du Pied des Gouttes Rue Briot</t>
  </si>
  <si>
    <t>25200 Montbeliard</t>
  </si>
  <si>
    <t>COS STATIQUE DE NANTES</t>
  </si>
  <si>
    <t>GRAVIERE DE NIEDERHERGHEIM 116714</t>
  </si>
  <si>
    <t>IP600420</t>
  </si>
  <si>
    <t>FR7630004023230001070590778</t>
  </si>
  <si>
    <t>yrgV275</t>
  </si>
  <si>
    <t>MONTEREAU (Cannes écluse)</t>
  </si>
  <si>
    <t>ILE-DE-FRANCE</t>
  </si>
  <si>
    <t>CHRISTOPHE FERDINANDE</t>
  </si>
  <si>
    <t>cferdinande@bricodepot.com</t>
  </si>
  <si>
    <t>DIDIER SALOMON</t>
  </si>
  <si>
    <t>dsalomon@bricodepot.com</t>
  </si>
  <si>
    <t>YOANN BANTEGNIE</t>
  </si>
  <si>
    <t>ybantegnie@bricodepot.com</t>
  </si>
  <si>
    <t>KEVIN FEUILLET</t>
  </si>
  <si>
    <t>kfeuillet@bricodepot.com</t>
  </si>
  <si>
    <t>ARTHUR LAURENT</t>
  </si>
  <si>
    <t>alaurent@bricodepot.com</t>
  </si>
  <si>
    <t>YVONNE  NOGUEIRA</t>
  </si>
  <si>
    <t>ynogueira@bricodepot.com</t>
  </si>
  <si>
    <t>LUDIVINE GILLION</t>
  </si>
  <si>
    <t>lgillion@bricodepot.com</t>
  </si>
  <si>
    <t>ISABELLE VILLEFROY</t>
  </si>
  <si>
    <t>ivillefroy@bricodepot.com</t>
  </si>
  <si>
    <t>D 606</t>
  </si>
  <si>
    <t>77130 Cannes Ecluse</t>
  </si>
  <si>
    <t>9H à 19H</t>
  </si>
  <si>
    <t>showroom intérieur,non accessible client sans présence vendeur</t>
  </si>
  <si>
    <t>A l'intérieur de la réserve</t>
  </si>
  <si>
    <t>TRIOMPHE</t>
  </si>
  <si>
    <t>Cuisine, SDB, douche</t>
  </si>
  <si>
    <t>DLB PONT SUR YONNE 120940</t>
  </si>
  <si>
    <t>IP600556</t>
  </si>
  <si>
    <t>FR7630004023230001064877478</t>
  </si>
  <si>
    <t xml:space="preserve"> juSt264</t>
  </si>
  <si>
    <t>MONTLUCON (Domerat)</t>
  </si>
  <si>
    <t>AUVERGNE-RHONE-ALPES</t>
  </si>
  <si>
    <t>DAVID DE SOUSA</t>
  </si>
  <si>
    <t>ddesousa@bricodepot.com</t>
  </si>
  <si>
    <t>MICHAEL COPLOT</t>
  </si>
  <si>
    <t>mcoplot@bricodepot.com</t>
  </si>
  <si>
    <t>MARCEL MARTINS</t>
  </si>
  <si>
    <t>mmartins@bricodepot.com</t>
  </si>
  <si>
    <t>PIERRE GIRON</t>
  </si>
  <si>
    <t>pgiron@bricodepot.com</t>
  </si>
  <si>
    <t>JOHN AUBERT</t>
  </si>
  <si>
    <t>jaubert@bricodepot.com</t>
  </si>
  <si>
    <t>BARBARA FOURNET</t>
  </si>
  <si>
    <t>bfournet@bricodepot.com</t>
  </si>
  <si>
    <t>SANDRA MEUNIER</t>
  </si>
  <si>
    <t>smeunier@bricodepot.com</t>
  </si>
  <si>
    <t>ZA de Chateaugay</t>
  </si>
  <si>
    <t>03410 Domerat</t>
  </si>
  <si>
    <t>19 Ans 2 Mois</t>
  </si>
  <si>
    <t>NON SCUTUM</t>
  </si>
  <si>
    <t>7 Ambiances</t>
  </si>
  <si>
    <t>IP521964</t>
  </si>
  <si>
    <t>FR7630004023230001044885778</t>
  </si>
  <si>
    <t>hFNv656</t>
  </si>
  <si>
    <t>MOULINS (Toulon sur Allier)</t>
  </si>
  <si>
    <t>ANTHONY BEAUBAT</t>
  </si>
  <si>
    <t>abeaubat@bricodepot.com</t>
  </si>
  <si>
    <t>THOMAS CAUDRON</t>
  </si>
  <si>
    <t>tcaudron@bricodepot.com</t>
  </si>
  <si>
    <t>JEROME RAMI</t>
  </si>
  <si>
    <t>jrami@bricodepot.com</t>
  </si>
  <si>
    <t>JEAN FRANCOIS CHAUMEIL</t>
  </si>
  <si>
    <t>jchaumeil@bricodepot.com</t>
  </si>
  <si>
    <t>JEAN PHILIPPE GASANCON</t>
  </si>
  <si>
    <t>jgasancon@bricodepot.com</t>
  </si>
  <si>
    <t>ISABELLE VEILLAUT</t>
  </si>
  <si>
    <t>iveillaut@bricodepot.com</t>
  </si>
  <si>
    <t>SONIA SCARSET</t>
  </si>
  <si>
    <t>sscarset@bricodepot.com</t>
  </si>
  <si>
    <t>Route Bleue - D 707</t>
  </si>
  <si>
    <t>03400 Toulon Sur Allier</t>
  </si>
  <si>
    <t>SERIS</t>
  </si>
  <si>
    <t>JALICOT 117939</t>
  </si>
  <si>
    <t>IP521963</t>
  </si>
  <si>
    <t>FR7630004023230001138335578</t>
  </si>
  <si>
    <t>Qhip803</t>
  </si>
  <si>
    <t>PERPIGNAN (Claira)</t>
  </si>
  <si>
    <t>Sud Ouest</t>
  </si>
  <si>
    <t>Thierry GIANELLA</t>
  </si>
  <si>
    <t>ANTONY OBIOLS</t>
  </si>
  <si>
    <t>aobiols@bricodepot.com</t>
  </si>
  <si>
    <t>GREGORY BRESSON</t>
  </si>
  <si>
    <t>gbresson@bricodepot.com</t>
  </si>
  <si>
    <t>CHRISTOPHE CASSU</t>
  </si>
  <si>
    <t>ccassu@bricodepot.com</t>
  </si>
  <si>
    <t>FLORENT CERRI</t>
  </si>
  <si>
    <t>fcerri@bricodepot.com</t>
  </si>
  <si>
    <t>ROMAIN  GAZZOLI</t>
  </si>
  <si>
    <t>rgazzoli@bricodepot.com</t>
  </si>
  <si>
    <t>NICOLE LEBLAY</t>
  </si>
  <si>
    <t>nleblay@bricodepot.com</t>
  </si>
  <si>
    <t>JOAQUIM LUIS PEREIRA SOARES MONTEIRO</t>
  </si>
  <si>
    <t>jpereirasoaresmonteiro@bricodepot.com</t>
  </si>
  <si>
    <t>JOAQUIM PEREIRA</t>
  </si>
  <si>
    <t>DJAMILLA MEKOUI</t>
  </si>
  <si>
    <t>jmekoui@bricodepot.com</t>
  </si>
  <si>
    <t>DHAMILLA MEKOUI</t>
  </si>
  <si>
    <t>Gaelle DEJEUX</t>
  </si>
  <si>
    <t>CC Carrefour. Lieu-dit Saint Jaumes du Crest</t>
  </si>
  <si>
    <t>66530 Claira</t>
  </si>
  <si>
    <t>REPRISE CDAC CASTO</t>
  </si>
  <si>
    <t>REVITALISATION 2013</t>
  </si>
  <si>
    <t>SdB,Douche, Menuiserie</t>
  </si>
  <si>
    <t>OPTIM BETON SL  117801</t>
  </si>
  <si>
    <t>IP600784</t>
  </si>
  <si>
    <t>FR7630004023230001044488078</t>
  </si>
  <si>
    <t>gBIB529</t>
  </si>
  <si>
    <t>NEVERS (Varennes Vauzelles)</t>
  </si>
  <si>
    <t>RACHID ANNAB</t>
  </si>
  <si>
    <t>rannab@bricodepot.com</t>
  </si>
  <si>
    <t>PASCAL HENRY</t>
  </si>
  <si>
    <t>phenry@bricodepot.com</t>
  </si>
  <si>
    <t>ROBERT POITEVIN LE GALL</t>
  </si>
  <si>
    <t>daguilera@bricodepot.com</t>
  </si>
  <si>
    <t>BRUNO JARDIN</t>
  </si>
  <si>
    <t>bjardin@bricodepot.com</t>
  </si>
  <si>
    <t>NICOLAS  DUVAL</t>
  </si>
  <si>
    <t>nduval@bricodepot.com</t>
  </si>
  <si>
    <t>EMILIEN BOUTVILLE</t>
  </si>
  <si>
    <t>eboutville@bricodepot.com</t>
  </si>
  <si>
    <t>VINCENT MUZARD</t>
  </si>
  <si>
    <t>vmuzard@bricodepot.com</t>
  </si>
  <si>
    <t>IVONE GOMES DA SILVA</t>
  </si>
  <si>
    <t>igomesdasilva@bricodepot.com</t>
  </si>
  <si>
    <t>RN 7</t>
  </si>
  <si>
    <t>58640 Varennes Vauzelles</t>
  </si>
  <si>
    <t>CD 9102</t>
  </si>
  <si>
    <t>GSM  191154</t>
  </si>
  <si>
    <t>IP521967</t>
  </si>
  <si>
    <t>FR7630004023230001044507478</t>
  </si>
  <si>
    <t>gLLe530</t>
  </si>
  <si>
    <t>TROYES (Barberey St Sulpice)</t>
  </si>
  <si>
    <t>JEAN FRANCOIS ROITEL</t>
  </si>
  <si>
    <t>jroitel@bricodepot.com</t>
  </si>
  <si>
    <t>THIBAULT MORIN</t>
  </si>
  <si>
    <t>tmorin@bricodepot.com</t>
  </si>
  <si>
    <t>XAVIER MORISSOT</t>
  </si>
  <si>
    <t>xmorissot@bricodepot.com</t>
  </si>
  <si>
    <t>AURELIE DENIZET</t>
  </si>
  <si>
    <t>adenizet@bricodepot.com</t>
  </si>
  <si>
    <t>KARINE PIERRON</t>
  </si>
  <si>
    <t>kpierron@bricodepot.com</t>
  </si>
  <si>
    <t>LUCIE MAGE</t>
  </si>
  <si>
    <t>lmage@bricodepot.com</t>
  </si>
  <si>
    <t>SANDRA AVRIL</t>
  </si>
  <si>
    <t>savril@bricodepot.com</t>
  </si>
  <si>
    <t>RN 19</t>
  </si>
  <si>
    <t>10600 Barberey St Sulpice</t>
  </si>
  <si>
    <t>TROYES SECURITE (cenre commercial)</t>
  </si>
  <si>
    <t>OUI 2 nappes</t>
  </si>
  <si>
    <t>SSI CASINO</t>
  </si>
  <si>
    <t>SdB, douche, Poele, cheminée, chaudière,dressing, articles lourds (03/20)</t>
  </si>
  <si>
    <t>IP600423</t>
  </si>
  <si>
    <t>FR7630004023230001044788778</t>
  </si>
  <si>
    <t>oacj823</t>
  </si>
  <si>
    <t>COLMAR</t>
  </si>
  <si>
    <t>Est</t>
  </si>
  <si>
    <t>Guillaume FARVACQUE</t>
  </si>
  <si>
    <t>STEPHANE MILLIET</t>
  </si>
  <si>
    <t>smilliet@bricodepot.com</t>
  </si>
  <si>
    <t>OPHELIE PRUVOST</t>
  </si>
  <si>
    <t>opruvost@bricodepot.com</t>
  </si>
  <si>
    <t>ZIYAD BEN RACHED</t>
  </si>
  <si>
    <t>zbenrached@bricodepot.com</t>
  </si>
  <si>
    <t>Mission</t>
  </si>
  <si>
    <t>ERIC DEUTSCH</t>
  </si>
  <si>
    <t>edeutsch@bricodepot.com</t>
  </si>
  <si>
    <t>CHRISTOPHE KUBLER</t>
  </si>
  <si>
    <t>ckubler@bricodepot.com</t>
  </si>
  <si>
    <t>NORAH PEEROO</t>
  </si>
  <si>
    <t>Casper POLEK</t>
  </si>
  <si>
    <t>14 Rue André Kiener</t>
  </si>
  <si>
    <t>68000 Colmar</t>
  </si>
  <si>
    <t>15 Ans 11 Mois</t>
  </si>
  <si>
    <t>07:00 à 19:00</t>
  </si>
  <si>
    <t>Fermé</t>
  </si>
  <si>
    <t>REPRISE RESEAU PRO</t>
  </si>
  <si>
    <t>Cuisine, SdB, douche,carrelage</t>
  </si>
  <si>
    <t xml:space="preserve"> NON</t>
  </si>
  <si>
    <t>IP600417</t>
  </si>
  <si>
    <t>FR7630004023230001070551978</t>
  </si>
  <si>
    <t>gNOc282</t>
  </si>
  <si>
    <t>EPINAL-2</t>
  </si>
  <si>
    <t>ALLAL NAKIB</t>
  </si>
  <si>
    <t>anakib@bricodepot.com</t>
  </si>
  <si>
    <t>JOHANN REMY</t>
  </si>
  <si>
    <t>jremy@bricodepot.com</t>
  </si>
  <si>
    <t>ARNAUD DURUPT</t>
  </si>
  <si>
    <t>adurupt@bricodepot.com</t>
  </si>
  <si>
    <t>JEAN MARC HILL</t>
  </si>
  <si>
    <t>jhill@bricodepot.com</t>
  </si>
  <si>
    <t>CELINE  CARDINE</t>
  </si>
  <si>
    <t>ccardine@bricodepot.com</t>
  </si>
  <si>
    <t>CELINE CARDINE</t>
  </si>
  <si>
    <t>CATHERINE FLAMENT</t>
  </si>
  <si>
    <t>cflament@bricodepot.com</t>
  </si>
  <si>
    <t>ZAC Des Terres St Jean</t>
  </si>
  <si>
    <t>88000 Epinal</t>
  </si>
  <si>
    <t>A l'entrée du dépôt sous le auvent.</t>
  </si>
  <si>
    <t>FIMACO 115353</t>
  </si>
  <si>
    <t>IP600475</t>
  </si>
  <si>
    <t>FR7630004023230001099457978</t>
  </si>
  <si>
    <t>NUrK469</t>
  </si>
  <si>
    <t>FORBACH</t>
  </si>
  <si>
    <t>OLIVIER HORNOY</t>
  </si>
  <si>
    <t>ohornoy@bricodepot.com</t>
  </si>
  <si>
    <t>EMILE MATHY</t>
  </si>
  <si>
    <t>emathy@bricodepot.com</t>
  </si>
  <si>
    <t>ARNAUD KREMER</t>
  </si>
  <si>
    <t>akremer@bricodepot.com</t>
  </si>
  <si>
    <t>FREDERIC MEYER</t>
  </si>
  <si>
    <t>fmeyer@bricodepot.com</t>
  </si>
  <si>
    <t>JEAN EMERIC GEROME</t>
  </si>
  <si>
    <t>jgerome@bricodepot.com</t>
  </si>
  <si>
    <t>HANANE NEGAGZA</t>
  </si>
  <si>
    <t>hnegagza@bricodepot.com</t>
  </si>
  <si>
    <t>ZI Carrefour de l'Europe Lieu dit Langgraben</t>
  </si>
  <si>
    <t>57600 Forbach</t>
  </si>
  <si>
    <t>2 PDA MC 70</t>
  </si>
  <si>
    <t>Elements de cuisines, menuiserie, élements de SdB</t>
  </si>
  <si>
    <t>LES SABLIERES DE LA MEURTHE 119150</t>
  </si>
  <si>
    <t>IP600476</t>
  </si>
  <si>
    <t>FR7630004023230001044740278</t>
  </si>
  <si>
    <t>VjCz389</t>
  </si>
  <si>
    <t>HAGUENAU (Schweighouse sur Moder)</t>
  </si>
  <si>
    <t>SEBASTIEN CASADESUS</t>
  </si>
  <si>
    <t>scasadesus@bricodepot.com</t>
  </si>
  <si>
    <t>ARNAUD LEFRANCOIS</t>
  </si>
  <si>
    <t>alefrancois@bricodepot.com</t>
  </si>
  <si>
    <t>ARTHUR SCHALL</t>
  </si>
  <si>
    <t>aschall@bricodepot.com</t>
  </si>
  <si>
    <t>JOEL  KLEINCLAUS</t>
  </si>
  <si>
    <t>jkleinclaus@bricodepot.com</t>
  </si>
  <si>
    <t>SEBASTIEN METZ</t>
  </si>
  <si>
    <t>smetz@bricodepot.com</t>
  </si>
  <si>
    <t>FANNY TARALL</t>
  </si>
  <si>
    <t>ftarall@bricodepot.com</t>
  </si>
  <si>
    <t>ISABELLE DEBES</t>
  </si>
  <si>
    <t>idebes@bricodepot.com</t>
  </si>
  <si>
    <t>ZI Secteur Sablière CS 50313 3 rue de la Sablière</t>
  </si>
  <si>
    <t>67590 Schweighouse Sur Moder</t>
  </si>
  <si>
    <t>ext et int menuiserie</t>
  </si>
  <si>
    <t>1 Tentative par le toit</t>
  </si>
  <si>
    <t>GRAVIERES D'ALSACE 116015</t>
  </si>
  <si>
    <t>IP600478</t>
  </si>
  <si>
    <t>FR7630004023230001078661178</t>
  </si>
  <si>
    <t>cQkZ765</t>
  </si>
  <si>
    <t>LONGWY</t>
  </si>
  <si>
    <t>SONIA PORCU</t>
  </si>
  <si>
    <t>sporcu@bricodepot.com</t>
  </si>
  <si>
    <t>BRUNO TARI</t>
  </si>
  <si>
    <t>btari@bricodepot.com</t>
  </si>
  <si>
    <t>P.EMMANUEL CLEMENT</t>
  </si>
  <si>
    <t>pclement@bricodepot.com</t>
  </si>
  <si>
    <t>SAMI GASMALLAH</t>
  </si>
  <si>
    <t>sgasmallah@bricodepot.com</t>
  </si>
  <si>
    <t>MARIE PIERRE OLIVIERI</t>
  </si>
  <si>
    <t>olivieri@bricodepot.com</t>
  </si>
  <si>
    <t>CARINE WEBER</t>
  </si>
  <si>
    <t>cweber@bricodepot.com</t>
  </si>
  <si>
    <t>RD 618 Route de Longwy</t>
  </si>
  <si>
    <t>54720 Lexy</t>
  </si>
  <si>
    <t>Cuisine,kitchenette, SDB, Douche, Menuiserie</t>
  </si>
  <si>
    <t>IP600479</t>
  </si>
  <si>
    <t>FR7630004023230001166349178</t>
  </si>
  <si>
    <t>UPDf337</t>
  </si>
  <si>
    <t>METZ (Borny)</t>
  </si>
  <si>
    <t>ANNE  FOUREL</t>
  </si>
  <si>
    <t>afourel@bricodepot.com</t>
  </si>
  <si>
    <t>ALEXANDRE JACQUINET</t>
  </si>
  <si>
    <t>ajacquinet@bricodepot.com</t>
  </si>
  <si>
    <t>SANDRINE MALFILATRE</t>
  </si>
  <si>
    <t>smalfilatre@bricodepot.com</t>
  </si>
  <si>
    <t>MATHIEU JOSSERAND</t>
  </si>
  <si>
    <t>mjosserand@bricodepot.com</t>
  </si>
  <si>
    <t>NICOLAS RISSE</t>
  </si>
  <si>
    <t>nrisse@bricodepot.com</t>
  </si>
  <si>
    <t>CEDRIC SCHNEIDER</t>
  </si>
  <si>
    <t>NADEGE VAUTRIN</t>
  </si>
  <si>
    <t>nvautrin@bricodepot.com</t>
  </si>
  <si>
    <t>NATHALIE VILLEREY</t>
  </si>
  <si>
    <t>nvillerey@bricodepot.com</t>
  </si>
  <si>
    <t>Actipôle Borny. 28 Rue des Potiers d'Etain</t>
  </si>
  <si>
    <t>57070 Metz Borny</t>
  </si>
  <si>
    <t>23 Ans 6 Mois</t>
  </si>
  <si>
    <t>REVITALISATION 2012</t>
  </si>
  <si>
    <t>IP600480</t>
  </si>
  <si>
    <t>FR7630004023230001044633578</t>
  </si>
  <si>
    <t>XSjL690</t>
  </si>
  <si>
    <t>MULHOUSE (Morschvillers Le Bas)</t>
  </si>
  <si>
    <t>PAUL MARCONI</t>
  </si>
  <si>
    <t>pmarconi@bricodepot.com</t>
  </si>
  <si>
    <t>VIRGINIE ALBISSER</t>
  </si>
  <si>
    <t>valbisser@bricodepot.com</t>
  </si>
  <si>
    <t>ANAIS NARDIN</t>
  </si>
  <si>
    <t>anardin@bricodepot.com</t>
  </si>
  <si>
    <t>PATRICE MULLER</t>
  </si>
  <si>
    <t>pmuller@bricodepot.com</t>
  </si>
  <si>
    <t>PASCAL  AUBRY</t>
  </si>
  <si>
    <t>paubry@bricodepot.com</t>
  </si>
  <si>
    <t>MIKAEL  BRUNET</t>
  </si>
  <si>
    <t>mbrunet@bricodepot.com</t>
  </si>
  <si>
    <t>LAURENCE  BAUDRY</t>
  </si>
  <si>
    <t>lbaudry@bricodepot.com</t>
  </si>
  <si>
    <t>VIRGINIE JENNY</t>
  </si>
  <si>
    <t>vjenny@bricodepot.com</t>
  </si>
  <si>
    <t>4 Rue Robert Schuman</t>
  </si>
  <si>
    <t>68790 Morschvillers Le Bas</t>
  </si>
  <si>
    <t>Gnb Partiel</t>
  </si>
  <si>
    <t>DTM</t>
  </si>
  <si>
    <t>MILLIUM DTM II 120/80</t>
  </si>
  <si>
    <t>IP600422</t>
  </si>
  <si>
    <t>FR7630004023230001045002178</t>
  </si>
  <si>
    <t>OaQt887</t>
  </si>
  <si>
    <t>NANCY (Essey Les Nancy)</t>
  </si>
  <si>
    <t>FRANCK RAFFIN</t>
  </si>
  <si>
    <t>fraffin@bricodepot.com</t>
  </si>
  <si>
    <t>PHILIPPE LOISEL</t>
  </si>
  <si>
    <t>ploisel@bricodepot.com</t>
  </si>
  <si>
    <t>Sécu 2 Dépôts</t>
  </si>
  <si>
    <t>ERIC MAIRE</t>
  </si>
  <si>
    <t>emaire@bricodepot.com</t>
  </si>
  <si>
    <t>SOPHIE HACKLINGER</t>
  </si>
  <si>
    <t>shacklinger@bricodepot.com</t>
  </si>
  <si>
    <t>CHRISTOPHE DUVOIS</t>
  </si>
  <si>
    <t>cduvois@bricodepot.com</t>
  </si>
  <si>
    <t>SANDRINE ROLLIN</t>
  </si>
  <si>
    <t>srollin@bricodepot.com</t>
  </si>
  <si>
    <t>ANGELIQUE MARY / VERONIQUE DUGNY</t>
  </si>
  <si>
    <t>amary@bricodepot.com / vdugny@bricodepot.com</t>
  </si>
  <si>
    <t>ANGELIQUE MARY</t>
  </si>
  <si>
    <t>amary@bricodepot.com</t>
  </si>
  <si>
    <t xml:space="preserve">ZAC de la Porte Verte 12 Rue de Tarbes </t>
  </si>
  <si>
    <t>54270 Essey Les Nancy</t>
  </si>
  <si>
    <t>Déjà en local</t>
  </si>
  <si>
    <t>IP600534</t>
  </si>
  <si>
    <t>FR7630004023230001044992478</t>
  </si>
  <si>
    <t xml:space="preserve"> wubg534</t>
  </si>
  <si>
    <t>SARREBOURG</t>
  </si>
  <si>
    <t>FABRICE MERSCH</t>
  </si>
  <si>
    <t>fmersch@bricodepot.com</t>
  </si>
  <si>
    <t>JOHNNY BECQUES</t>
  </si>
  <si>
    <t>jbecques@bricodepot.com</t>
  </si>
  <si>
    <t>DIDIER  JUPILLAT</t>
  </si>
  <si>
    <t>djupillat@bricodepot.com</t>
  </si>
  <si>
    <t>DIDIER JUPILLAT</t>
  </si>
  <si>
    <t>EVELYNE HAUCK</t>
  </si>
  <si>
    <t>ehauck@bricodepot.com</t>
  </si>
  <si>
    <t>CLAUDINE PATTOU</t>
  </si>
  <si>
    <t>cpattou@bricodepot.com</t>
  </si>
  <si>
    <t>ZA de la Bièvre. Route de Niderviller</t>
  </si>
  <si>
    <t>57400 Sarrebourg</t>
  </si>
  <si>
    <t>REPRISE MR BRICOLAGE</t>
  </si>
  <si>
    <t>Cuisine, SdB, douche</t>
  </si>
  <si>
    <t>IP600535</t>
  </si>
  <si>
    <t>FR7630004023230001060066278</t>
  </si>
  <si>
    <t>kHPN175</t>
  </si>
  <si>
    <t>STRASBOURG (Geispolsheim)</t>
  </si>
  <si>
    <t>MATHIEU LIENHARDT</t>
  </si>
  <si>
    <t>mlienhardt@bricodepot.com</t>
  </si>
  <si>
    <t>PHILIPPE PESSAROSSI</t>
  </si>
  <si>
    <t>ppessarossi@bricodepot.com</t>
  </si>
  <si>
    <t>ppessorossi@bricodepot.com</t>
  </si>
  <si>
    <t>KELLY JOLY</t>
  </si>
  <si>
    <t>kjoly@bricodepot.com</t>
  </si>
  <si>
    <t>HERVE ROHRBACHER</t>
  </si>
  <si>
    <t>hrohrbacher@bricodepot.com</t>
  </si>
  <si>
    <t>NICOLAS URBAN</t>
  </si>
  <si>
    <t>nurban@bricodepot.com</t>
  </si>
  <si>
    <t>HANIFA ZAAZAA</t>
  </si>
  <si>
    <t>hzaazaa@bricodepot.com</t>
  </si>
  <si>
    <t>FATIHA DISS</t>
  </si>
  <si>
    <t>fdiss@bricodepot.com</t>
  </si>
  <si>
    <t>6 Rue du Commerce</t>
  </si>
  <si>
    <t>67118 Geispolsheim</t>
  </si>
  <si>
    <t>IP600536</t>
  </si>
  <si>
    <t>FR7630004023230001078641778</t>
  </si>
  <si>
    <t>rhVs713</t>
  </si>
  <si>
    <t>COMPIEGNE (Thourotte)</t>
  </si>
  <si>
    <t>HAUTS DE FRANCE</t>
  </si>
  <si>
    <t>Patrick PAPOT</t>
  </si>
  <si>
    <t>ANTHONY ELOY</t>
  </si>
  <si>
    <t>aeloy@bricodepot.com</t>
  </si>
  <si>
    <t>JULIE DUMAS</t>
  </si>
  <si>
    <t>jdumas@bricodepot.com</t>
  </si>
  <si>
    <t>BRUNO GAUNY</t>
  </si>
  <si>
    <t>bgauny@bricodepot.com</t>
  </si>
  <si>
    <t>ALI HAMADOUCHE
PEPINIERE</t>
  </si>
  <si>
    <t>GUILLAUME PELEMAN</t>
  </si>
  <si>
    <t>gpeleman@bricodepot.com</t>
  </si>
  <si>
    <t>CHRISTOPHE VATIN</t>
  </si>
  <si>
    <t>cvatin@bricodepot.com</t>
  </si>
  <si>
    <t>ALEXANDRE FONGUEUSE</t>
  </si>
  <si>
    <t>afongueuse@bricodepot.com</t>
  </si>
  <si>
    <t>AGNES MOREIRA</t>
  </si>
  <si>
    <t>amoreira@bricodepot.com</t>
  </si>
  <si>
    <t>ANYS  SAIDI</t>
  </si>
  <si>
    <t>asaidi2@bricodepot.com</t>
  </si>
  <si>
    <t>ELODIE THIBOT</t>
  </si>
  <si>
    <t>CORINNE BLANCHARD</t>
  </si>
  <si>
    <t>ZAC du gros Grelot</t>
  </si>
  <si>
    <t>60150 Thourotte</t>
  </si>
  <si>
    <t>1102 PTF NORD Henin</t>
  </si>
  <si>
    <t>VD061</t>
  </si>
  <si>
    <t>1102- Hénin B.</t>
  </si>
  <si>
    <t>4 Tentative</t>
  </si>
  <si>
    <t>PROJET 2020</t>
  </si>
  <si>
    <t>Sté CARRIERE DE DOMPIERRE  112140</t>
  </si>
  <si>
    <t>IP600539</t>
  </si>
  <si>
    <t>FR7630004023230001084393878</t>
  </si>
  <si>
    <t>MWsm808</t>
  </si>
  <si>
    <t>GARGES</t>
  </si>
  <si>
    <t>MARC BULTEL</t>
  </si>
  <si>
    <t>mbultel@bricodepot.com</t>
  </si>
  <si>
    <t>MADRANE RHARSALLA</t>
  </si>
  <si>
    <t>mrharsalla@bricodepot.com</t>
  </si>
  <si>
    <t>ALI  MILOUD</t>
  </si>
  <si>
    <t>AMiloud@bricodepot.com</t>
  </si>
  <si>
    <t>JULIEN LEITE</t>
  </si>
  <si>
    <t>jleite@bricodepot.com</t>
  </si>
  <si>
    <t>ROMUALD ANCEL</t>
  </si>
  <si>
    <t>rancel@bricodepot.com</t>
  </si>
  <si>
    <t>YAKOUBA KONE</t>
  </si>
  <si>
    <t>ykone@bricodepot.com</t>
  </si>
  <si>
    <t>GRAZIELLA DUMOUTIER</t>
  </si>
  <si>
    <t>gdumoutier@bricodepot.com</t>
  </si>
  <si>
    <t>YASMINA SALIHEDDINE</t>
  </si>
  <si>
    <t>YSaliheddine@bricodepot.com</t>
  </si>
  <si>
    <t>CC du Pont de Pierre. Avenue de Stalingrad</t>
  </si>
  <si>
    <t>95140 Garges Les Gonesse</t>
  </si>
  <si>
    <t>06:30 à 19:30</t>
  </si>
  <si>
    <t>TEB 2014</t>
  </si>
  <si>
    <t>TELES</t>
  </si>
  <si>
    <t>SdB douche Aménagement de placards</t>
  </si>
  <si>
    <t>IP600541</t>
  </si>
  <si>
    <t>FR7630004023230001044866378</t>
  </si>
  <si>
    <t xml:space="preserve"> JDMs108</t>
  </si>
  <si>
    <t>NANTERRE</t>
  </si>
  <si>
    <t>FREDERIC MERRE LEVEQUE</t>
  </si>
  <si>
    <t>fmerreleveque@bricodepot.com</t>
  </si>
  <si>
    <t>DAVID BROQUAIRE</t>
  </si>
  <si>
    <t>dbroquaire@bricodepot.com</t>
  </si>
  <si>
    <t>GILLES CAILLOT</t>
  </si>
  <si>
    <t>gcaillot@bricodepot.com</t>
  </si>
  <si>
    <t>PATRICE VIOT</t>
  </si>
  <si>
    <t>pviot@bricodepot.com</t>
  </si>
  <si>
    <t>FATIMA FANDI</t>
  </si>
  <si>
    <t>ffandi@bricodepot.com</t>
  </si>
  <si>
    <t>C Cial de l'hôtel de ville 61 Av. Joliot Curie</t>
  </si>
  <si>
    <t>92000 Nanterre</t>
  </si>
  <si>
    <t>10H à 18H</t>
  </si>
  <si>
    <t>A BIS</t>
  </si>
  <si>
    <t>MILLIUM 3 120 DFX  Mxb</t>
  </si>
  <si>
    <t>Inconnu</t>
  </si>
  <si>
    <t>IP600542</t>
  </si>
  <si>
    <t>FR7630004023230001142147678</t>
  </si>
  <si>
    <t>yIag273</t>
  </si>
  <si>
    <t>SARTROUVILLE</t>
  </si>
  <si>
    <t>CLAUDE UNTEREINER</t>
  </si>
  <si>
    <t>cuntereiner@bricodepot.com</t>
  </si>
  <si>
    <t>OLIVIER DOUTRELEAU</t>
  </si>
  <si>
    <t>odoutreleau@bricodepot.com</t>
  </si>
  <si>
    <t>AKIM OURIAGHI</t>
  </si>
  <si>
    <t>aouriaghi@bricodepot.com</t>
  </si>
  <si>
    <t>LIONEL KOOTSTRA</t>
  </si>
  <si>
    <t>lkootstra@bricodepot.com</t>
  </si>
  <si>
    <t>JIMMY BOHLINGER</t>
  </si>
  <si>
    <t>jbohlinger@bricodepot.com</t>
  </si>
  <si>
    <t>AURELIE  DUPRE</t>
  </si>
  <si>
    <t>adupre@bricodepot.com</t>
  </si>
  <si>
    <t>MAGALIE PATUROT</t>
  </si>
  <si>
    <t>mpaturot@bricodepot.com</t>
  </si>
  <si>
    <t>SONIA JOUANNO</t>
  </si>
  <si>
    <t>sjouanno@bricodepot.com</t>
  </si>
  <si>
    <t>RD 392. Route de Pontoise</t>
  </si>
  <si>
    <t>78500 Sartrouville</t>
  </si>
  <si>
    <t>MILLIUM DTM III 120/80</t>
  </si>
  <si>
    <t xml:space="preserve">Cuisine, amenagement de placard, escalier, parois de douche, cabine de douche, meubles SdB </t>
  </si>
  <si>
    <t>IP600543</t>
  </si>
  <si>
    <t>FR7630004023230001145581478</t>
  </si>
  <si>
    <t>AlXU662</t>
  </si>
  <si>
    <t>ST WITZ</t>
  </si>
  <si>
    <t>JEAN-PAUL TEETEN</t>
  </si>
  <si>
    <t>jteeten@bricodepot.com</t>
  </si>
  <si>
    <t>MOCTAR NDIAYE</t>
  </si>
  <si>
    <t>mndiaye@bricodepot.com</t>
  </si>
  <si>
    <t>STEPHANIE FRAU</t>
  </si>
  <si>
    <t>sfrau@bricodepot.com</t>
  </si>
  <si>
    <t>STEPHANE FRAU</t>
  </si>
  <si>
    <t>NABIL BOUHADJEB</t>
  </si>
  <si>
    <t>nbouhadjeb@bricodepot.com</t>
  </si>
  <si>
    <t>CHRISTOPHE CARRE</t>
  </si>
  <si>
    <t>ccarre@bricodepot.com</t>
  </si>
  <si>
    <t>MAXIME NEGREVERGNE</t>
  </si>
  <si>
    <t>mnegrevergne@bricodepot.com</t>
  </si>
  <si>
    <t>HALIMA  EBHIL</t>
  </si>
  <si>
    <t>ebhil@bricodepot.com</t>
  </si>
  <si>
    <t>THERESINA BRA</t>
  </si>
  <si>
    <t>tbra@bricodepot.com</t>
  </si>
  <si>
    <t>13 rue de la ferme Saint Ladre</t>
  </si>
  <si>
    <t>95470 St Witz</t>
  </si>
  <si>
    <t>18 Ans 4 Mois</t>
  </si>
  <si>
    <t>3 Tentative par le toit</t>
  </si>
  <si>
    <t>Projet</t>
  </si>
  <si>
    <t>PREVU 1T20</t>
  </si>
  <si>
    <t>ARRET VENTE SABLE EN GODET</t>
  </si>
  <si>
    <t>IP600544</t>
  </si>
  <si>
    <t>FR7630004023230001045050678</t>
  </si>
  <si>
    <t>wTna449</t>
  </si>
  <si>
    <t>VAIRES SUR MARNE</t>
  </si>
  <si>
    <t>FRANCK DELANGE</t>
  </si>
  <si>
    <t>fdelange@bricodepot.com</t>
  </si>
  <si>
    <t>ABDELAZIZ MARZOUK</t>
  </si>
  <si>
    <t>amarzouk@bricodepot.com</t>
  </si>
  <si>
    <t>PHILIPPE BURGUN / LAKHAL MOULKAF</t>
  </si>
  <si>
    <t>pburgun@bricodepot.com / lmoulkaf@bricodepot.com</t>
  </si>
  <si>
    <t>NICOLAS DESAINTAUBIN</t>
  </si>
  <si>
    <t>ndesaintaubin@bricodepot.com</t>
  </si>
  <si>
    <t>EL HADJ OULOUS</t>
  </si>
  <si>
    <t>eoulous@bricodepot.com</t>
  </si>
  <si>
    <t>WILLIAM BOUVART</t>
  </si>
  <si>
    <t>wbouvart@bricodepot.com</t>
  </si>
  <si>
    <t>LUCIE PORTELA</t>
  </si>
  <si>
    <t>lportela@bricodepot.com</t>
  </si>
  <si>
    <t>NABILA BOUAMRA</t>
  </si>
  <si>
    <t>nbouamra@bricodepot.com</t>
  </si>
  <si>
    <t>Chemin du Corps de Garde</t>
  </si>
  <si>
    <t>77360 Vaires Sur Marne</t>
  </si>
  <si>
    <t>14 Ans 11 Mois</t>
  </si>
  <si>
    <t>REPRISE SYNTHIMAT</t>
  </si>
  <si>
    <t>Centre Opérationnel de Télésurveillance</t>
  </si>
  <si>
    <t>IP600545</t>
  </si>
  <si>
    <t>FR7630004023230001070610178</t>
  </si>
  <si>
    <t>uEnB771</t>
  </si>
  <si>
    <t>VILLETANEUSE</t>
  </si>
  <si>
    <t>DJAMEL OULD SLIMANE</t>
  </si>
  <si>
    <t>douldslimane@bricodepot.com</t>
  </si>
  <si>
    <t>MOURAD DAGHAR</t>
  </si>
  <si>
    <t>mdaghar@bricodepot.com</t>
  </si>
  <si>
    <t>VERONIQUE TANNE</t>
  </si>
  <si>
    <t>vtanne@bricodepot.com</t>
  </si>
  <si>
    <t>SOFIANE BENAKILA</t>
  </si>
  <si>
    <t>sbenakila@bricodepot.com</t>
  </si>
  <si>
    <t>MOHAMMADINE BOUZIANI</t>
  </si>
  <si>
    <t>mbouziani@bricodepot.com</t>
  </si>
  <si>
    <t>DHAMEL OULD SLIMANE</t>
  </si>
  <si>
    <t>YORO DIAKITE</t>
  </si>
  <si>
    <t>ydiakite@bricodepot.com</t>
  </si>
  <si>
    <t>CHARRAZED  BOUHAFS</t>
  </si>
  <si>
    <t>cbouhafs@bricodepot.com</t>
  </si>
  <si>
    <t>ROSE MAY LENCLUME</t>
  </si>
  <si>
    <t>rlenclume@bricodepot.com</t>
  </si>
  <si>
    <t>4/6 Route de Saint Leu</t>
  </si>
  <si>
    <t>93430 Villetaneuse</t>
  </si>
  <si>
    <t>en projet</t>
  </si>
  <si>
    <t>IP600546</t>
  </si>
  <si>
    <t>FR7630004023230001141992478</t>
  </si>
  <si>
    <t>UspU942</t>
  </si>
  <si>
    <t>FLEURY</t>
  </si>
  <si>
    <t>SEBASTIEN GUIBERT</t>
  </si>
  <si>
    <t>sguibert@bricodepot.com</t>
  </si>
  <si>
    <t>HERVE PADONOU</t>
  </si>
  <si>
    <t>hpadonou@bricodepot.com</t>
  </si>
  <si>
    <t>MARIO BARBOSA</t>
  </si>
  <si>
    <t>mbarbosa@bricodepot.com</t>
  </si>
  <si>
    <t>ALEXY VANHOESERLANDE</t>
  </si>
  <si>
    <t>avanhoeserlande@bricodepot.com</t>
  </si>
  <si>
    <t>SARAH BEHLOULI</t>
  </si>
  <si>
    <t>sbehlouli@bricodepot.com</t>
  </si>
  <si>
    <t>ALICIA ANDRE</t>
  </si>
  <si>
    <t>aandre@bricodepot.com</t>
  </si>
  <si>
    <t>SABRINA SALGADO</t>
  </si>
  <si>
    <t>ssalgado@bricodepot.com</t>
  </si>
  <si>
    <t>MAUD SAUZEAU</t>
  </si>
  <si>
    <t>msauzeau@bricodepot.com</t>
  </si>
  <si>
    <t>ZI des Ciroliers. Rue Clément Ader</t>
  </si>
  <si>
    <t>91700 Fleury Mérogis</t>
  </si>
  <si>
    <t>15 Ans 0 Mois</t>
  </si>
  <si>
    <t>GOLD 20 ENDFX 240 Store + CASHINFINITYTM CI-100 (de Flins)</t>
  </si>
  <si>
    <t>RELOOKING LIGHT EXT 2021</t>
  </si>
  <si>
    <t xml:space="preserve">SdB, paroi darwin,cuisine lancement le  09/03/20 </t>
  </si>
  <si>
    <t>EN COURS DE SUPPRESSION</t>
  </si>
  <si>
    <t>IP600550</t>
  </si>
  <si>
    <t>FR7630004023230001069339478</t>
  </si>
  <si>
    <t>sjkI962</t>
  </si>
  <si>
    <t>MELUN (Vaux le Pénil)</t>
  </si>
  <si>
    <t>AHMED NESSATI</t>
  </si>
  <si>
    <t>anessati@bricodepot.com</t>
  </si>
  <si>
    <t>LUDOVIC AKNIN</t>
  </si>
  <si>
    <t>laknin@bricodepot.com</t>
  </si>
  <si>
    <t>SABRINA MALFILATRE</t>
  </si>
  <si>
    <t>smalfilatre2@bricodepot.com</t>
  </si>
  <si>
    <t>NORDINE BOUMEDIENNE</t>
  </si>
  <si>
    <t>nboumedienne@bricodepot.com</t>
  </si>
  <si>
    <t>BRUNO BOSSEUR</t>
  </si>
  <si>
    <t>bbosseur@bricodepot.com</t>
  </si>
  <si>
    <t>JOHAN BERNABE</t>
  </si>
  <si>
    <t>jbernabe@bricodepot.com</t>
  </si>
  <si>
    <t>FILIPA CERDEIRA</t>
  </si>
  <si>
    <t>fcerdeira@bricodepot.com</t>
  </si>
  <si>
    <t>MARIA DE SOUSA</t>
  </si>
  <si>
    <t>mdesousa@bricodepot.com</t>
  </si>
  <si>
    <t>ZAC du Tertre de Cherisy. Route de Nangis</t>
  </si>
  <si>
    <t>77000 Vaux le Pénil</t>
  </si>
  <si>
    <t>16 Ans 2 Mois</t>
  </si>
  <si>
    <t>RELOOKING EN COURS 2022</t>
  </si>
  <si>
    <t xml:space="preserve">Meubles SdB, paroie &amp; cabine de douche, cuisine </t>
  </si>
  <si>
    <t>IP600555</t>
  </si>
  <si>
    <t>FR7630004023230001059814078</t>
  </si>
  <si>
    <t>rWbi833</t>
  </si>
  <si>
    <t>BALLAINVILLIERS</t>
  </si>
  <si>
    <t>FLAVIEN ARCHAMBAULT</t>
  </si>
  <si>
    <t>farchambault@bricodepot.com</t>
  </si>
  <si>
    <t>STEPHANE HERBAULT</t>
  </si>
  <si>
    <t>sherbaut@bricodepot.com</t>
  </si>
  <si>
    <t>REDOUANE LAMRINI</t>
  </si>
  <si>
    <t>rlamrini@bricodepot.com</t>
  </si>
  <si>
    <t>YANNICK MARTIN</t>
  </si>
  <si>
    <t>ymartin@bricodepot.com</t>
  </si>
  <si>
    <t>CHRISTOPHE CALLAOU</t>
  </si>
  <si>
    <t>ccallaou@bricodepot.com</t>
  </si>
  <si>
    <t>SABRINA  CHAILLOT FAVRE</t>
  </si>
  <si>
    <t>schaillot@bricodepot.com</t>
  </si>
  <si>
    <t>DALILA KERROUM</t>
  </si>
  <si>
    <t>dkerroum@bricodepot.com</t>
  </si>
  <si>
    <t>Les Berges du Rouillon Route de Chasse N20</t>
  </si>
  <si>
    <t>91160 Ballainvilliers</t>
  </si>
  <si>
    <t>Non</t>
  </si>
  <si>
    <t>REPRISE CASTORAMA</t>
  </si>
  <si>
    <t>propriétaire</t>
  </si>
  <si>
    <t xml:space="preserve">4000 M² </t>
  </si>
  <si>
    <t>ACRELEC/OPEN BRAVO</t>
  </si>
  <si>
    <t>FR7630004023230001192548878</t>
  </si>
  <si>
    <t>7f38d54</t>
  </si>
  <si>
    <t>PONTAULT COMBAULT</t>
  </si>
  <si>
    <t>YVAN MAHIEU</t>
  </si>
  <si>
    <t>ymahieu@bricodepot.com</t>
  </si>
  <si>
    <t>LAMINE NABE</t>
  </si>
  <si>
    <t>lnabe@bricodepot.com</t>
  </si>
  <si>
    <t>DAVID MELOT</t>
  </si>
  <si>
    <t>dmelot@bricodepot.com</t>
  </si>
  <si>
    <t>AMADOU SALL</t>
  </si>
  <si>
    <t>asall@bricodepot.com</t>
  </si>
  <si>
    <t>GREGORY MORTIER</t>
  </si>
  <si>
    <t>fmortier@bricodepot.com</t>
  </si>
  <si>
    <t>ANTOINE  VENDEVILLE</t>
  </si>
  <si>
    <t>avendeville@bricodepot.com</t>
  </si>
  <si>
    <t>DOMINIQUE COLOMBEL</t>
  </si>
  <si>
    <t>dcolombel@bricodepot.com</t>
  </si>
  <si>
    <t>VANESSA AMRANI</t>
  </si>
  <si>
    <t>vamrani@bricodepot.com</t>
  </si>
  <si>
    <t>ZAC Pontillault rue de Bruxelles</t>
  </si>
  <si>
    <t>77340 Pontault-Combault</t>
  </si>
  <si>
    <t>FR7630004023230001192587678</t>
  </si>
  <si>
    <t>4d5c6e9</t>
  </si>
  <si>
    <t>BAILLEUL</t>
  </si>
  <si>
    <t>Nord</t>
  </si>
  <si>
    <t>Olivier FRUCHART</t>
  </si>
  <si>
    <t>SEBASTIEN ZIMMERMANN</t>
  </si>
  <si>
    <t>szimmermann@bricodepot.com</t>
  </si>
  <si>
    <t>BERNARD QUEHEN</t>
  </si>
  <si>
    <t>bquehen@bricodepot.com</t>
  </si>
  <si>
    <t>DENIS LOTIN</t>
  </si>
  <si>
    <t>dlotin@bricodepot.com</t>
  </si>
  <si>
    <t>NICOLAS DOURLENS</t>
  </si>
  <si>
    <t>ndourlens@bricodepot.com</t>
  </si>
  <si>
    <t>KEVIN FLAMME</t>
  </si>
  <si>
    <t>kflamme@bricodepot.com</t>
  </si>
  <si>
    <t>KARINE DESGARDINS</t>
  </si>
  <si>
    <t>kdesgardins@bricodepot.com</t>
  </si>
  <si>
    <t>FREDERIQUE GTARI</t>
  </si>
  <si>
    <t>fgtari@bricodepot.com</t>
  </si>
  <si>
    <t>PIERRE HENRI BROUSSE</t>
  </si>
  <si>
    <t>253 Rue de Lille</t>
  </si>
  <si>
    <t>59270 Bailleul</t>
  </si>
  <si>
    <t>Temporaire</t>
  </si>
  <si>
    <t>REPRISE GEDIMAT</t>
  </si>
  <si>
    <t>coffre</t>
  </si>
  <si>
    <t>Gruson</t>
  </si>
  <si>
    <t>NEXECUR PROTECTION EX CTCAM</t>
  </si>
  <si>
    <t>NON Gruson TITAN</t>
  </si>
  <si>
    <t>SDB/Parois Douche/Menuiserie/Dressing</t>
  </si>
  <si>
    <t>IP600557</t>
  </si>
  <si>
    <t>FR7630004023230001044982778</t>
  </si>
  <si>
    <t>sQZw868</t>
  </si>
  <si>
    <t>BETHUNE</t>
  </si>
  <si>
    <t>FABRICE BONIEC</t>
  </si>
  <si>
    <t>fboniec@bricodepot.com</t>
  </si>
  <si>
    <t>ANNE TURPIN</t>
  </si>
  <si>
    <t>aturpin@bricodepot.com</t>
  </si>
  <si>
    <t>JULIE CHARLET</t>
  </si>
  <si>
    <t>jcharlet@bricodepot.com</t>
  </si>
  <si>
    <t>FABRICE BIONEC</t>
  </si>
  <si>
    <t>MARC ANTOINE NORMAND</t>
  </si>
  <si>
    <t>mnormand@bricodepot.com</t>
  </si>
  <si>
    <t>GERARD MONTUELLE</t>
  </si>
  <si>
    <t>gmontuelle@bricodepot.com</t>
  </si>
  <si>
    <t>CARINE STASZEWSKI</t>
  </si>
  <si>
    <t>cstaszewski@bricodepot.com</t>
  </si>
  <si>
    <t>GHISLAINE RESNIK</t>
  </si>
  <si>
    <t>gresnik@bricodepot.com</t>
  </si>
  <si>
    <t>ZAC de la Rotonde</t>
  </si>
  <si>
    <t>62400 Béthune</t>
  </si>
  <si>
    <t>en cours</t>
  </si>
  <si>
    <t>REMODELING/RELOOKING FULL EN COURS 2022</t>
  </si>
  <si>
    <t>OSCAR SAVREUX 123050</t>
  </si>
  <si>
    <t>IP600558</t>
  </si>
  <si>
    <t>FR7630004023230001064819278</t>
  </si>
  <si>
    <t>OCQJ338</t>
  </si>
  <si>
    <t>BOULOGNE (St Martin de Boulogne)</t>
  </si>
  <si>
    <t>FRANCK LEMAIRE</t>
  </si>
  <si>
    <t>flemaire@bricodepot.com</t>
  </si>
  <si>
    <t>THOMAS PLUTAU</t>
  </si>
  <si>
    <t>tplutau@bricodepot.com</t>
  </si>
  <si>
    <t>CHRISTELLE GADEYNE</t>
  </si>
  <si>
    <t>cgadeyne@bricodepot.com</t>
  </si>
  <si>
    <t>MARYLINE BAYARD</t>
  </si>
  <si>
    <t>mbayard@bricodepot.com</t>
  </si>
  <si>
    <t>ZAC du Mont Joie</t>
  </si>
  <si>
    <t>62200 St Martin de Boulogne</t>
  </si>
  <si>
    <t>CD 150</t>
  </si>
  <si>
    <t>NAE</t>
  </si>
  <si>
    <t>CRITEL LILLE</t>
  </si>
  <si>
    <t>Pas de contrôle</t>
  </si>
  <si>
    <t>Sanitaire, menuiserie, stratifié bois panneaux</t>
  </si>
  <si>
    <t>GSM NORD 116801</t>
  </si>
  <si>
    <t>IP600559</t>
  </si>
  <si>
    <t>FR7630004023230001055885578</t>
  </si>
  <si>
    <t xml:space="preserve"> OLXJ435</t>
  </si>
  <si>
    <t>BRUAY</t>
  </si>
  <si>
    <t>LAURENT BRUNET</t>
  </si>
  <si>
    <t>lbrunet@bricodepot.com</t>
  </si>
  <si>
    <t>MARC BEHRENDT</t>
  </si>
  <si>
    <t>mbehrendt@bricodepot.com</t>
  </si>
  <si>
    <t>JULIEN BOUCHEZ</t>
  </si>
  <si>
    <t>jbouchez@bricodepot.com</t>
  </si>
  <si>
    <t>ROMUALD DEBACQ</t>
  </si>
  <si>
    <t>rdebacq@bricodepot.com</t>
  </si>
  <si>
    <t>MAXIME ESTER</t>
  </si>
  <si>
    <t>mester@bricodepot.com</t>
  </si>
  <si>
    <t>CELINNE LELEU</t>
  </si>
  <si>
    <t>cleleu@bricodepot.com</t>
  </si>
  <si>
    <t>SEVERINE RISBETZ</t>
  </si>
  <si>
    <t>srisbetz@bricodepot.com</t>
  </si>
  <si>
    <t>Parc de la Porte Nord</t>
  </si>
  <si>
    <t>62700 Bruay la Buissiere</t>
  </si>
  <si>
    <t>Expositions un peu partout: arriere caisse + parking + surface de vente</t>
  </si>
  <si>
    <t>EN ATTENTE DE CREATION</t>
  </si>
  <si>
    <t>ATTENTE</t>
  </si>
  <si>
    <t>IP600560</t>
  </si>
  <si>
    <t>FR7630004023230001044973078</t>
  </si>
  <si>
    <t>QZwV523</t>
  </si>
  <si>
    <t>FÂCHES-THUMESNIL</t>
  </si>
  <si>
    <t>KEVIN VIVIER</t>
  </si>
  <si>
    <t>kvivier@bricodepot.com</t>
  </si>
  <si>
    <t>PATRICE TRICOT</t>
  </si>
  <si>
    <t>ptricot@bricodepot.com</t>
  </si>
  <si>
    <t>JEREMY LONNART</t>
  </si>
  <si>
    <t>jlonnart@bricodepot.com</t>
  </si>
  <si>
    <t>JEREMY DUFOUR</t>
  </si>
  <si>
    <t>jdufour@bricodepot.com</t>
  </si>
  <si>
    <t>LAURENT  LECHAT</t>
  </si>
  <si>
    <t>llechat@bricodpot.com</t>
  </si>
  <si>
    <t>LAURENT LECHAT</t>
  </si>
  <si>
    <t>FREDERIC VERFAILLIE</t>
  </si>
  <si>
    <t>fverfaillie@bricodepot.com</t>
  </si>
  <si>
    <t>MICHAEL CLABAUT</t>
  </si>
  <si>
    <t>mclabaut@bricodepot.com</t>
  </si>
  <si>
    <t>ARSENE POISSINGER</t>
  </si>
  <si>
    <t>apoissinger@bricodepot.com</t>
  </si>
  <si>
    <t>83 Rue du Maréchal Joffre</t>
  </si>
  <si>
    <t>59155 Faches-Thumesnil</t>
  </si>
  <si>
    <t>1 Tentative par la trappe</t>
  </si>
  <si>
    <t xml:space="preserve">Meubles SdB, douche, poeles. </t>
  </si>
  <si>
    <t>IP600562</t>
  </si>
  <si>
    <t>FR7630004023230001058155378</t>
  </si>
  <si>
    <t>XqPq143</t>
  </si>
  <si>
    <t>LIEVIN</t>
  </si>
  <si>
    <t>VANESSA QUENSIERE</t>
  </si>
  <si>
    <t>vquesniere@bricodepot.com</t>
  </si>
  <si>
    <t>WILLY HANQUEZ</t>
  </si>
  <si>
    <t>whanquez@bricodepot.com</t>
  </si>
  <si>
    <t>THOMAS VANINI</t>
  </si>
  <si>
    <t>tvanini@bricodepot.com</t>
  </si>
  <si>
    <t>VALENTIN  MANTJARIDIS</t>
  </si>
  <si>
    <t>vmantjaridis@bricodepot.com</t>
  </si>
  <si>
    <t>EVELYNE LARTAUD</t>
  </si>
  <si>
    <t>elartaud@bricodepot.com</t>
  </si>
  <si>
    <t>ANNE DUCROCQ</t>
  </si>
  <si>
    <t>aducrocq@bricodepot.com</t>
  </si>
  <si>
    <t>INDRICH LOBODA</t>
  </si>
  <si>
    <t>iloboda@bricodepot.com</t>
  </si>
  <si>
    <t>Bvd du Maréchal Leclerc</t>
  </si>
  <si>
    <t>62800 Liévin</t>
  </si>
  <si>
    <t>showroom en zone retrait marchandise</t>
  </si>
  <si>
    <t>ALERT Lyon</t>
  </si>
  <si>
    <t>SdB, douche, plan travail, menuiserie</t>
  </si>
  <si>
    <t>IP600563</t>
  </si>
  <si>
    <t>FR7630004023230001044526878</t>
  </si>
  <si>
    <t>LDbp576</t>
  </si>
  <si>
    <t>ROUBAIX (Leers)</t>
  </si>
  <si>
    <t>PASCAL DEMARECAUX</t>
  </si>
  <si>
    <t>pdemarecaux@bricodepot.com</t>
  </si>
  <si>
    <t>RODOLPHE VANDEWALLE</t>
  </si>
  <si>
    <t>rvandewalle@bricodepot.com</t>
  </si>
  <si>
    <t>ALEXANDRE SANNIER</t>
  </si>
  <si>
    <t>asannier@bricodepot.com</t>
  </si>
  <si>
    <t>MICHAEL SCHILD</t>
  </si>
  <si>
    <t>mschild@bricodepot.com</t>
  </si>
  <si>
    <t>DAVID DUFLOST</t>
  </si>
  <si>
    <t>dduflost@bricodepot.com</t>
  </si>
  <si>
    <t>LOIC DESSAUVAGE</t>
  </si>
  <si>
    <t>ldessauvage@bricodepot.com</t>
  </si>
  <si>
    <t>MOHAMED DRAOUI</t>
  </si>
  <si>
    <t>mdraoui@bricodepot.com</t>
  </si>
  <si>
    <t>NATHALIE MARTINACHE</t>
  </si>
  <si>
    <t>nmartinache@bricodepot.com</t>
  </si>
  <si>
    <t>30 Avenue de l'Europe</t>
  </si>
  <si>
    <t>59115 Leers</t>
  </si>
  <si>
    <t>coffre, accueil</t>
  </si>
  <si>
    <t>CASHINFINITYTM CI-100 + MILLIUM DTM II 120/80</t>
  </si>
  <si>
    <t xml:space="preserve">VIGIE VILLAGE </t>
  </si>
  <si>
    <t>IP600565</t>
  </si>
  <si>
    <t>FR7630004023230001064867778</t>
  </si>
  <si>
    <t>QtDo288</t>
  </si>
  <si>
    <t>TOURCOING</t>
  </si>
  <si>
    <t>STEPHANE CAMUS</t>
  </si>
  <si>
    <t>scamus@bricodepot.com</t>
  </si>
  <si>
    <t>GREGORY MOLTRASIO</t>
  </si>
  <si>
    <t>gmoltrasio@bricodepot.com</t>
  </si>
  <si>
    <t>ERIC DESCHEEMAEKER</t>
  </si>
  <si>
    <t>edescheemaeker@bricodepot.com</t>
  </si>
  <si>
    <t>MATHIEU ROUSSEL</t>
  </si>
  <si>
    <t>mroussel@bricodepot.com</t>
  </si>
  <si>
    <t>FREDERIC VERBEKE</t>
  </si>
  <si>
    <t>fverbeke@bricodepot.com</t>
  </si>
  <si>
    <t>GWENDOLINE DELAHAYE</t>
  </si>
  <si>
    <t>gdelahaye@bricodepot.com</t>
  </si>
  <si>
    <t>RACHELLE GAGNEUX</t>
  </si>
  <si>
    <t>rgagneux@bricodepot.com</t>
  </si>
  <si>
    <t>Chaussée Fernand Forest</t>
  </si>
  <si>
    <t>59200 Tourcoing</t>
  </si>
  <si>
    <t>MILLIUM DTM II 120/80  + GOLD 20 ENDFX 240 Store</t>
  </si>
  <si>
    <t>SdB, douche, paroi de douche</t>
  </si>
  <si>
    <t>IP600566</t>
  </si>
  <si>
    <t>FR7630004023230001044905178</t>
  </si>
  <si>
    <t>omNs470</t>
  </si>
  <si>
    <t>VALENCIENNES (Aulnoy)</t>
  </si>
  <si>
    <t>WILLIAM EDMOND</t>
  </si>
  <si>
    <t>wedmond@bricodepot.com</t>
  </si>
  <si>
    <t>CHRISTOPHE ZIEMNIAK</t>
  </si>
  <si>
    <t>cziemniak@bricodepot.com</t>
  </si>
  <si>
    <t>YVES ELOIR</t>
  </si>
  <si>
    <t>yeloir@bricodepot.com</t>
  </si>
  <si>
    <t>LUDOVIC SAISON</t>
  </si>
  <si>
    <t>lsaison@bricodepot.com</t>
  </si>
  <si>
    <t>MICKAEL  WAQUET</t>
  </si>
  <si>
    <t>mwaquet@bricodepot.com</t>
  </si>
  <si>
    <t>BENJAMIN COPIN</t>
  </si>
  <si>
    <t>bcopin@bricodepot.com</t>
  </si>
  <si>
    <t>CAMILLE DEWAELE</t>
  </si>
  <si>
    <t>cdewaele@bricodepot.com</t>
  </si>
  <si>
    <t>CC Carrefour. Avenue Henri Matisse</t>
  </si>
  <si>
    <t>59300 Aulnoy lez Valenciennes</t>
  </si>
  <si>
    <t>IP600567</t>
  </si>
  <si>
    <t>FR7630004023230001044536578</t>
  </si>
  <si>
    <t>Xphn800</t>
  </si>
  <si>
    <t>VALENCIENNES (Petite forêt)</t>
  </si>
  <si>
    <t>JEAN ROBERT DRUART</t>
  </si>
  <si>
    <t>jdruart@bricodepot.com</t>
  </si>
  <si>
    <t>FABIEN BLEIBEL</t>
  </si>
  <si>
    <t>fbleibel@bricodepot.com</t>
  </si>
  <si>
    <t>SMAIL YOUSFI</t>
  </si>
  <si>
    <t>syousfi@bricodepot.com</t>
  </si>
  <si>
    <t>LAURENT BAR</t>
  </si>
  <si>
    <t>lbar@bricodepot.com</t>
  </si>
  <si>
    <t>THIERRY WAHTSTROM</t>
  </si>
  <si>
    <t>twahtstrom@bricodepot.com</t>
  </si>
  <si>
    <t>J.R DRUART</t>
  </si>
  <si>
    <t>XAVIER MARIN</t>
  </si>
  <si>
    <t>xmarin@bricodepot.com</t>
  </si>
  <si>
    <t>ANNE CECILE NOWICKI</t>
  </si>
  <si>
    <t>anowicki@bricodepot.com</t>
  </si>
  <si>
    <t>MAGUY FACHE</t>
  </si>
  <si>
    <t>mfache@bricodepot.com</t>
  </si>
  <si>
    <t>ZAC Auchan. Rue hyacinthe</t>
  </si>
  <si>
    <t>59494 Petite Forêt</t>
  </si>
  <si>
    <t>IP600569</t>
  </si>
  <si>
    <t>FR7630004023230001064848378</t>
  </si>
  <si>
    <t xml:space="preserve"> Qonx519</t>
  </si>
  <si>
    <t>AMIENS</t>
  </si>
  <si>
    <t>LUDOVIC VANCUTSEM</t>
  </si>
  <si>
    <t>lvancutsem@bricodepot.com</t>
  </si>
  <si>
    <t>ALEXANDRE FEUILLANT</t>
  </si>
  <si>
    <t>afeuillant@bricodepot.com</t>
  </si>
  <si>
    <t>SEBASTIEN  VANDRILLE</t>
  </si>
  <si>
    <t>svandrille@bricodepot.com</t>
  </si>
  <si>
    <t>OLIVIER LACOUR</t>
  </si>
  <si>
    <t>olacour@bricodepot.com</t>
  </si>
  <si>
    <t>SABINE GENOUX</t>
  </si>
  <si>
    <t>sgenoux@bricodepot.com</t>
  </si>
  <si>
    <t>PATRICE MOLENDA</t>
  </si>
  <si>
    <t>pmolenda@bricodepot.com</t>
  </si>
  <si>
    <t>JULIA CHIREUX</t>
  </si>
  <si>
    <t>jchireux@bricodepot.com</t>
  </si>
  <si>
    <t>CC Amiens Sud</t>
  </si>
  <si>
    <t>80044 Amiens</t>
  </si>
  <si>
    <t>NISCAYAH Marseille</t>
  </si>
  <si>
    <t>IP600571</t>
  </si>
  <si>
    <t>FR7630004023230001044691778</t>
  </si>
  <si>
    <t>nchQ351</t>
  </si>
  <si>
    <t>ARRAS (Beaurains)</t>
  </si>
  <si>
    <t>PASCAL LEDOUBLE</t>
  </si>
  <si>
    <t>pledouble@bricodepot.com</t>
  </si>
  <si>
    <t>JEAN FRANCOIS COLETTE</t>
  </si>
  <si>
    <t>jcolette@bricodepot.com</t>
  </si>
  <si>
    <t>SEBASTIEN  LAURENT</t>
  </si>
  <si>
    <t>slaurent@bricodepot.com</t>
  </si>
  <si>
    <t>SYLVAIN HAAR</t>
  </si>
  <si>
    <t>shaar@bricodepot.com</t>
  </si>
  <si>
    <t>GUILLAUME TOMBALLE</t>
  </si>
  <si>
    <t>gtomballe@bricodepot.com</t>
  </si>
  <si>
    <t>CELINE  TOTO MISSIPO</t>
  </si>
  <si>
    <t>ctotomissipo@bricodepot.com</t>
  </si>
  <si>
    <t>OLIVIER NOWAK</t>
  </si>
  <si>
    <t>onowak@bricodepot.com</t>
  </si>
  <si>
    <t>ZI Les Longs Champs</t>
  </si>
  <si>
    <t>62217 Beaurains</t>
  </si>
  <si>
    <t>20 Ans 10 Mois</t>
  </si>
  <si>
    <t>IP600572</t>
  </si>
  <si>
    <t>FR7630004023230001044798478</t>
  </si>
  <si>
    <t xml:space="preserve"> XbFe124</t>
  </si>
  <si>
    <t>CAMBRAI</t>
  </si>
  <si>
    <t>OLIVIER MEILLIEZ</t>
  </si>
  <si>
    <t>omeilliez@bricodepot.com</t>
  </si>
  <si>
    <t>ISMAEL    BRAHIM</t>
  </si>
  <si>
    <t>ibrahim@bricodepot.com</t>
  </si>
  <si>
    <t>NICOLAS HERLEM</t>
  </si>
  <si>
    <t>nherlem@bricodepot.com</t>
  </si>
  <si>
    <t>SEBASTIEN DEVAUX</t>
  </si>
  <si>
    <t>sdevaux@bricodepot.com</t>
  </si>
  <si>
    <t>OLIVIER SAUGER</t>
  </si>
  <si>
    <t>osauger@bricodepot.com</t>
  </si>
  <si>
    <t>SOPHIE DELCROIX</t>
  </si>
  <si>
    <t>sdelcroix@bricodepot.com</t>
  </si>
  <si>
    <t>ISABELLE GLACET</t>
  </si>
  <si>
    <t>iglacet@bricodepot.com</t>
  </si>
  <si>
    <t>1909 Avenue de Paris</t>
  </si>
  <si>
    <t>59404 Cambrai</t>
  </si>
  <si>
    <t>IP600573</t>
  </si>
  <si>
    <t>FR7630004023230001044711178</t>
  </si>
  <si>
    <t>oSPk831</t>
  </si>
  <si>
    <t>CHALONS en CHAMPAGNE (St Memmie)</t>
  </si>
  <si>
    <t>SEBASTIEN DALICHOUX</t>
  </si>
  <si>
    <t>sdalichoux@bricodepot.com</t>
  </si>
  <si>
    <t>ALEXANDRE OLIVIER</t>
  </si>
  <si>
    <t>aolivier@bricodepot.com</t>
  </si>
  <si>
    <t>TAHAR SADKI</t>
  </si>
  <si>
    <t>tsadki@bricodepot.com</t>
  </si>
  <si>
    <t>MICHAEL TCHORYK</t>
  </si>
  <si>
    <t>mtchoryk@bricodepot.com</t>
  </si>
  <si>
    <t>OLIVIER FORTUIT</t>
  </si>
  <si>
    <t>ofortuit@bricodepot.com</t>
  </si>
  <si>
    <t>FABRICE GUILLOU</t>
  </si>
  <si>
    <t>fguillou@bricodepot.com</t>
  </si>
  <si>
    <t>JEAN NOEL GOUSSET</t>
  </si>
  <si>
    <t>jgousset@bricodepot.com</t>
  </si>
  <si>
    <t>CHRISTINE BAREZ</t>
  </si>
  <si>
    <t>cbarez@bricodepot.com</t>
  </si>
  <si>
    <t>ZA de Voiterelle</t>
  </si>
  <si>
    <t>51470 Ste Memmie</t>
  </si>
  <si>
    <t>RELOOKING FULL 2022</t>
  </si>
  <si>
    <t>PLUS DE SABLE</t>
  </si>
  <si>
    <t>IP600646</t>
  </si>
  <si>
    <t>FR7630004023230001044895478</t>
  </si>
  <si>
    <t>DGIA435</t>
  </si>
  <si>
    <t>CHARLEVILLE (Prix les Mézières)</t>
  </si>
  <si>
    <t>DAVID CHARLE</t>
  </si>
  <si>
    <t>dcharle@bricodepot.com</t>
  </si>
  <si>
    <t>VALERIE  GOBERT</t>
  </si>
  <si>
    <t>vgobert@bricodepot.com</t>
  </si>
  <si>
    <t>MICKAEL JACQUEMIN</t>
  </si>
  <si>
    <t>mjacquemin@bricodepot.com</t>
  </si>
  <si>
    <t>MAHDI NAZIM DEMBRI</t>
  </si>
  <si>
    <t>mdembri@bricodepot.com</t>
  </si>
  <si>
    <t>SEBASTIEN CORNIL</t>
  </si>
  <si>
    <t>scornil@bricodepot.com</t>
  </si>
  <si>
    <t>JEAN PIERRE MOHIMONT</t>
  </si>
  <si>
    <t>jmohimont@bricodepot.com</t>
  </si>
  <si>
    <t>SANDRINE MILLART</t>
  </si>
  <si>
    <t>smillart@bricodepot.com</t>
  </si>
  <si>
    <t>CHRISTELLE VALET</t>
  </si>
  <si>
    <t>cvalet@bricodepot.com</t>
  </si>
  <si>
    <t>16 Route de Warnecourt</t>
  </si>
  <si>
    <t>08000 Prix les Mézières</t>
  </si>
  <si>
    <t>Déportée hors CDAC</t>
  </si>
  <si>
    <t>ASCI</t>
  </si>
  <si>
    <t>En recherche</t>
  </si>
  <si>
    <t>IP600650</t>
  </si>
  <si>
    <t>FR7630004023230001044546278</t>
  </si>
  <si>
    <t>eOHF757</t>
  </si>
  <si>
    <t>DOUAI (Cantin)</t>
  </si>
  <si>
    <t>NICOLAS YON</t>
  </si>
  <si>
    <t>nyon@bricodepot.com</t>
  </si>
  <si>
    <t>ERIC SENECHAL</t>
  </si>
  <si>
    <t>esenechal@bricodepot.com</t>
  </si>
  <si>
    <t>FREDERIC SOBRY</t>
  </si>
  <si>
    <t>fsobry@bricodepot.com</t>
  </si>
  <si>
    <t>OCEANE LEBECQ</t>
  </si>
  <si>
    <t>olebecq@bricodepot.com</t>
  </si>
  <si>
    <t>LAURENCE DEFLANDRE</t>
  </si>
  <si>
    <t>ldeflandre@bricodepot.com</t>
  </si>
  <si>
    <t>MICHAEL DENIMAL</t>
  </si>
  <si>
    <t>mdenimal@bricodepot.com</t>
  </si>
  <si>
    <t xml:space="preserve">NICOLAS YON </t>
  </si>
  <si>
    <t>LAURENCE  DELFOLIE</t>
  </si>
  <si>
    <t>ldelfolie@bricodepot.com</t>
  </si>
  <si>
    <t>KATY GRATTEPANCHE</t>
  </si>
  <si>
    <t>kgrattepanche@bricodepot.com</t>
  </si>
  <si>
    <t>Croix de Cantin Ferin</t>
  </si>
  <si>
    <t>59169 Cantin</t>
  </si>
  <si>
    <t>21 Ans 10 Mois</t>
  </si>
  <si>
    <t>ITRG</t>
  </si>
  <si>
    <t>IP600651</t>
  </si>
  <si>
    <t>FR7630004023230001044808178</t>
  </si>
  <si>
    <t>CVqs934</t>
  </si>
  <si>
    <t>MAUBEUGE</t>
  </si>
  <si>
    <t>GUILLAUME BRUNET</t>
  </si>
  <si>
    <t>gbrunet@bricodepot.com</t>
  </si>
  <si>
    <t>WILLY GEANT</t>
  </si>
  <si>
    <t>wgeant@bricodepot.com</t>
  </si>
  <si>
    <t>FREDERIC LEFEBVRE</t>
  </si>
  <si>
    <t>flefebvre@bricodepot.com</t>
  </si>
  <si>
    <t>SYLVAIN CORRAIRIE</t>
  </si>
  <si>
    <t>scorrairie@bricodepot.com</t>
  </si>
  <si>
    <t>VINCENT  DE RIDDER</t>
  </si>
  <si>
    <t>vderidder@bricodepot.com</t>
  </si>
  <si>
    <t>CATHERINE LOTTIAUX</t>
  </si>
  <si>
    <t>clottiaux@bricodepot.com</t>
  </si>
  <si>
    <t>PATRICIA BEAURIN</t>
  </si>
  <si>
    <t>pbeaurin@bricodepot.com</t>
  </si>
  <si>
    <t>121 Avenue Jean Jaures</t>
  </si>
  <si>
    <t>59600 Maubeuge</t>
  </si>
  <si>
    <t>REPRISE USINE</t>
  </si>
  <si>
    <t>En surface de vente « arrière caisses »</t>
  </si>
  <si>
    <t>IP600653</t>
  </si>
  <si>
    <t>FR7630004023230001070571378</t>
  </si>
  <si>
    <t>OvOy514</t>
  </si>
  <si>
    <t>REIMS (Val de Murigny)</t>
  </si>
  <si>
    <t>FABRICE MARQUES</t>
  </si>
  <si>
    <t>fmarques@bricodepot.com</t>
  </si>
  <si>
    <t>DAVID LETOMBE</t>
  </si>
  <si>
    <t>dletombe@bricodepot.com</t>
  </si>
  <si>
    <t>RAPHAEL PREVOT</t>
  </si>
  <si>
    <t>rprevot@bricodepot.com</t>
  </si>
  <si>
    <t>ANTHONY ROTELLA</t>
  </si>
  <si>
    <t>arotella@bricodepot.com</t>
  </si>
  <si>
    <t>FANNY BAILLY</t>
  </si>
  <si>
    <t>fbailly@bricodepot.com</t>
  </si>
  <si>
    <t>AURELIE MAUDOIGT</t>
  </si>
  <si>
    <t>amaudoigt@bricodepot.com</t>
  </si>
  <si>
    <t>AURELIE ERIBON</t>
  </si>
  <si>
    <t>aeribon@bricodepot.com</t>
  </si>
  <si>
    <t>20, rue Edmond Rostand</t>
  </si>
  <si>
    <t>IP600655</t>
  </si>
  <si>
    <t>FR7630004023230001134688378</t>
  </si>
  <si>
    <t>GIbm783</t>
  </si>
  <si>
    <t>ST DIZIER</t>
  </si>
  <si>
    <t>ALAIN PIERRE</t>
  </si>
  <si>
    <t>apierre@bricodepot.com</t>
  </si>
  <si>
    <t>JEROME RUBERT</t>
  </si>
  <si>
    <t>jrubert@bricodepot.com</t>
  </si>
  <si>
    <t>JULIEN DORCHYMONT</t>
  </si>
  <si>
    <t>jdorchymont@bricodepot.com</t>
  </si>
  <si>
    <t>NYNEL COLLIN</t>
  </si>
  <si>
    <t>ncollin@bricodepot.com</t>
  </si>
  <si>
    <t>DAVID POULET</t>
  </si>
  <si>
    <t>dpoulet@bricodepot.com</t>
  </si>
  <si>
    <t>ISABELLE FIOT</t>
  </si>
  <si>
    <t>ifiot@bricodepot.com</t>
  </si>
  <si>
    <t>ZAC Le Chêne St Amand</t>
  </si>
  <si>
    <t>52100 St Dizier</t>
  </si>
  <si>
    <t>Lundi au Jeudi</t>
  </si>
  <si>
    <t>Vendredi / Samedi</t>
  </si>
  <si>
    <t>IP600656</t>
  </si>
  <si>
    <t>FR7630004023230001099477378</t>
  </si>
  <si>
    <t>KKNL541</t>
  </si>
  <si>
    <t>ST QUENTIN (Harly)</t>
  </si>
  <si>
    <t>JOSE OLIVEIRA</t>
  </si>
  <si>
    <t>joliveira@bricodepot.com</t>
  </si>
  <si>
    <t>STEPHANE COMPAGNON</t>
  </si>
  <si>
    <t>scompagnon@bricodepot.com</t>
  </si>
  <si>
    <t>DENIS FITOS</t>
  </si>
  <si>
    <t>dfitos@bricodepot.com</t>
  </si>
  <si>
    <t>LINDA BOUBET</t>
  </si>
  <si>
    <t>lboubet@bricodepot.com</t>
  </si>
  <si>
    <t>REMY GERMAIN</t>
  </si>
  <si>
    <t>rgermain@bricodepot.com</t>
  </si>
  <si>
    <t>VERONIQUE VANSTEENBERGHE</t>
  </si>
  <si>
    <t>vvansteenberghe@bricodepot.com</t>
  </si>
  <si>
    <t>LUCIE MEGUEULE</t>
  </si>
  <si>
    <t>lmegueule@bricodepot.com</t>
  </si>
  <si>
    <t>ZAC Le Contoy   Rue de Guise RD 300</t>
  </si>
  <si>
    <t>02100 Harly</t>
  </si>
  <si>
    <t>Aménagement de placard,meuble de salle bain,paroi de et cabine douche</t>
  </si>
  <si>
    <t>IP600657</t>
  </si>
  <si>
    <t>FR7630004023230001147880378</t>
  </si>
  <si>
    <t>OTsg995</t>
  </si>
  <si>
    <t>ALENCON (Arçonnay)</t>
  </si>
  <si>
    <t>Normandie Loire</t>
  </si>
  <si>
    <t>Pierre LAVILLAT</t>
  </si>
  <si>
    <t>LAURENCE MODESTE</t>
  </si>
  <si>
    <t>lmodeste@bricodepot.com</t>
  </si>
  <si>
    <t>FABIEN JOURDAN</t>
  </si>
  <si>
    <t>fjourdan@bricodepot.com</t>
  </si>
  <si>
    <t>JEROME JEGOU</t>
  </si>
  <si>
    <t>jjegou@bricodepot.com</t>
  </si>
  <si>
    <t>MATHIEU SEGARD</t>
  </si>
  <si>
    <t>msegard@bricodepot.com</t>
  </si>
  <si>
    <t>RICHARD THIBAUD</t>
  </si>
  <si>
    <t>rthibaud@bricodepot.com</t>
  </si>
  <si>
    <t>DELPHINE GOASDUFF</t>
  </si>
  <si>
    <t>dgoasduff@bricodepot.com</t>
  </si>
  <si>
    <t>ANNE GUICHON</t>
  </si>
  <si>
    <t>aguichon@bricodepot.com</t>
  </si>
  <si>
    <t>VIRGINIE MONIN</t>
  </si>
  <si>
    <t>vmonin@bricodepot.com</t>
  </si>
  <si>
    <t>AMINA CHAHCHAH</t>
  </si>
  <si>
    <t>RN 138. ZI Le Coudray. Route du Mans</t>
  </si>
  <si>
    <t>72610 Arçonnay</t>
  </si>
  <si>
    <t>16 Ans 3 Mois</t>
  </si>
  <si>
    <t>Cuisine, SdB, douche, Carrelage,placards,poeles (fausse ZRM)</t>
  </si>
  <si>
    <t>CARRIERES DES NOES 112153</t>
  </si>
  <si>
    <t>IP600681</t>
  </si>
  <si>
    <t>FR7630004023230001059823778</t>
  </si>
  <si>
    <t>LzQO114</t>
  </si>
  <si>
    <t>BEAUVAIS</t>
  </si>
  <si>
    <t>MATHIEU HAULTCOEUR</t>
  </si>
  <si>
    <t>mhaultcoeur@bricodepot.com</t>
  </si>
  <si>
    <t>AURELIE WEISS</t>
  </si>
  <si>
    <t>aweiss@bricodepot.com</t>
  </si>
  <si>
    <t>BRIGITTE DEMONCHY</t>
  </si>
  <si>
    <t>bdemonchy@bricodepot.com</t>
  </si>
  <si>
    <t>FRANCOIS SINDUT</t>
  </si>
  <si>
    <t>fsindut@bricodepot.com</t>
  </si>
  <si>
    <t>GREGORY DUVAL</t>
  </si>
  <si>
    <t>gduval@bricodepot.com</t>
  </si>
  <si>
    <t>MARIE BENEDICTE DEGROOTE</t>
  </si>
  <si>
    <t>mdegroote@bricodepot.com</t>
  </si>
  <si>
    <t>VIRGINIE VARE</t>
  </si>
  <si>
    <t>vvare@bricodepot.com</t>
  </si>
  <si>
    <t>AURELIE COUDERT</t>
  </si>
  <si>
    <t>acoudert@bricodepot.com</t>
  </si>
  <si>
    <t>ZAC du Ther  Rue Pierre et Marie Curie</t>
  </si>
  <si>
    <t>60000 Beauvais</t>
  </si>
  <si>
    <t>Cabine et paroie douche, racks cuisine</t>
  </si>
  <si>
    <t>IP600537</t>
  </si>
  <si>
    <t>FR7630004023230001044623878</t>
  </si>
  <si>
    <t>CNRr826</t>
  </si>
  <si>
    <t>BERNAY (Carsix)</t>
  </si>
  <si>
    <t>NORMANDIE</t>
  </si>
  <si>
    <t>FRANCOIS DELAUNAY</t>
  </si>
  <si>
    <t>fdelaunay@bricodepot.com</t>
  </si>
  <si>
    <t>PASCAL CHARTRON</t>
  </si>
  <si>
    <t>pchartron@bricodepot.com</t>
  </si>
  <si>
    <t>JOCELYN CHATEL</t>
  </si>
  <si>
    <t>jchatel@bricodepot.com</t>
  </si>
  <si>
    <t>FRANCOIS LOGE</t>
  </si>
  <si>
    <t>floge@bricodepot.com</t>
  </si>
  <si>
    <t>ROMAIN  DERIOT</t>
  </si>
  <si>
    <t>rderiot@bricodepot.com</t>
  </si>
  <si>
    <t>HELENE DAIRE</t>
  </si>
  <si>
    <t>hdaire@bricodepot.com</t>
  </si>
  <si>
    <t>KATHY BAUDRY</t>
  </si>
  <si>
    <t>kbaudry@bricodepot.com</t>
  </si>
  <si>
    <t>YASSINE EL HAJOUJI</t>
  </si>
  <si>
    <t>yelhajouji@bricodepot.com</t>
  </si>
  <si>
    <t>RN 13/RN 138. Carrefour de Malbrouk</t>
  </si>
  <si>
    <t>27300 Carsix</t>
  </si>
  <si>
    <t>CARRIERES BALLASTIERES DE NORMANDIE 112150</t>
  </si>
  <si>
    <t>Oui</t>
  </si>
  <si>
    <t>OUI HS</t>
  </si>
  <si>
    <t>IP600682</t>
  </si>
  <si>
    <t>FR7630004023230001044565678</t>
  </si>
  <si>
    <t>LNfH995</t>
  </si>
  <si>
    <t>CAEN (Carpiquet)</t>
  </si>
  <si>
    <t>YOHANN MOURTOUX</t>
  </si>
  <si>
    <t>ymourtoux@bricodepot.com</t>
  </si>
  <si>
    <t>VICTOR MARTINS</t>
  </si>
  <si>
    <t>vmartins@bricodepot.com</t>
  </si>
  <si>
    <t>J.PHILIPPE VALTEAU</t>
  </si>
  <si>
    <t>jvalteau@bricodepot.com</t>
  </si>
  <si>
    <t>MAGALIE LEFEVRE</t>
  </si>
  <si>
    <t>mlefevre@bricodepot.com</t>
  </si>
  <si>
    <t>ADRIEN JEANNE</t>
  </si>
  <si>
    <t>ajeanne@bricodepot.com</t>
  </si>
  <si>
    <t>CHRISTOPHE LECANU</t>
  </si>
  <si>
    <t>clecanu@bricodepot.com</t>
  </si>
  <si>
    <t>CHRISTINE DROUCHAULT</t>
  </si>
  <si>
    <t>cdrouchault@bricodepot.com</t>
  </si>
  <si>
    <t>ZI Est. Rue Bellevue</t>
  </si>
  <si>
    <t>14650 Carpiquet</t>
  </si>
  <si>
    <t>Cuisine, SdB, douche, Carrelage,dressing</t>
  </si>
  <si>
    <t>IP600683</t>
  </si>
  <si>
    <t>FR7630004023230001044604478</t>
  </si>
  <si>
    <t>AXTP851</t>
  </si>
  <si>
    <t>CHARTRES (Luisant)</t>
  </si>
  <si>
    <t>XAVIER LEGRAND</t>
  </si>
  <si>
    <t>xlegrand@bricodepot.com</t>
  </si>
  <si>
    <t>LAURENT SENGER</t>
  </si>
  <si>
    <t>lsenger@bricodepot.com</t>
  </si>
  <si>
    <t>XAVIER DUCRET</t>
  </si>
  <si>
    <t>xducret@bricodepot.com</t>
  </si>
  <si>
    <t>TAHAR  RAHIM</t>
  </si>
  <si>
    <t>trahim@bricodepot.com</t>
  </si>
  <si>
    <t>LUCIE FORTIER</t>
  </si>
  <si>
    <t>lfortier@bricodepot.com</t>
  </si>
  <si>
    <t>CARINE FERNANDES</t>
  </si>
  <si>
    <t>cfernandes@bricodepot.com</t>
  </si>
  <si>
    <t>LAETITIA OUESLATI</t>
  </si>
  <si>
    <t>loueslati@bricodepot.com</t>
  </si>
  <si>
    <t>40 Rue Jean Perrin</t>
  </si>
  <si>
    <t>28600 Luisant</t>
  </si>
  <si>
    <t>5 sur 5 Sécurité</t>
  </si>
  <si>
    <t>Cuisine, SdB, douche, Dressing, Menuiserie</t>
  </si>
  <si>
    <t>Sté DES MATERIAUX DU VAL DE LOIRE 126870</t>
  </si>
  <si>
    <t>IP600548</t>
  </si>
  <si>
    <t>FR7630004023230001045099178</t>
  </si>
  <si>
    <t xml:space="preserve"> MSVf185</t>
  </si>
  <si>
    <t>DIEPPE</t>
  </si>
  <si>
    <t>REMY VANDENBERGHE</t>
  </si>
  <si>
    <t>rvandenberghe@bricodepot.com</t>
  </si>
  <si>
    <t>JEAN FRANCOIS COULON</t>
  </si>
  <si>
    <t>jcoulon@bricodepot.com</t>
  </si>
  <si>
    <t>THIERRY GRAVE</t>
  </si>
  <si>
    <t>tgrave@bricodepot.com</t>
  </si>
  <si>
    <t>JARA  MONZINI</t>
  </si>
  <si>
    <t>jmonzini@bricodepot.com</t>
  </si>
  <si>
    <t>ETIENNE MAGUIN</t>
  </si>
  <si>
    <t>emaguin@bricodepot.com</t>
  </si>
  <si>
    <t>LAURE  MILON</t>
  </si>
  <si>
    <t>lmilon@bricodepot.com</t>
  </si>
  <si>
    <t>ANNE DRUAUX</t>
  </si>
  <si>
    <t>adruaux@bricodepot.com</t>
  </si>
  <si>
    <t>ZAC du Belvédère</t>
  </si>
  <si>
    <t>76200 Dieppe</t>
  </si>
  <si>
    <t>RELOOKING FUL EN COURS 2022</t>
  </si>
  <si>
    <t>SdB, Douche,r60 (sauf porte intérieure)</t>
  </si>
  <si>
    <t>IP600692</t>
  </si>
  <si>
    <t>FR7630004023230001044827578</t>
  </si>
  <si>
    <t>diLQ992</t>
  </si>
  <si>
    <t>DREUX</t>
  </si>
  <si>
    <t>YOUCEF ELMECHTA</t>
  </si>
  <si>
    <t>yelmechta@bricodepot.com</t>
  </si>
  <si>
    <t>MOHAMED OUDANE</t>
  </si>
  <si>
    <t>moudane@bricodepot.com</t>
  </si>
  <si>
    <t>FARID TERZI</t>
  </si>
  <si>
    <t>fterzi@bricodepot.com</t>
  </si>
  <si>
    <t>RENAUD MARCHAND</t>
  </si>
  <si>
    <t>rmarchand@bricodepot.com</t>
  </si>
  <si>
    <t>DAMIEN DUPAS</t>
  </si>
  <si>
    <t>ddupas@bricodepot.com</t>
  </si>
  <si>
    <t>LUCIE VEYRON CHURLET</t>
  </si>
  <si>
    <t>lveyronchurlet@bricodepot.com</t>
  </si>
  <si>
    <t>AMELIE SAIDI</t>
  </si>
  <si>
    <t>asaidi@bricodepot.com</t>
  </si>
  <si>
    <t xml:space="preserve">2, Rue Robert 1er Comte de Dreux </t>
  </si>
  <si>
    <t>28100 Dreux</t>
  </si>
  <si>
    <t>SMC</t>
  </si>
  <si>
    <t>IP600549</t>
  </si>
  <si>
    <t>FR7630004023230001142157378</t>
  </si>
  <si>
    <t>FBCC223</t>
  </si>
  <si>
    <t>LE MANS (Allonnes)</t>
  </si>
  <si>
    <t>NATHALIE CUENOT</t>
  </si>
  <si>
    <t>ncuenot@bricodepot.com</t>
  </si>
  <si>
    <t>JEAN-FRANCOIS CAMU</t>
  </si>
  <si>
    <t>jcamu@bricodepot.com</t>
  </si>
  <si>
    <t>NICOLAS HUTEAU</t>
  </si>
  <si>
    <t>nhuteau@bricodepot.com</t>
  </si>
  <si>
    <t>J.CHRISTOPHE BIGNON</t>
  </si>
  <si>
    <t>jbignon@bricodepot.com</t>
  </si>
  <si>
    <t>J.C BIGNON</t>
  </si>
  <si>
    <t>JEROME CREUSAT</t>
  </si>
  <si>
    <t>jcreusat@bricodepot.com</t>
  </si>
  <si>
    <t>NORA MOTTIER</t>
  </si>
  <si>
    <t>nmottier@bricodepot.com</t>
  </si>
  <si>
    <t>ANNAELLE LEROUX</t>
  </si>
  <si>
    <t>aleroux@bricodepot.com</t>
  </si>
  <si>
    <t>ZAC du Vivier II. Route de la Suze</t>
  </si>
  <si>
    <t>72700 Allones</t>
  </si>
  <si>
    <t xml:space="preserve">Cuisine, amenagement placard, menuiserie, meuble de sdb, paroie &amp; cabine de douche </t>
  </si>
  <si>
    <t>TAVANO 127090</t>
  </si>
  <si>
    <t>IP600693</t>
  </si>
  <si>
    <t>FR7630004023230001044769378</t>
  </si>
  <si>
    <t>fmqn472</t>
  </si>
  <si>
    <t>LES ESSARTS</t>
  </si>
  <si>
    <t>RACHID BENYKHLEF</t>
  </si>
  <si>
    <t>rbenykhlef@bricodepot.com</t>
  </si>
  <si>
    <t>FLORIAN BANCEL</t>
  </si>
  <si>
    <t>fbancel@bricodepot.com</t>
  </si>
  <si>
    <t>JEROME MEHEUST</t>
  </si>
  <si>
    <t>jmeheust@bricodepot.com</t>
  </si>
  <si>
    <t>JULIEN HEUZEY</t>
  </si>
  <si>
    <t>jheuzey@bricodepot.com</t>
  </si>
  <si>
    <t>ARNAUD LATRON</t>
  </si>
  <si>
    <t>alatron@bricodepot.com</t>
  </si>
  <si>
    <t>CHARLOTTE RENARD</t>
  </si>
  <si>
    <t>crenard@bricodepot.com</t>
  </si>
  <si>
    <t>AOUATIF DOS SANTOS MALHADO</t>
  </si>
  <si>
    <t>adossantosmalhado@bricodepot.com</t>
  </si>
  <si>
    <t>36 Route Nationale 10</t>
  </si>
  <si>
    <t>78690 Les Essarts le Roi</t>
  </si>
  <si>
    <t>REPRISE CONFORAMA</t>
  </si>
  <si>
    <t>INVIKTUS 20  DFX Mxb  + MONEO</t>
  </si>
  <si>
    <t>Plan travail &amp; gde façade plinthe cuisine, meubles SdB, cabines douche, dressing</t>
  </si>
  <si>
    <t>IP600554</t>
  </si>
  <si>
    <t>FR7630004023230001155679178</t>
  </si>
  <si>
    <t>rExQ353</t>
  </si>
  <si>
    <t>ROUEN (Riboudet)</t>
  </si>
  <si>
    <t>GILLES LEJEAN</t>
  </si>
  <si>
    <t>glejean@bricodepot.com</t>
  </si>
  <si>
    <t>JEAN LOUP GILLET</t>
  </si>
  <si>
    <t>jgillet@bricodepot.com</t>
  </si>
  <si>
    <t>FABIEN DE BOSSCHERE</t>
  </si>
  <si>
    <t>fdebosschere@bricodepot.com</t>
  </si>
  <si>
    <t>SYLVIE BLANCHARD</t>
  </si>
  <si>
    <t>sblanchard@bricodepot.com</t>
  </si>
  <si>
    <t>PIERRE BARDINI</t>
  </si>
  <si>
    <t>pbardini@bricodepot.com</t>
  </si>
  <si>
    <t>BAPTISTE TROHAY</t>
  </si>
  <si>
    <t>btrohay@bricodepot.com</t>
  </si>
  <si>
    <t>ADELINE CHAPELLE</t>
  </si>
  <si>
    <t>achapelle@bricodepot.com</t>
  </si>
  <si>
    <t>VALERIE BARRE</t>
  </si>
  <si>
    <t>vbarre@bricodepot.com</t>
  </si>
  <si>
    <t>100 Avenue du Mont Riboudet</t>
  </si>
  <si>
    <t>76021 Rouen</t>
  </si>
  <si>
    <t>Cuisine/Drissing/Tout Meubles de SDB/Parois Douches complètent</t>
  </si>
  <si>
    <t>IP600694</t>
  </si>
  <si>
    <t>FR7630004023230001044856678</t>
  </si>
  <si>
    <t>EVvq926</t>
  </si>
  <si>
    <t>BREST</t>
  </si>
  <si>
    <t>BRETAGNE</t>
  </si>
  <si>
    <t>Ouest</t>
  </si>
  <si>
    <t>Christophe ROYER</t>
  </si>
  <si>
    <t>LAURENT FIRMIN</t>
  </si>
  <si>
    <t>lfirmin@bricodepot.com</t>
  </si>
  <si>
    <t>JOSE LENGRAND</t>
  </si>
  <si>
    <t>jlengrand@bricodepot.com</t>
  </si>
  <si>
    <t>PIERRE LE MOIGNE</t>
  </si>
  <si>
    <t>plemoigne@bricodepot.com</t>
  </si>
  <si>
    <t>DEBORAH PROLONG</t>
  </si>
  <si>
    <t>dprolong@bricodepot.com</t>
  </si>
  <si>
    <t>SYLVIE CRENN</t>
  </si>
  <si>
    <t>screnn@bricodepot.com</t>
  </si>
  <si>
    <t>PHILIPPE DUCRET</t>
  </si>
  <si>
    <t>pducret@bricodepot.com</t>
  </si>
  <si>
    <t>LAURE LE GALLO</t>
  </si>
  <si>
    <t>Steevy AJAS</t>
  </si>
  <si>
    <t>CC l'Iroise. Bd de Plymouth</t>
  </si>
  <si>
    <t>29603 Brest</t>
  </si>
  <si>
    <t>SSI CARREFOUR</t>
  </si>
  <si>
    <t>IP600696</t>
  </si>
  <si>
    <t>FR7630004023230001044846978</t>
  </si>
  <si>
    <t>kwzB526</t>
  </si>
  <si>
    <t>CHERBOURG (Tourlaville)</t>
  </si>
  <si>
    <t>BRUNO MERLAND</t>
  </si>
  <si>
    <t>bmerland@bricodepot.com</t>
  </si>
  <si>
    <t>STEPHANE D OLIVEIRA</t>
  </si>
  <si>
    <t>sdoliveira@bricodepot.com</t>
  </si>
  <si>
    <t>HERVE JUGE</t>
  </si>
  <si>
    <t>hjuge@bricodepot.com</t>
  </si>
  <si>
    <t>LAURENT  LARTIGUE</t>
  </si>
  <si>
    <t>llartigue@bricodepot.com</t>
  </si>
  <si>
    <t>SYLVAIN WEBER</t>
  </si>
  <si>
    <t>sweber@bricodepot.com</t>
  </si>
  <si>
    <t>ISABELLE NEVEU</t>
  </si>
  <si>
    <t>ineveu@bricodepot.com</t>
  </si>
  <si>
    <t>FRANCINE CHERON</t>
  </si>
  <si>
    <t>fcheron@bricodepot.com</t>
  </si>
  <si>
    <t>ZI de Sauxmarais</t>
  </si>
  <si>
    <t>50110 Tourlaville</t>
  </si>
  <si>
    <t>22 Ans 0 Mois</t>
  </si>
  <si>
    <t>CARRIERES LEROUX-PHILIPPE  112147</t>
  </si>
  <si>
    <t>IP600684</t>
  </si>
  <si>
    <t>FR7630004023230001044720878</t>
  </si>
  <si>
    <t>lOZm862</t>
  </si>
  <si>
    <t>LAVAL</t>
  </si>
  <si>
    <t>LUDOVIC KOLTALO</t>
  </si>
  <si>
    <t>lkoltalo@bricodepot.com</t>
  </si>
  <si>
    <t>AYMAR MEGGARZI</t>
  </si>
  <si>
    <t>ameggarzi@bricodepot.com</t>
  </si>
  <si>
    <t>FREDERIC FRANCOIS</t>
  </si>
  <si>
    <t>ffrancois@bricodepot.com</t>
  </si>
  <si>
    <t>REMY PASQUET</t>
  </si>
  <si>
    <t>rpasquet@bricodepot.com</t>
  </si>
  <si>
    <t>AURELIE STEVEZ</t>
  </si>
  <si>
    <t>astevez@bricodepot.com</t>
  </si>
  <si>
    <t>MARIKA BLANCHARD</t>
  </si>
  <si>
    <t>mblanchard@bricodepot.com</t>
  </si>
  <si>
    <t>11  rue de Londres</t>
  </si>
  <si>
    <t>53000 Laval</t>
  </si>
  <si>
    <t>REPRISE KIABI</t>
  </si>
  <si>
    <t>SCSC</t>
  </si>
  <si>
    <t>IP600698</t>
  </si>
  <si>
    <t>FR7630004023230001160752278</t>
  </si>
  <si>
    <t>aacB723</t>
  </si>
  <si>
    <t>LORIENT</t>
  </si>
  <si>
    <t>DOMINIQUE VETTIER</t>
  </si>
  <si>
    <t>dvettier@bricodepot.com</t>
  </si>
  <si>
    <t>YANN ROCHE</t>
  </si>
  <si>
    <t>yroche@bricodepot.com</t>
  </si>
  <si>
    <t>sécu</t>
  </si>
  <si>
    <t>THIERRY LE DEVENTEC</t>
  </si>
  <si>
    <t>tledeventec@bricodepot.com</t>
  </si>
  <si>
    <t>MIKAEL BIANCHI</t>
  </si>
  <si>
    <t>mbianchi@bricodepot.com</t>
  </si>
  <si>
    <t>STEPHANE DECLERCK</t>
  </si>
  <si>
    <t>sdeclerck@bricodepot.com</t>
  </si>
  <si>
    <t>ROMAIN LE TALLEC</t>
  </si>
  <si>
    <t>rletallec@bricodepot.com</t>
  </si>
  <si>
    <t>MAYLIS GOURRET</t>
  </si>
  <si>
    <t>mgourret@bricodepot.com</t>
  </si>
  <si>
    <t>JEAN FRANCOIS LE BOUEDEC</t>
  </si>
  <si>
    <t>jlebouedec@bricodepot.com</t>
  </si>
  <si>
    <t>CC K2. Route du Colonel Muller</t>
  </si>
  <si>
    <t>56100 Lorient</t>
  </si>
  <si>
    <t>SABLIMARIS   (déréférencé 31/08)</t>
  </si>
  <si>
    <t>IP600699</t>
  </si>
  <si>
    <t>FR7630004023230001044759678</t>
  </si>
  <si>
    <t>BpLi165</t>
  </si>
  <si>
    <t>ST ETIENNE (La Ricamarie)</t>
  </si>
  <si>
    <t>Rhône Alpes</t>
  </si>
  <si>
    <t>Pierre Olivier LARUE</t>
  </si>
  <si>
    <t>BOUBEKEUR BAKOUR</t>
  </si>
  <si>
    <t>bbakour@bricodepot.com</t>
  </si>
  <si>
    <t>ROUDOIN ESSADEK</t>
  </si>
  <si>
    <t>ressadek@bricodepot.com</t>
  </si>
  <si>
    <t>ALEXANDRE JACOB</t>
  </si>
  <si>
    <t>ajacob@bricodepot.com</t>
  </si>
  <si>
    <t>MAXIME CHANTEMESSE</t>
  </si>
  <si>
    <t>mchantemesse@bricodepot.com</t>
  </si>
  <si>
    <t>MICKAEL BASTIDE</t>
  </si>
  <si>
    <t>mbastide@bricodepot.com</t>
  </si>
  <si>
    <t>LYDIE GRAJON</t>
  </si>
  <si>
    <t>lgrajon@bricodepot.com</t>
  </si>
  <si>
    <t>ANNIE BOURGEOIS</t>
  </si>
  <si>
    <t>abourgeois@bricodepot.com</t>
  </si>
  <si>
    <t>Céline HENRY</t>
  </si>
  <si>
    <t>CC Géant. La Beraudière</t>
  </si>
  <si>
    <t>42150 La Ricamarie</t>
  </si>
  <si>
    <t>EXCELLIUM 2014</t>
  </si>
  <si>
    <t>IP600756</t>
  </si>
  <si>
    <t>FR7630004023230001044614178</t>
  </si>
  <si>
    <t>SzxF514</t>
  </si>
  <si>
    <t>MORLAIX (Plouigneau)</t>
  </si>
  <si>
    <t>EMMANUEL BROSSAY</t>
  </si>
  <si>
    <t>ebrossay@bricodepot.com</t>
  </si>
  <si>
    <t>SANDRA BOISSEAU</t>
  </si>
  <si>
    <t>sboisseau@bricodepot.com</t>
  </si>
  <si>
    <t>ARNAUD CLODIC</t>
  </si>
  <si>
    <t>aclodic@bricodepot.com</t>
  </si>
  <si>
    <t>SAMUEL RACHET</t>
  </si>
  <si>
    <t>SAMUEL  RACHET</t>
  </si>
  <si>
    <t>srachet@bricodepot.com</t>
  </si>
  <si>
    <t>RONAN ROUXEL</t>
  </si>
  <si>
    <t>rrouxel@bricodepot.com</t>
  </si>
  <si>
    <t>ALICIA BOIZARD</t>
  </si>
  <si>
    <t>aboizard@bricodepot.com</t>
  </si>
  <si>
    <t>ZI de Kervanon</t>
  </si>
  <si>
    <t>29610 Plouigneau</t>
  </si>
  <si>
    <t>19 Ans 8 Mois</t>
  </si>
  <si>
    <t>RELOOKING FULL EN CCOURS 2022</t>
  </si>
  <si>
    <t>Cuisine, douches, carrelage, poele, inserts.</t>
  </si>
  <si>
    <t>CARRIERES BRETONNES</t>
  </si>
  <si>
    <t>IP600700</t>
  </si>
  <si>
    <t>FR7630004023230001044953678</t>
  </si>
  <si>
    <t>IaMK913</t>
  </si>
  <si>
    <t>QUIMPER</t>
  </si>
  <si>
    <t>FREDERIC PLESSE</t>
  </si>
  <si>
    <t>fplesse@bricodepot.com</t>
  </si>
  <si>
    <t>YANNICK BALBOUS</t>
  </si>
  <si>
    <t>ybalbous@bricodepot.com</t>
  </si>
  <si>
    <t>TONY BACHELET</t>
  </si>
  <si>
    <t>tbachelet@bricodepot.com</t>
  </si>
  <si>
    <t>NICOLAS CHAUVEL</t>
  </si>
  <si>
    <t>nchauvel@bricodepot.com</t>
  </si>
  <si>
    <t>NICOLAS WOJCIK</t>
  </si>
  <si>
    <t>nwojcik@bricodepot.com</t>
  </si>
  <si>
    <t>DOMINIQUE DOUILLARD</t>
  </si>
  <si>
    <t>ddouillard@bricodepot.com</t>
  </si>
  <si>
    <t xml:space="preserve">DM </t>
  </si>
  <si>
    <t>ZA de Gourvily. 39 Route du loch</t>
  </si>
  <si>
    <t>29999 Quimper</t>
  </si>
  <si>
    <t>IP600702</t>
  </si>
  <si>
    <t>FR7630004023230001045040978</t>
  </si>
  <si>
    <t>NcgD317</t>
  </si>
  <si>
    <t>RENNES (Cesson Sévigné)</t>
  </si>
  <si>
    <t>ERWAN GOURIOU</t>
  </si>
  <si>
    <t>egouriou@bricodepot.com</t>
  </si>
  <si>
    <t>BENOIT MARTIN</t>
  </si>
  <si>
    <t>benoit.martin@bricodepot.com</t>
  </si>
  <si>
    <t>DOMINIQUE LEGEAS</t>
  </si>
  <si>
    <t>dlegeas@bricodepot.com</t>
  </si>
  <si>
    <t>GUILLAUME LEBLANC</t>
  </si>
  <si>
    <t>gleblanc@bricodepot.com</t>
  </si>
  <si>
    <t>FRANCK  TREBAOL</t>
  </si>
  <si>
    <t>ftrebaol@bricodepot.com</t>
  </si>
  <si>
    <t>BENJAMIN BRETON</t>
  </si>
  <si>
    <t>bbreton@bricodepot.com</t>
  </si>
  <si>
    <t>MICKAEL GARNIER</t>
  </si>
  <si>
    <t>mgarnier@bricodepot.com</t>
  </si>
  <si>
    <t>52 Rue de la Rigourdière</t>
  </si>
  <si>
    <t>35510 Cesson Sévigné</t>
  </si>
  <si>
    <t>CARRIERES DE LA GARENNE  112145</t>
  </si>
  <si>
    <t>IP600703</t>
  </si>
  <si>
    <t>FR7630004023230001092425478</t>
  </si>
  <si>
    <t>sQpT349</t>
  </si>
  <si>
    <t>RENNES (St Grégoire)</t>
  </si>
  <si>
    <t>OMAR MIGANEH HADI</t>
  </si>
  <si>
    <t>omiganehhadi@bricodepot.com</t>
  </si>
  <si>
    <t>YANN JEHANNO</t>
  </si>
  <si>
    <t>yjehanno@bricodepot.com</t>
  </si>
  <si>
    <t>CEDRIC LE MOING</t>
  </si>
  <si>
    <t>clemoing@bricodepot.com</t>
  </si>
  <si>
    <t>LAURENT BEUVARD</t>
  </si>
  <si>
    <t>lbeuvard@bricodepot.com</t>
  </si>
  <si>
    <t>CHRISTINE FORTELLE</t>
  </si>
  <si>
    <t>cfortelle@bricodepot.com</t>
  </si>
  <si>
    <t>MURIEL  ROCHARD</t>
  </si>
  <si>
    <t>mrochard@bricodepot.com</t>
  </si>
  <si>
    <t>CC Grand Quartier. Route de St Malo</t>
  </si>
  <si>
    <t>35760 St Grégoire</t>
  </si>
  <si>
    <t>INVIKTUS 20  DFX Mxb+MONEO</t>
  </si>
  <si>
    <t>depuis déménagemént</t>
  </si>
  <si>
    <t>IP600704</t>
  </si>
  <si>
    <t>FR7630004023230001158705578</t>
  </si>
  <si>
    <t xml:space="preserve"> vxos784</t>
  </si>
  <si>
    <t>ST BRIEUC (Plerin)</t>
  </si>
  <si>
    <t>NAJIB BOUCHNAK</t>
  </si>
  <si>
    <t>nbouchnak@bricodepot.com</t>
  </si>
  <si>
    <t>STEVEN URIEN</t>
  </si>
  <si>
    <t>surien@bricodepot.com</t>
  </si>
  <si>
    <t>J.PHILIPPE LAMY</t>
  </si>
  <si>
    <t>jlamy@bricodepot.com</t>
  </si>
  <si>
    <t>PASCAL PICREL</t>
  </si>
  <si>
    <t>ppicrel@bricodepot.com</t>
  </si>
  <si>
    <t>VIRGINIE DIBARBOURE</t>
  </si>
  <si>
    <t>vdibarboure@bricodepot.com</t>
  </si>
  <si>
    <t>PATICIA LE GOFF NEVEU</t>
  </si>
  <si>
    <t>plegoffneveu@bricodepot.com</t>
  </si>
  <si>
    <t>ORANE  GAUDIN</t>
  </si>
  <si>
    <t>ogaudin@bricodepot.com</t>
  </si>
  <si>
    <t>ORANE GAUDIN</t>
  </si>
  <si>
    <t>RN 12. Espace Commercial du chène vert</t>
  </si>
  <si>
    <t>22190 Plerin</t>
  </si>
  <si>
    <t>15 Ans 9 Mois</t>
  </si>
  <si>
    <t xml:space="preserve"> CMGO 116392</t>
  </si>
  <si>
    <t>IP600705</t>
  </si>
  <si>
    <t>FR7630004023230001064838678</t>
  </si>
  <si>
    <t>yZIY612</t>
  </si>
  <si>
    <t>ST MALO (Plouer sur Rance)</t>
  </si>
  <si>
    <t>ERIC LO NEGRO</t>
  </si>
  <si>
    <t>elonegro@bricodepot.com</t>
  </si>
  <si>
    <t>MAXIME CHAUVIN</t>
  </si>
  <si>
    <t>mchauvin@bricodepot.com</t>
  </si>
  <si>
    <t>ANNE ARABEYRE</t>
  </si>
  <si>
    <t>aarabeyre@bricodepot.com</t>
  </si>
  <si>
    <t>ARNAUD PULLANO</t>
  </si>
  <si>
    <t>apullano@bricodepot.com</t>
  </si>
  <si>
    <t>CHRISTIAN MICHEL</t>
  </si>
  <si>
    <t>cmichel@bricodepot.com</t>
  </si>
  <si>
    <t>FREDERIC DARDOU</t>
  </si>
  <si>
    <t>fdardou@bricodepot.com</t>
  </si>
  <si>
    <t>CLAUDIE KLINGENBERG</t>
  </si>
  <si>
    <t>cklingenberg@bricodepot.com</t>
  </si>
  <si>
    <t>NATHALIE KORALEWSKI</t>
  </si>
  <si>
    <t>nkoralewski@bricodepot.com</t>
  </si>
  <si>
    <t>Lieu dit Le Grand Clos</t>
  </si>
  <si>
    <t>22490 Plouer Sur Rance</t>
  </si>
  <si>
    <t>REPRISE SUPER U</t>
  </si>
  <si>
    <t>Cuisine, SdB, douche, gros volumes (poêles à bois,carrelage etc…)</t>
  </si>
  <si>
    <t>IP600706</t>
  </si>
  <si>
    <t>FR7630004023230001128810178</t>
  </si>
  <si>
    <t>GYhe817</t>
  </si>
  <si>
    <t>ALBERTVILLE (Tournon)</t>
  </si>
  <si>
    <t>FREDERIC LACROIX</t>
  </si>
  <si>
    <t>flacroix@bricodepot.com</t>
  </si>
  <si>
    <t>AURELIEN  GODART</t>
  </si>
  <si>
    <t>agodart@bricodepot.com</t>
  </si>
  <si>
    <t>SEBASTIEN  GIRERD</t>
  </si>
  <si>
    <t>sgirerd@bricodepot.com</t>
  </si>
  <si>
    <t>MICKAEL SOLOWIEZ</t>
  </si>
  <si>
    <t>msolowiez@bricodepot.com</t>
  </si>
  <si>
    <t>AURELIEN GODART</t>
  </si>
  <si>
    <t>JULIE GUICHARD</t>
  </si>
  <si>
    <t>jguichard@bricodepot.com</t>
  </si>
  <si>
    <t>CHRISTELLE VENDANGE</t>
  </si>
  <si>
    <t>cvendange@bricodepot.com</t>
  </si>
  <si>
    <t>Rue du Bois de l’Ile</t>
  </si>
  <si>
    <t>73460 Tournon</t>
  </si>
  <si>
    <t>1111 - PF de St Martin de Crau</t>
  </si>
  <si>
    <t>Dans la cour matériaux</t>
  </si>
  <si>
    <t>Prévue en oct 20</t>
  </si>
  <si>
    <t>Meubles SdB, paroie de douche, cuisine BALI.</t>
  </si>
  <si>
    <t>IP600749</t>
  </si>
  <si>
    <t>FR7630004023230001171674478</t>
  </si>
  <si>
    <t>TSlU379</t>
  </si>
  <si>
    <t>ANNEMASSE (Vétraz Monthoux)</t>
  </si>
  <si>
    <t>CEDRIC PUPIER</t>
  </si>
  <si>
    <t>cpupier@bricodepot.com</t>
  </si>
  <si>
    <t>YANNICK HERTEL</t>
  </si>
  <si>
    <t>yhertel@bricodepot.com</t>
  </si>
  <si>
    <t>TATIANA COURTIN</t>
  </si>
  <si>
    <t>tcourtin@bricodepot.com</t>
  </si>
  <si>
    <t>NATHALIE NOVAIS</t>
  </si>
  <si>
    <t>nnovais@bricodepot.com</t>
  </si>
  <si>
    <t>DELPHINE MOREAU</t>
  </si>
  <si>
    <t>dmoreau@bricodepot.com</t>
  </si>
  <si>
    <t>FREDERICK GALLARD BENOIST</t>
  </si>
  <si>
    <t>fgallardbenoist@bricodepot.com</t>
  </si>
  <si>
    <t>DIANE EGGERMONT</t>
  </si>
  <si>
    <t>deggermont@bricodepot.com</t>
  </si>
  <si>
    <t>124 Route de Taninges</t>
  </si>
  <si>
    <t>74100 Vetraz Monthoux</t>
  </si>
  <si>
    <t>IP600751</t>
  </si>
  <si>
    <t>FR7630004023230001078632078</t>
  </si>
  <si>
    <t>cZgV422</t>
  </si>
  <si>
    <t>CLERMONT FERRAND (Lempdes)</t>
  </si>
  <si>
    <t>GUILLAUME CHESNAIS</t>
  </si>
  <si>
    <t>gchesnais@bricodepot.com</t>
  </si>
  <si>
    <t>JEAN-LUC RIBANIER</t>
  </si>
  <si>
    <t>jribanier@bricodepot.com</t>
  </si>
  <si>
    <t>DAVID DUCROS</t>
  </si>
  <si>
    <t>dducros@bricodepot.com</t>
  </si>
  <si>
    <t>BENJAMIN FERRARI</t>
  </si>
  <si>
    <t>bferrari@bricodepot.com</t>
  </si>
  <si>
    <t>AZIZ OUSSAID</t>
  </si>
  <si>
    <t>aoussaid@bricodepot.com</t>
  </si>
  <si>
    <t>CHRISTOPHE BURIAS</t>
  </si>
  <si>
    <t>cburias@bricodepot.com</t>
  </si>
  <si>
    <t>ELISABETH DA COSTA</t>
  </si>
  <si>
    <t>edacosta@bricodepot.com</t>
  </si>
  <si>
    <t>NATHALIE PERRONNET</t>
  </si>
  <si>
    <t>nperronnet@bricodepot.com</t>
  </si>
  <si>
    <t>RN 89. 56 avenue de l'Europe</t>
  </si>
  <si>
    <t>63370 Lempdes</t>
  </si>
  <si>
    <t xml:space="preserve"> SdB, douche, Poele, cheminée</t>
  </si>
  <si>
    <t>LORENZO 113513</t>
  </si>
  <si>
    <t>IP600752</t>
  </si>
  <si>
    <t>FR7630004023230001044643278</t>
  </si>
  <si>
    <t>Kjkv351</t>
  </si>
  <si>
    <t>LYON (St Priest)</t>
  </si>
  <si>
    <t>CHRISTOPHE DALLEMAGNE</t>
  </si>
  <si>
    <t>cdallemagne@bricodepot.com</t>
  </si>
  <si>
    <t>FABRICE GOMEZ</t>
  </si>
  <si>
    <t>fgomez@bricodepot.com</t>
  </si>
  <si>
    <t>FABIEN GOMEZ</t>
  </si>
  <si>
    <t>CHRISTOPHE DRIOUX</t>
  </si>
  <si>
    <t>cdrioux@bricodepot.com</t>
  </si>
  <si>
    <t>JEAN BATISTE LAROCHE</t>
  </si>
  <si>
    <t>jlaroche@bricodepot.com</t>
  </si>
  <si>
    <t>ISMAYIL INCI</t>
  </si>
  <si>
    <t>iinci@bricodepot.com</t>
  </si>
  <si>
    <t>ISMAIL INCI</t>
  </si>
  <si>
    <t>KEVIN SCHOEFFRE</t>
  </si>
  <si>
    <t>kschoeffre@bricodepot.com</t>
  </si>
  <si>
    <t>JACQUELINE PEROT</t>
  </si>
  <si>
    <t>jperot@bricodepot.com</t>
  </si>
  <si>
    <t>CAROLINE BONOT</t>
  </si>
  <si>
    <t>cbonot@bricodepot.com</t>
  </si>
  <si>
    <t>RN 6. Route de Grenoble</t>
  </si>
  <si>
    <t>69800 Saint Priest</t>
  </si>
  <si>
    <t>13 Ans 11 Mois</t>
  </si>
  <si>
    <t>CARRIERES DU BASSIN RHONALPIN 112138</t>
  </si>
  <si>
    <t>IP600753</t>
  </si>
  <si>
    <t>FR7630004023230001078602978</t>
  </si>
  <si>
    <t>ucla893</t>
  </si>
  <si>
    <t>MÂCON (Crèches sur Saone)</t>
  </si>
  <si>
    <t>MATHIEU VERRIER</t>
  </si>
  <si>
    <t>mverrier@bricodepot.com</t>
  </si>
  <si>
    <t>DAMIEN MERCIER</t>
  </si>
  <si>
    <t>dmercier@bricodepot.com</t>
  </si>
  <si>
    <t>SEBASTIEN DAGOS</t>
  </si>
  <si>
    <t>sdagos@bricodepot.com</t>
  </si>
  <si>
    <t>CAROLE PAJAK</t>
  </si>
  <si>
    <t>cpajak@bricodepot.com</t>
  </si>
  <si>
    <t>LOIC THIZY</t>
  </si>
  <si>
    <t>lthizy@bricodepot.com</t>
  </si>
  <si>
    <t>LAURENE PETIT</t>
  </si>
  <si>
    <t>lpetit@bricodepot.com</t>
  </si>
  <si>
    <t>CHRISTINE TEIXEIRA</t>
  </si>
  <si>
    <t>cteixeira@bricodepot.com</t>
  </si>
  <si>
    <t>ZAC des Bouchardes</t>
  </si>
  <si>
    <t>71680 Crèches sur Saône</t>
  </si>
  <si>
    <t>Meuble, cabine, parois SdB via menuiserie dans le dépôt</t>
  </si>
  <si>
    <t>GRANULATS VICAT 116790</t>
  </si>
  <si>
    <t>IP600754</t>
  </si>
  <si>
    <t>FR7630004023230001044730578</t>
  </si>
  <si>
    <t>lUNT577</t>
  </si>
  <si>
    <t>MONTCEAU LES MINES</t>
  </si>
  <si>
    <t>JEAN MARC ANSOTTE</t>
  </si>
  <si>
    <t>mansotte@bricodepot.com</t>
  </si>
  <si>
    <t>EMMANUEL GRANDJEAN</t>
  </si>
  <si>
    <t>egrandjean@bricodepot.com</t>
  </si>
  <si>
    <t>COLIN LEFEVRE</t>
  </si>
  <si>
    <t>clefevre@bricodepot.com</t>
  </si>
  <si>
    <t>PASCAL SERRAND</t>
  </si>
  <si>
    <t>pserrand@bricodepot.com</t>
  </si>
  <si>
    <t>PASCAL  SERRAND</t>
  </si>
  <si>
    <t>ANAIS POINTURIER</t>
  </si>
  <si>
    <t>apointurier@bricodepot.com</t>
  </si>
  <si>
    <t xml:space="preserve">ZA Chatillon </t>
  </si>
  <si>
    <t>71300 Montceau les Mines</t>
  </si>
  <si>
    <t>Menuiserie ouverte, pas de rack pour exposer les fenetres, que de la SU</t>
  </si>
  <si>
    <t>CARRIERES DU MONT ST VINCENT 116046</t>
  </si>
  <si>
    <t>IP600421</t>
  </si>
  <si>
    <t>FR7630004023230001138325878</t>
  </si>
  <si>
    <t xml:space="preserve"> llNn846</t>
  </si>
  <si>
    <t>ROANNE (parigny)</t>
  </si>
  <si>
    <t>LAURENT TUDAL</t>
  </si>
  <si>
    <t>ltudal@bricodepot.com</t>
  </si>
  <si>
    <t>MARC DEVIDAL</t>
  </si>
  <si>
    <t>mdevidal@bricodepot.com</t>
  </si>
  <si>
    <t>HERVE CHIGNIER</t>
  </si>
  <si>
    <t>hchignier@bricodepot.com</t>
  </si>
  <si>
    <t>GUILLAUME GORET</t>
  </si>
  <si>
    <t>ggoret@bricodepot.com</t>
  </si>
  <si>
    <t>VINCENT MONTEIL</t>
  </si>
  <si>
    <t>vmonteil@bricodepot.com</t>
  </si>
  <si>
    <t>FLORIAN  BIDET</t>
  </si>
  <si>
    <t>fbidet@bricodepot.com</t>
  </si>
  <si>
    <t xml:space="preserve">LAURENT TUDAL </t>
  </si>
  <si>
    <t>SOPHIE VALLET</t>
  </si>
  <si>
    <t>svallet@bricodepot.com</t>
  </si>
  <si>
    <t>NATHALIE FERREOL</t>
  </si>
  <si>
    <t>nferreol@bricodepot.com</t>
  </si>
  <si>
    <t>RD 207. Lieu-dit Les Plaines</t>
  </si>
  <si>
    <t>42120 Parigny</t>
  </si>
  <si>
    <t>nous sommes en train de changer en ce moment meme</t>
  </si>
  <si>
    <t xml:space="preserve">Cuisine, meubles de SdB, paroi de douche </t>
  </si>
  <si>
    <t>IP600755</t>
  </si>
  <si>
    <t>FR7630004023230001059833478</t>
  </si>
  <si>
    <t>Winv479</t>
  </si>
  <si>
    <t>ST ETIENNE (Méons)</t>
  </si>
  <si>
    <t>SEBASTIEN QUENOT</t>
  </si>
  <si>
    <t>squenot@bricodepot.com</t>
  </si>
  <si>
    <t>AURELIEN FAURE</t>
  </si>
  <si>
    <t>afaure@bricodepot.com</t>
  </si>
  <si>
    <t>ALAIN POLTE</t>
  </si>
  <si>
    <t>apolte@bricodepot.com</t>
  </si>
  <si>
    <t>ISABELLE DIEVAL</t>
  </si>
  <si>
    <t>idieval@bricodepot.com</t>
  </si>
  <si>
    <t>JEROME HAMEL</t>
  </si>
  <si>
    <t>jhamel@bricodepot.com</t>
  </si>
  <si>
    <t>VINCENT  FOREST</t>
  </si>
  <si>
    <t>vforest@bricodepot.com</t>
  </si>
  <si>
    <t>CHRISTELLE POISOT</t>
  </si>
  <si>
    <t>cpoisot@bricodepot.com</t>
  </si>
  <si>
    <t>ELODIE SIMON</t>
  </si>
  <si>
    <t>esimon@bricodepot.com</t>
  </si>
  <si>
    <t xml:space="preserve">154 Rue Jean Rostand </t>
  </si>
  <si>
    <t>42000 Saint Etienne</t>
  </si>
  <si>
    <t>REVITALISATION 2015</t>
  </si>
  <si>
    <t>IP600757</t>
  </si>
  <si>
    <t>FR7630004023230001070581078</t>
  </si>
  <si>
    <t xml:space="preserve"> Jtcy662</t>
  </si>
  <si>
    <t>VILLEFRANCHE SUR SAÔNE</t>
  </si>
  <si>
    <t>JULIEN MUTIN</t>
  </si>
  <si>
    <t>jmutin@bricodepot.com</t>
  </si>
  <si>
    <t>TONY POUGARY</t>
  </si>
  <si>
    <t>tpougary@bricodepot.com</t>
  </si>
  <si>
    <t>SALIMA MAMMERI</t>
  </si>
  <si>
    <t>smammeri@bricodepot.com</t>
  </si>
  <si>
    <t>FRANCOIS GOUY</t>
  </si>
  <si>
    <t>fgouy@bricodepot.com</t>
  </si>
  <si>
    <t>OLIVIER ZOUNIB</t>
  </si>
  <si>
    <t>ozounib@bricodepot.com</t>
  </si>
  <si>
    <t>STEPHANIE DUGOUJARD</t>
  </si>
  <si>
    <t>sdugoujard@bricodepot.com</t>
  </si>
  <si>
    <t>LAETITIA CASTRO COLOMB</t>
  </si>
  <si>
    <t>lcastrocolomb@bricodepot.com</t>
  </si>
  <si>
    <t>ZAC du Garet. 390 rue François Meunier Vial</t>
  </si>
  <si>
    <t>69400 Villefranche sur Saône</t>
  </si>
  <si>
    <t xml:space="preserve"> SdB, douche, parois, poëles, inserts, polylisse, chauffe-eau. </t>
  </si>
  <si>
    <t>IP600758</t>
  </si>
  <si>
    <t>FR7630004023230001070561678</t>
  </si>
  <si>
    <t>wQot704</t>
  </si>
  <si>
    <t>AVIGNON (Le Pontet)</t>
  </si>
  <si>
    <t>PROVENCE-ALPES-COTE D'AZUR</t>
  </si>
  <si>
    <t>Sud Est</t>
  </si>
  <si>
    <t>Wylli TINTIN</t>
  </si>
  <si>
    <t>MICHEL VERLAINE</t>
  </si>
  <si>
    <t>mverlaine@bricodepot.com</t>
  </si>
  <si>
    <t>NASSIM SAHI</t>
  </si>
  <si>
    <t>nsahi@bricodepot.com</t>
  </si>
  <si>
    <t xml:space="preserve">PIERRE NICOLAS  BROCHE </t>
  </si>
  <si>
    <t xml:space="preserve">pbrochebricodepot.com </t>
  </si>
  <si>
    <t>PATRICK GIRIER</t>
  </si>
  <si>
    <t>pgirier@bricodepot.com</t>
  </si>
  <si>
    <t>JACQUES  TEIXEIRA</t>
  </si>
  <si>
    <t>jteixeira@bricodepot.com</t>
  </si>
  <si>
    <t>JACQUES TEIVEIRA</t>
  </si>
  <si>
    <t>CELINE PATISSIER</t>
  </si>
  <si>
    <t>cpatissier@bricodepot.com</t>
  </si>
  <si>
    <t>CARLOS DA ROCHA</t>
  </si>
  <si>
    <t>cdarocha@bricodepot.com</t>
  </si>
  <si>
    <t>YOLANDE GERBOD</t>
  </si>
  <si>
    <t>ygerbod@bricodepot.com</t>
  </si>
  <si>
    <t>DAVID DARDAILLON</t>
  </si>
  <si>
    <t>Corinne BLANCHARD</t>
  </si>
  <si>
    <t>227 avenue du Maréchal Leclerc. CS 20012</t>
  </si>
  <si>
    <t>84130 Le Pontet</t>
  </si>
  <si>
    <t>Expo SAS + Surface de vente intérieure</t>
  </si>
  <si>
    <t>CD 9502</t>
  </si>
  <si>
    <t>SDB DOUCHE PAROIS</t>
  </si>
  <si>
    <t>LES CALCAIRES REGIONAUX  119145</t>
  </si>
  <si>
    <t>IP600759</t>
  </si>
  <si>
    <t>FR7630004023230001044817878</t>
  </si>
  <si>
    <t>SQDu291</t>
  </si>
  <si>
    <t>MARSEILLE</t>
  </si>
  <si>
    <t>HAMID ASSIOUI</t>
  </si>
  <si>
    <t>hassioui@bricodepot.com</t>
  </si>
  <si>
    <t>AHMED BOURAHIME</t>
  </si>
  <si>
    <t>abourahime@bricodepot.com</t>
  </si>
  <si>
    <t>THIERRY GUIFFRE</t>
  </si>
  <si>
    <t>tguiffre@bricodepot.com</t>
  </si>
  <si>
    <t>DAVID OROZCO</t>
  </si>
  <si>
    <t>dorozco@bricodepot.com</t>
  </si>
  <si>
    <t>HOSNI ZOUABI</t>
  </si>
  <si>
    <t>hzouabi@bricodepot.com</t>
  </si>
  <si>
    <t>RAPHAEL PECCE</t>
  </si>
  <si>
    <t>rpecce@bricodepot.com</t>
  </si>
  <si>
    <t>NORRIA ROQUES</t>
  </si>
  <si>
    <t>nroques@bricodepot.com</t>
  </si>
  <si>
    <t>YANNICK DEVOLDER</t>
  </si>
  <si>
    <t>ydevolder@bricodepot.com</t>
  </si>
  <si>
    <t>79 Av. de la Rose</t>
  </si>
  <si>
    <t>13013 Marseille</t>
  </si>
  <si>
    <t>REPRISE RENAULT</t>
  </si>
  <si>
    <t>coffre, caisse</t>
  </si>
  <si>
    <t>IP600760</t>
  </si>
  <si>
    <t>FR7630004023230001045060378</t>
  </si>
  <si>
    <t>CWng471</t>
  </si>
  <si>
    <t>MARTIGUES</t>
  </si>
  <si>
    <t>PASCAL THELLIER</t>
  </si>
  <si>
    <t>pthellier@bricodepot.com</t>
  </si>
  <si>
    <t>NICOLAS BUCHAUT</t>
  </si>
  <si>
    <t>nbuchaut@bricodepot.com</t>
  </si>
  <si>
    <t>MARC BOUCHER</t>
  </si>
  <si>
    <t>mboucher@bricodepot.com</t>
  </si>
  <si>
    <t>CLEMENTINE VAYRE</t>
  </si>
  <si>
    <t>cvayre@bricodepot.com</t>
  </si>
  <si>
    <t>JEROME BERNE</t>
  </si>
  <si>
    <t>jberne@bricodepot.com</t>
  </si>
  <si>
    <t>BADIS GHERRAICHE</t>
  </si>
  <si>
    <t>bgherraichebridodepot.com</t>
  </si>
  <si>
    <t>SANDRA LUCCHINI</t>
  </si>
  <si>
    <t>slucchini@bricodepot.com</t>
  </si>
  <si>
    <t>OCEANE OZOUF</t>
  </si>
  <si>
    <t>oozouf@bricodepot.com</t>
  </si>
  <si>
    <t>2 rue Jacques de Vaucanson</t>
  </si>
  <si>
    <t>13500 Martigues</t>
  </si>
  <si>
    <t>ABT 2016</t>
  </si>
  <si>
    <t>IP600761</t>
  </si>
  <si>
    <t>FR7630004023230001045079778</t>
  </si>
  <si>
    <t>riDs489</t>
  </si>
  <si>
    <t>MONTELIMAR (Saulce sur Rhône)</t>
  </si>
  <si>
    <t>CEDRIC PIAZZA</t>
  </si>
  <si>
    <t>cpiazza@bricodepot.com</t>
  </si>
  <si>
    <t>JACKIE RENE LEMONNIER</t>
  </si>
  <si>
    <t>jlemonnier@bricodepot.com</t>
  </si>
  <si>
    <t>FOUAD EL AOUD</t>
  </si>
  <si>
    <t>felaoud@bricodepot.com</t>
  </si>
  <si>
    <t>PATRICE ASNARD</t>
  </si>
  <si>
    <t>pasnard@bricodepot.com</t>
  </si>
  <si>
    <t>ZOHAIRE SIJLIMASSI</t>
  </si>
  <si>
    <t>zsijlimassi@bricodepot.com</t>
  </si>
  <si>
    <t>PHILIPPE COLOMBET</t>
  </si>
  <si>
    <t>pcolombet@bricodepot.com</t>
  </si>
  <si>
    <t>MAUD BESSON</t>
  </si>
  <si>
    <t>mbesson@bricodepot.com</t>
  </si>
  <si>
    <t>RN 7. ZA du Pave. Lieu-dit Saulce sur Rhône</t>
  </si>
  <si>
    <t>26270 Saulce sur Rhône</t>
  </si>
  <si>
    <t xml:space="preserve">Sarl SAS 26 / ALPA </t>
  </si>
  <si>
    <t>IP600762</t>
  </si>
  <si>
    <t>FR7630004023230001044672378</t>
  </si>
  <si>
    <t>OILz788</t>
  </si>
  <si>
    <t>MONTPELLIER (Lattes)</t>
  </si>
  <si>
    <t>BERTRAND BIGNAN</t>
  </si>
  <si>
    <t>bbignan@bricodepot.com</t>
  </si>
  <si>
    <t>ABDELFETAH CHIGUER</t>
  </si>
  <si>
    <t>achiguer@bricodepot.com</t>
  </si>
  <si>
    <t>PHILIPPE CASCALES</t>
  </si>
  <si>
    <t>pcascales@bricodepot.com</t>
  </si>
  <si>
    <t>VIRGINIE CARRE</t>
  </si>
  <si>
    <t>vcarre@bricodepot.com</t>
  </si>
  <si>
    <t>ANTOINE  MUNIER</t>
  </si>
  <si>
    <t>amunier@bricodepot.com</t>
  </si>
  <si>
    <t>ADEL BEN MANSOUR</t>
  </si>
  <si>
    <t>abenmansour@bricodepot.com</t>
  </si>
  <si>
    <t>VERONIQUE BODREN</t>
  </si>
  <si>
    <t>vbodren@bricodepot.com</t>
  </si>
  <si>
    <t>OLIVIER BORRON</t>
  </si>
  <si>
    <t>oborron@bricodepot.com</t>
  </si>
  <si>
    <t>Chemin du Grand Rondelet</t>
  </si>
  <si>
    <t>34970 Lattes</t>
  </si>
  <si>
    <t>LRM 119924</t>
  </si>
  <si>
    <t>IP600763</t>
  </si>
  <si>
    <t>FR7630004023230001064858078</t>
  </si>
  <si>
    <t>htCn615</t>
  </si>
  <si>
    <t>NICE</t>
  </si>
  <si>
    <t>OLIVIER BELET</t>
  </si>
  <si>
    <t>obelet@bricodepot.com</t>
  </si>
  <si>
    <t>GREGORY DAMIANO</t>
  </si>
  <si>
    <t>gdamano@bricodepot.com</t>
  </si>
  <si>
    <t>J.CHRISTOPHE PALANCA</t>
  </si>
  <si>
    <t>jpalanca@bricodepot.com</t>
  </si>
  <si>
    <t>OLIVIER LEMAIRE</t>
  </si>
  <si>
    <t>olemaire@bricodepot.com</t>
  </si>
  <si>
    <t>IBRAHIM MAKAADI</t>
  </si>
  <si>
    <t>imakaadi@bricodepot.com</t>
  </si>
  <si>
    <t>LUDOVIC MIKOLAJCZAK</t>
  </si>
  <si>
    <t>mikolajczak@bricodepot.com</t>
  </si>
  <si>
    <t>LAETITIA RIZZO</t>
  </si>
  <si>
    <t>lrizzo@bricodepot.com</t>
  </si>
  <si>
    <t>CELINE MAZZELLA</t>
  </si>
  <si>
    <t>cmazzella@bricodepot.com</t>
  </si>
  <si>
    <t>Chemin Auda   CC Lingostière Route de Grenoble</t>
  </si>
  <si>
    <t>06000 Nice</t>
  </si>
  <si>
    <t>07:00 à 20:00</t>
  </si>
  <si>
    <t>IP600764</t>
  </si>
  <si>
    <t>FR7630004023230001148743678</t>
  </si>
  <si>
    <t>DqNB110</t>
  </si>
  <si>
    <t>NIMES (Aigues Vives)</t>
  </si>
  <si>
    <t>szimmermann2@bricodepot.com</t>
  </si>
  <si>
    <t>SAID KETOUY</t>
  </si>
  <si>
    <t>sketouy@bricodepot.com </t>
  </si>
  <si>
    <t>BRIENNE BRUNO</t>
  </si>
  <si>
    <t>bbruno@bricodepot.com</t>
  </si>
  <si>
    <t>CELINE RIGAULT</t>
  </si>
  <si>
    <t>crigault@bricodepot.com</t>
  </si>
  <si>
    <t>ANAIS BRIFFAUD</t>
  </si>
  <si>
    <t>Pépinière</t>
  </si>
  <si>
    <t>FABRICE CHARAVIT</t>
  </si>
  <si>
    <t>fcharavit@bricodepot.com</t>
  </si>
  <si>
    <t>THIERRY HENNETIER</t>
  </si>
  <si>
    <t>thennetier@bricodepot.com</t>
  </si>
  <si>
    <t>NADIA FLEURANT</t>
  </si>
  <si>
    <t>nfleurant@bricodepot.com</t>
  </si>
  <si>
    <t>RN 113.</t>
  </si>
  <si>
    <t>30670 Aigues Vives</t>
  </si>
  <si>
    <t>REPRISE BATILO</t>
  </si>
  <si>
    <t>2 Tentative</t>
  </si>
  <si>
    <t>IP600765</t>
  </si>
  <si>
    <t>FR7630004023230001045021578</t>
  </si>
  <si>
    <t>UAYK774</t>
  </si>
  <si>
    <t>SISTERON</t>
  </si>
  <si>
    <t>BERTRAND COTTEAU</t>
  </si>
  <si>
    <t>bcotteau@bricodepot.com</t>
  </si>
  <si>
    <t>LAURENT HARDY</t>
  </si>
  <si>
    <t>lhardy@bricodepot.com</t>
  </si>
  <si>
    <t>LAURENT  HARDY</t>
  </si>
  <si>
    <t>AURELIEN  FAVIER</t>
  </si>
  <si>
    <t>afavier@bricodepot.com</t>
  </si>
  <si>
    <t>VIRGINIE RABASSE</t>
  </si>
  <si>
    <t>vrabasse@bricodepot.com</t>
  </si>
  <si>
    <t>CHARLENE DUMON</t>
  </si>
  <si>
    <t>cdumon@bricodepot.com</t>
  </si>
  <si>
    <t>Parc d'activités Val de Durance</t>
  </si>
  <si>
    <t>04200 Sisteron</t>
  </si>
  <si>
    <t>IP600775</t>
  </si>
  <si>
    <t>FR7630004023230001156426078</t>
  </si>
  <si>
    <t>FgTI611</t>
  </si>
  <si>
    <t>TOULON</t>
  </si>
  <si>
    <t>MICHEL LORIA</t>
  </si>
  <si>
    <t>mloria@bricodepot.com</t>
  </si>
  <si>
    <t>ERIC HANN</t>
  </si>
  <si>
    <t>ehann@bricodepot.com</t>
  </si>
  <si>
    <t>MARIO NAZZI</t>
  </si>
  <si>
    <t>mnazzi@bricodepot.com</t>
  </si>
  <si>
    <t>STEPHANE FONTES</t>
  </si>
  <si>
    <t>sfontes@bricodepot.com</t>
  </si>
  <si>
    <t>FRANCK ANCONA</t>
  </si>
  <si>
    <t>fancona@bricodepot.com</t>
  </si>
  <si>
    <t>LAURENT CHEREAU</t>
  </si>
  <si>
    <t>lchereau@bricodepot.com</t>
  </si>
  <si>
    <t>JEAN MARC VALETTO</t>
  </si>
  <si>
    <t>jvaletto@bricodepot.com</t>
  </si>
  <si>
    <t>JESSICA VIC</t>
  </si>
  <si>
    <t>jvic@bricodepot.com</t>
  </si>
  <si>
    <t xml:space="preserve">Rue Sainte Claire Deville </t>
  </si>
  <si>
    <t>83000 Toulon</t>
  </si>
  <si>
    <t>13 Ans 8 Mois</t>
  </si>
  <si>
    <t>Notre menuiseire est déporté du dépot, nous avons donc des expos en arrières caisse et des rack en extérieur à la menuiserie.</t>
  </si>
  <si>
    <t>IP600776</t>
  </si>
  <si>
    <t>FR7630004023230001078670878</t>
  </si>
  <si>
    <t>vFYg899</t>
  </si>
  <si>
    <t>VALENCE (Etoile sur Rhône)</t>
  </si>
  <si>
    <t>FRANTZ DECIEUX</t>
  </si>
  <si>
    <t>fdecieux@bricodepot.com</t>
  </si>
  <si>
    <t>RACHID LIMANE</t>
  </si>
  <si>
    <t>rlimane@bricodepot.com</t>
  </si>
  <si>
    <t>EMILE  ARNAUD</t>
  </si>
  <si>
    <t>earnaud2@bricodepot.com</t>
  </si>
  <si>
    <t>BLANDINE DELOCHE</t>
  </si>
  <si>
    <t>bdeloche@bricodepot.com</t>
  </si>
  <si>
    <t>ODILE FERRER</t>
  </si>
  <si>
    <t>oferrer@bricodepot.com</t>
  </si>
  <si>
    <t>AURELIE DELHOMME</t>
  </si>
  <si>
    <t>adelhomme@bricodepot.com</t>
  </si>
  <si>
    <t>315 Rue des Bosses</t>
  </si>
  <si>
    <t>26800 Etoile sur Rhone</t>
  </si>
  <si>
    <t>SMAG 126884</t>
  </si>
  <si>
    <t>IP600777</t>
  </si>
  <si>
    <t>FR7630004023230001045031278</t>
  </si>
  <si>
    <t>Iqjt671</t>
  </si>
  <si>
    <t>TARBES (Odos)</t>
  </si>
  <si>
    <t>PAUL WITKAMP</t>
  </si>
  <si>
    <t>pwitkamp@bricodepot.com</t>
  </si>
  <si>
    <t>VINCENT PENARD</t>
  </si>
  <si>
    <t>vpenard@bricodepot.com</t>
  </si>
  <si>
    <t>PAUL LE CAR</t>
  </si>
  <si>
    <t>plecar@bricodepot.com</t>
  </si>
  <si>
    <t>HALIL  ATACK</t>
  </si>
  <si>
    <t>hatack@bricodepot.com</t>
  </si>
  <si>
    <t>GUILLAUME STREHL</t>
  </si>
  <si>
    <t>gstrehl@bricodepot.com</t>
  </si>
  <si>
    <t>FLORIAN  CHOUDER</t>
  </si>
  <si>
    <t>fchouder@bricodepot.com</t>
  </si>
  <si>
    <t>GERALDINE SORO</t>
  </si>
  <si>
    <t>gsoro@bricodepot.com</t>
  </si>
  <si>
    <t>MARIE JOSE CAPILLA</t>
  </si>
  <si>
    <t>mcapilla@bricodepot.com</t>
  </si>
  <si>
    <t>RD 921A. Route de Lourdes</t>
  </si>
  <si>
    <t>65310 Odos</t>
  </si>
  <si>
    <t>CARRIERES DE VIC SITE DE VIC ADOUR 112154</t>
  </si>
  <si>
    <t>IP600785</t>
  </si>
  <si>
    <t>FR7630004023230001044701478</t>
  </si>
  <si>
    <t>VFlM900</t>
  </si>
  <si>
    <t>BEZIERS (Colombiers)</t>
  </si>
  <si>
    <t>LOUIS TRACOL</t>
  </si>
  <si>
    <t>ltracol@bricodepot.com</t>
  </si>
  <si>
    <t>COMLAN TOBOSSI</t>
  </si>
  <si>
    <t>ctobossi@bricodepot.com</t>
  </si>
  <si>
    <t>COMPLAN TOBOSSI</t>
  </si>
  <si>
    <t>BERTRAND SZCZEPANEK</t>
  </si>
  <si>
    <t>bszczepanek@bricodepot.com</t>
  </si>
  <si>
    <t>NICOLAS LEMEE</t>
  </si>
  <si>
    <t>nlemee@bricodepot.com</t>
  </si>
  <si>
    <t>ERIC CARCELES</t>
  </si>
  <si>
    <t>ecarceles@bricodepot.com</t>
  </si>
  <si>
    <t>BRUNO MADY</t>
  </si>
  <si>
    <t>bmady@bricodepot.com</t>
  </si>
  <si>
    <t>MURIEL CASCALES</t>
  </si>
  <si>
    <t>mcascales@bricodepot.com</t>
  </si>
  <si>
    <t>ANGELIQUE GOURIER</t>
  </si>
  <si>
    <t>agourier@bricodepot.com</t>
  </si>
  <si>
    <t>RN 113. ZAE de Viargues</t>
  </si>
  <si>
    <t>34440 Colombiers</t>
  </si>
  <si>
    <t>14 Ans 0 Mois</t>
  </si>
  <si>
    <t>BONIFAY SAS 123904</t>
  </si>
  <si>
    <t>IP600804</t>
  </si>
  <si>
    <t>FR7630004023230001078593278</t>
  </si>
  <si>
    <t>FRfQ477</t>
  </si>
  <si>
    <t>AUCH (Pavie)</t>
  </si>
  <si>
    <t>DAMIEN STEFANIAK</t>
  </si>
  <si>
    <t>dstefaniak@bricodepot.com</t>
  </si>
  <si>
    <t>CHRISTOPHE VITALI</t>
  </si>
  <si>
    <t>cvitali@bricodepot.com</t>
  </si>
  <si>
    <t>DANIEL DE AGUIAR</t>
  </si>
  <si>
    <t>ddeaguiar@bricodepot.com</t>
  </si>
  <si>
    <t>YORICK DISSOUBRAY</t>
  </si>
  <si>
    <t>ydissoubray@bricodepot.com</t>
  </si>
  <si>
    <t>HALIMA ENNACIRI</t>
  </si>
  <si>
    <t>hennaciri@bricodepot.com</t>
  </si>
  <si>
    <t xml:space="preserve">SHEEN BRET   </t>
  </si>
  <si>
    <t>sbret@bricodepot.com</t>
  </si>
  <si>
    <t>CARINE KOLTALO</t>
  </si>
  <si>
    <t>ckoltalo@bricodepot.com</t>
  </si>
  <si>
    <t>RN 21. ZI du Sousson</t>
  </si>
  <si>
    <t>32550 Pavie</t>
  </si>
  <si>
    <t>RESCANIERES 126885</t>
  </si>
  <si>
    <t>IP600428</t>
  </si>
  <si>
    <t>FR7630004023230001138345278</t>
  </si>
  <si>
    <t>pdjC383</t>
  </si>
  <si>
    <t>CARCASSONNE</t>
  </si>
  <si>
    <t>CHRISTOPHE ORTU</t>
  </si>
  <si>
    <t>cortu@bricodepot.com</t>
  </si>
  <si>
    <t>CYRIL DAMAS</t>
  </si>
  <si>
    <t>cdamas@bricodepot.com</t>
  </si>
  <si>
    <t>DAMIEN GODEFROY</t>
  </si>
  <si>
    <t>dgodefroy@bricodepot.com</t>
  </si>
  <si>
    <t>MAUD DAVOISNE</t>
  </si>
  <si>
    <t>mdavoisne@bricodepot.com</t>
  </si>
  <si>
    <t>ANTHONY  CORRAL</t>
  </si>
  <si>
    <t>acorral@bricodepot.com</t>
  </si>
  <si>
    <t>LAETITIA ROY</t>
  </si>
  <si>
    <t>lroy@bricodepot.com</t>
  </si>
  <si>
    <t>AGNES SANCHEZ</t>
  </si>
  <si>
    <t>asanchez@bricodepot.com</t>
  </si>
  <si>
    <t>RN 113. Zone Alibert</t>
  </si>
  <si>
    <t>11000 Carcassonne</t>
  </si>
  <si>
    <t>REPRISE BATI LECLERC</t>
  </si>
  <si>
    <t>DOMITIA GRANULATS 112906</t>
  </si>
  <si>
    <t>IP600778</t>
  </si>
  <si>
    <t>FR7630004023230001078651478</t>
  </si>
  <si>
    <t>LLzw769</t>
  </si>
  <si>
    <t>CASTRES (Soual)</t>
  </si>
  <si>
    <t>FABRICE MARTIN</t>
  </si>
  <si>
    <t>fmartin2@bricodepot.com</t>
  </si>
  <si>
    <t>CHRISTOPHE MAYEUX</t>
  </si>
  <si>
    <t>cmayeux@bricodepot.com</t>
  </si>
  <si>
    <t>FABIEN GERMA</t>
  </si>
  <si>
    <t>fgerma@bricodepot.com</t>
  </si>
  <si>
    <t>MICHAEL VENIAT</t>
  </si>
  <si>
    <t>mveniat@bricodepot.com</t>
  </si>
  <si>
    <t>CYRIL SEGER</t>
  </si>
  <si>
    <t>cseger@bricodepot.com</t>
  </si>
  <si>
    <t>DAVID VOSAVANH</t>
  </si>
  <si>
    <t>dvosavanh@bricodepot.com</t>
  </si>
  <si>
    <t>LAURA  PUECH</t>
  </si>
  <si>
    <t>lpuech@bricodepot.com</t>
  </si>
  <si>
    <t>SALEHA AGUAGUENIA</t>
  </si>
  <si>
    <t>saguaguenia@bricodepot.com</t>
  </si>
  <si>
    <t>ZA de la Prade</t>
  </si>
  <si>
    <t>81580 Soual</t>
  </si>
  <si>
    <t xml:space="preserve"> RESCANIERES SAS 126885</t>
  </si>
  <si>
    <t>IP600779</t>
  </si>
  <si>
    <t>FR7630004023230001064828978</t>
  </si>
  <si>
    <t xml:space="preserve"> tlDe359</t>
  </si>
  <si>
    <t>DAX (Mées)</t>
  </si>
  <si>
    <t>ALEXIS ROTTIER</t>
  </si>
  <si>
    <t>arottier@bricodepot.com</t>
  </si>
  <si>
    <t>JEREMY CHALAYA</t>
  </si>
  <si>
    <t>jchalaya@bricodepot.com</t>
  </si>
  <si>
    <t>VIRGINIE DEKLEVA</t>
  </si>
  <si>
    <t>vdekleva@bricodepot.com</t>
  </si>
  <si>
    <t>JOHN LORTHIOIS</t>
  </si>
  <si>
    <t>jlorthiois@bricodepot.com</t>
  </si>
  <si>
    <t>BENOIT MIELLE</t>
  </si>
  <si>
    <t>bmielle@bricodepot.com</t>
  </si>
  <si>
    <t>JEAN  BOREL</t>
  </si>
  <si>
    <t>jborel@bricodepot.com</t>
  </si>
  <si>
    <t>PAULA BELLEAU</t>
  </si>
  <si>
    <t>pbelleau@bricodepot.com</t>
  </si>
  <si>
    <t>LAETITIA GURR MASTRI</t>
  </si>
  <si>
    <t>lgurrmastri@bricodepot.com</t>
  </si>
  <si>
    <t>RD 824. 224 Route d'Ardy</t>
  </si>
  <si>
    <t>40990 Mées</t>
  </si>
  <si>
    <t>SdB, douche</t>
  </si>
  <si>
    <t>CARRIERE LAFITTE CAUNA 112140</t>
  </si>
  <si>
    <t>IP600780</t>
  </si>
  <si>
    <t>FR7630004023230001148733978</t>
  </si>
  <si>
    <t>qvPX328</t>
  </si>
  <si>
    <t>PAMIERS (Verniolle)</t>
  </si>
  <si>
    <t>THIERRY COUASNON</t>
  </si>
  <si>
    <t>tcouasnon@bricodepot.com</t>
  </si>
  <si>
    <t>SYLVAIN RACLOT</t>
  </si>
  <si>
    <t>sraclot@bricodepot.com</t>
  </si>
  <si>
    <t>LIONEL DAIM</t>
  </si>
  <si>
    <t>ldaim@bricodepot.com</t>
  </si>
  <si>
    <t>ABDELLAH BOUHADDOUCH</t>
  </si>
  <si>
    <t>abouhaddouch@bricodepot.com</t>
  </si>
  <si>
    <t>ALEXANDRE DIAS DA COSTA</t>
  </si>
  <si>
    <t>adiasdacosta@bricodepot.com</t>
  </si>
  <si>
    <t>VIRGINIE BERTRAND</t>
  </si>
  <si>
    <t>vbertrand@bricodepot.com</t>
  </si>
  <si>
    <t>MURIELLE GRILLON</t>
  </si>
  <si>
    <t>mgrillon@bricodepot.com</t>
  </si>
  <si>
    <t>Parc Technologique Delta Sud. Zone de Graussette</t>
  </si>
  <si>
    <t>09340 Verniolle</t>
  </si>
  <si>
    <t>IP600781</t>
  </si>
  <si>
    <t>FR7630004023230001093579778</t>
  </si>
  <si>
    <t>hnWm392</t>
  </si>
  <si>
    <t>PAU (Mazeres Lezons)</t>
  </si>
  <si>
    <t>PATRICK HERRERO</t>
  </si>
  <si>
    <t>pherrero@bricodepot.com</t>
  </si>
  <si>
    <t>JEAN-BERNARD GISSAT</t>
  </si>
  <si>
    <t>jgissat@bricodepot.com</t>
  </si>
  <si>
    <t>CATHERINE FONTFREDE</t>
  </si>
  <si>
    <t>cfontfrede@bricodepot.com</t>
  </si>
  <si>
    <t>AURELIA DURDOS</t>
  </si>
  <si>
    <t>adurdos@bricodepot.com</t>
  </si>
  <si>
    <t>ANTHONY RONDEAU</t>
  </si>
  <si>
    <t>arondeau@bricodepot.com</t>
  </si>
  <si>
    <t>DRISSA KEITA</t>
  </si>
  <si>
    <t>dkeita@bricodepot.com</t>
  </si>
  <si>
    <t>FRANCOISE DREAN</t>
  </si>
  <si>
    <t>fdrean@bricodepot.com</t>
  </si>
  <si>
    <t>FABIEN  PINEL</t>
  </si>
  <si>
    <t>fpinel@bricodepot.com</t>
  </si>
  <si>
    <t>Avenue du Général de Gaulle</t>
  </si>
  <si>
    <t>64110 Mazeres Lezons</t>
  </si>
  <si>
    <t>SdB,Douche, Cuisine / Menuiserie</t>
  </si>
  <si>
    <t>IP600783</t>
  </si>
  <si>
    <t>FR7630004023230001044943978</t>
  </si>
  <si>
    <t>NwGj527</t>
  </si>
  <si>
    <t>conditions</t>
  </si>
  <si>
    <t>Chemin de la base de données :</t>
  </si>
  <si>
    <t>Configuration Client</t>
  </si>
  <si>
    <t>Données sociales</t>
  </si>
  <si>
    <t>Statut</t>
  </si>
  <si>
    <t>Ouvert</t>
  </si>
  <si>
    <t>Liste depot</t>
  </si>
  <si>
    <t>24 Ans 10 Mois</t>
  </si>
  <si>
    <t>7 Ans 10 Mois</t>
  </si>
  <si>
    <t>Modifier dépôt</t>
  </si>
  <si>
    <t>Fermeture dépôt</t>
  </si>
  <si>
    <t>16 Ans 4 Mois</t>
  </si>
  <si>
    <t>22 Ans 1 Mois</t>
  </si>
  <si>
    <t>23 Ans 9 Mois</t>
  </si>
  <si>
    <t>11 Ans 11 Mois</t>
  </si>
  <si>
    <t>7 Ans 8 Mois</t>
  </si>
  <si>
    <t>25 Ans 2 Mois</t>
  </si>
  <si>
    <t>16 Ans 11 Mois</t>
  </si>
  <si>
    <t>24 Ans 2 Mois</t>
  </si>
  <si>
    <t>20 Ans 1 Mois</t>
  </si>
  <si>
    <t>17 Ans 4 Mois</t>
  </si>
  <si>
    <t>16 Ans 10 Mois</t>
  </si>
  <si>
    <t>25 Ans 1 Mois</t>
  </si>
  <si>
    <t>25 Ans 11 Mois</t>
  </si>
  <si>
    <t>8 Ans 11 Mois</t>
  </si>
  <si>
    <t>19 Ans 4 Mois</t>
  </si>
  <si>
    <t>8 Ans 6 Mois</t>
  </si>
  <si>
    <t>26 Ans 7 Mois</t>
  </si>
  <si>
    <t>12 Ans 0 Mois</t>
  </si>
  <si>
    <t>23 Ans 8 Mois</t>
  </si>
  <si>
    <t>IDF</t>
  </si>
  <si>
    <t>20 Ans 5 Mois</t>
  </si>
  <si>
    <t>15 Ans 1 Mois</t>
  </si>
  <si>
    <t>7 Ans 11 Mois</t>
  </si>
  <si>
    <t>15 Ans 2 Mois</t>
  </si>
  <si>
    <t>1 Ans 0 Mois</t>
  </si>
  <si>
    <t>15 Ans 10 Mois</t>
  </si>
  <si>
    <t>19 Ans 9 Mois</t>
  </si>
  <si>
    <t>21 Ans 0 Mois</t>
  </si>
  <si>
    <t>22 Ans 8 Mois</t>
  </si>
  <si>
    <t>25 Ans 6 Mois</t>
  </si>
  <si>
    <t>6 Ans 10 Mois</t>
  </si>
  <si>
    <t>16 Ans 5 Mois</t>
  </si>
  <si>
    <t>24 Ans 6 Mois</t>
  </si>
  <si>
    <t>17 Ans 11 Mois</t>
  </si>
  <si>
    <t>20 Ans 11 Mois</t>
  </si>
  <si>
    <t>22 Ans 2 Mois</t>
  </si>
  <si>
    <t>5 Ans 2 Mois</t>
  </si>
  <si>
    <t>19 Ans 10 Mois</t>
  </si>
  <si>
    <t>3 Ans 11 Mois</t>
  </si>
  <si>
    <t>23 Ans 10 Mois</t>
  </si>
  <si>
    <t>14 Ans 1 Mois</t>
  </si>
  <si>
    <t>8 Ans 7 Mois</t>
  </si>
  <si>
    <t>17 Ans 10 Mois</t>
  </si>
  <si>
    <t>24 Ans 1 Mois</t>
  </si>
  <si>
    <t>6 Ans 7 Mois</t>
  </si>
  <si>
    <t>18 Ans 8 Mois</t>
  </si>
  <si>
    <t>14 Ans 2 Mois</t>
  </si>
  <si>
    <t>12 Ans 11 Mois</t>
  </si>
  <si>
    <t>Directeur Dépôt :</t>
  </si>
  <si>
    <t>Dépôt :</t>
  </si>
  <si>
    <t>code EASIER:</t>
  </si>
  <si>
    <t>Code BRICO:</t>
  </si>
  <si>
    <t>Recherche unique</t>
  </si>
  <si>
    <t>Recherche multiples</t>
  </si>
  <si>
    <t>entrée 1</t>
  </si>
  <si>
    <t>entrée 2</t>
  </si>
  <si>
    <t>entrée 3</t>
  </si>
  <si>
    <t>Région 2022:</t>
  </si>
  <si>
    <t>Département :</t>
  </si>
  <si>
    <t>Surface Total</t>
  </si>
  <si>
    <t>Propriétaire ?</t>
  </si>
  <si>
    <t>CS Référent sécurité</t>
  </si>
  <si>
    <t>CS Référent logistique</t>
  </si>
  <si>
    <t>CS Référent aménagement</t>
  </si>
  <si>
    <t>CS Référent construction</t>
  </si>
  <si>
    <t>CS Référent technique</t>
  </si>
  <si>
    <t>CS Référent administratif</t>
  </si>
  <si>
    <t>CS Référent caisse</t>
  </si>
  <si>
    <t>nombre de dépôts affichés</t>
  </si>
  <si>
    <t>Sécurité</t>
  </si>
  <si>
    <t>Caisse</t>
  </si>
  <si>
    <t>Administration</t>
  </si>
  <si>
    <t>Technique</t>
  </si>
  <si>
    <t>Construction</t>
  </si>
  <si>
    <t>+ de 8000</t>
  </si>
  <si>
    <t>Aménagement</t>
  </si>
  <si>
    <t>6000 à 8000</t>
  </si>
  <si>
    <t>Logistique</t>
  </si>
  <si>
    <t>4000 à 6000</t>
  </si>
  <si>
    <t>- de 4000</t>
  </si>
  <si>
    <t>TOUT</t>
  </si>
  <si>
    <t>CS Caisse</t>
  </si>
  <si>
    <t>CS Admin</t>
  </si>
  <si>
    <t>CS Technique</t>
  </si>
  <si>
    <t>CS Construction</t>
  </si>
  <si>
    <t>CS Aménagement</t>
  </si>
  <si>
    <t>CS Logi</t>
  </si>
  <si>
    <t>CS sécu</t>
  </si>
  <si>
    <t>CS choix</t>
  </si>
  <si>
    <t>Surface Total CDAC</t>
  </si>
  <si>
    <t>Surface Total choix</t>
  </si>
  <si>
    <t>Départements</t>
  </si>
  <si>
    <t>Régions</t>
  </si>
  <si>
    <t>18 Ans 6 Mois</t>
  </si>
  <si>
    <t>9 Ans 2 Mois</t>
  </si>
  <si>
    <t>7 Ans 3 Mois</t>
  </si>
  <si>
    <t>28 Ans 8 Mois</t>
  </si>
  <si>
    <t>4 Ans 8 Mois</t>
  </si>
  <si>
    <t>20 Ans 2 Mois</t>
  </si>
  <si>
    <t>27 Ans 3 Mois</t>
  </si>
  <si>
    <t>13 Ans 2 Mois</t>
  </si>
  <si>
    <t>11 Ans 1 Mois</t>
  </si>
  <si>
    <t>4 Ans 2 Mois</t>
  </si>
  <si>
    <t>19 Ans 5 Mois</t>
  </si>
  <si>
    <t>8 Ans 0 Mois</t>
  </si>
  <si>
    <t>26 Ans 2 Mois</t>
  </si>
  <si>
    <t>Propriétaire ou Locataire</t>
  </si>
  <si>
    <t>FLINS</t>
  </si>
  <si>
    <t>Route Renault CD 14</t>
  </si>
  <si>
    <t>78410 Flins sur Seine</t>
  </si>
  <si>
    <t>9 Ans 8 Mois</t>
  </si>
  <si>
    <t>0</t>
  </si>
  <si>
    <t>CASTORAMA</t>
  </si>
  <si>
    <t>OUI TEB 2014 ABT 2017</t>
  </si>
  <si>
    <t>IP600553</t>
  </si>
  <si>
    <t>FR7630004023230001130895678</t>
  </si>
  <si>
    <t>QpUV187</t>
  </si>
  <si>
    <t>CALAIS</t>
  </si>
  <si>
    <t xml:space="preserve">ZA Marcel Doret. Rue de Judée </t>
  </si>
  <si>
    <t>62100 Calais</t>
  </si>
  <si>
    <t>17 Ans 9 Mois</t>
  </si>
  <si>
    <t>08:00 à 19:00</t>
  </si>
  <si>
    <t>08:00 à 19:30</t>
  </si>
  <si>
    <t>PX 80 guardal</t>
  </si>
  <si>
    <t>IP600561</t>
  </si>
  <si>
    <t>FR7630004023230001045089478</t>
  </si>
  <si>
    <t>vVyf470</t>
  </si>
  <si>
    <t>16 Ans 8 Mois</t>
  </si>
  <si>
    <t>25 Ans 0 Mois</t>
  </si>
  <si>
    <t>5 Ans 11 Mois</t>
  </si>
  <si>
    <t>10 Ans 2 Mois</t>
  </si>
  <si>
    <t>21 Ans 11 Mois</t>
  </si>
  <si>
    <t>7 Ans 7 Mois</t>
  </si>
  <si>
    <t>C:\Solutec\1\BDD.xlsx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</si>
</sst>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#&quot; &quot;##&quot; &quot;##&quot; &quot;##&quot; &quot;##"/>
    <numFmt numFmtId="165" formatCode="0.00000"/>
    <numFmt numFmtId="166" formatCode="#,##0.00\ &quot;€&quot;"/>
    <numFmt numFmtId="167" formatCode="0&quot; M²&quot;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1725F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115">
    <xf numFmtId="0" fontId="0" fillId="0" borderId="0" xfId="0"/>
    <xf numFmtId="0" fontId="0" fillId="0" borderId="0" xfId="0" applyNumberFormat="1"/>
    <xf numFmtId="14" fontId="0" fillId="0" borderId="0" xfId="0" applyNumberForma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wrapText="1"/>
    </xf>
    <xf numFmtId="14" fontId="0" fillId="0" borderId="0" xfId="0" applyNumberFormat="1" applyAlignment="1">
      <alignment horizontal="center" wrapText="1"/>
    </xf>
    <xf numFmtId="164" fontId="0" fillId="0" borderId="1" xfId="0" applyNumberFormat="1" applyBorder="1" applyAlignment="1">
      <alignment horizontal="center" wrapText="1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wrapText="1"/>
      <protection locked="0"/>
    </xf>
    <xf numFmtId="164" fontId="0" fillId="0" borderId="1" xfId="0" applyNumberFormat="1" applyBorder="1" applyAlignment="1" applyProtection="1">
      <alignment horizontal="center" wrapText="1"/>
      <protection locked="0"/>
    </xf>
    <xf numFmtId="14" fontId="0" fillId="0" borderId="1" xfId="0" applyNumberFormat="1" applyBorder="1" applyAlignment="1" applyProtection="1">
      <alignment horizontal="center" wrapText="1"/>
      <protection locked="0"/>
    </xf>
    <xf numFmtId="165" fontId="0" fillId="0" borderId="1" xfId="0" applyNumberFormat="1" applyBorder="1" applyAlignment="1" applyProtection="1">
      <alignment horizontal="center" wrapText="1"/>
      <protection locked="0"/>
    </xf>
    <xf numFmtId="167" fontId="0" fillId="0" borderId="1" xfId="0" applyNumberFormat="1" applyBorder="1" applyAlignment="1" applyProtection="1">
      <alignment horizontal="center" wrapText="1"/>
      <protection locked="0"/>
    </xf>
    <xf numFmtId="1" fontId="0" fillId="0" borderId="1" xfId="0" applyNumberFormat="1" applyBorder="1" applyAlignment="1" applyProtection="1">
      <alignment horizontal="center" wrapText="1"/>
      <protection locked="0"/>
    </xf>
    <xf numFmtId="2" fontId="0" fillId="0" borderId="1" xfId="0" applyNumberFormat="1" applyBorder="1" applyAlignment="1" applyProtection="1">
      <alignment horizontal="center" wrapText="1"/>
      <protection locked="0"/>
    </xf>
    <xf numFmtId="166" fontId="0" fillId="0" borderId="1" xfId="0" applyNumberFormat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3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wrapText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164" fontId="0" fillId="0" borderId="0" xfId="0" applyNumberFormat="1" applyProtection="1">
      <protection hidden="1"/>
    </xf>
    <xf numFmtId="0" fontId="0" fillId="0" borderId="0" xfId="0" applyProtection="1">
      <protection hidden="1"/>
    </xf>
    <xf numFmtId="0" fontId="12" fillId="0" borderId="0" xfId="0" applyFont="1"/>
    <xf numFmtId="0" fontId="0" fillId="0" borderId="0" xfId="0" applyProtection="1">
      <protection locked="0"/>
    </xf>
    <xf numFmtId="0" fontId="13" fillId="0" borderId="0" xfId="0" applyFont="1"/>
    <xf numFmtId="164" fontId="0" fillId="0" borderId="0" xfId="0" applyNumberFormat="1"/>
    <xf numFmtId="0" fontId="12" fillId="0" borderId="0" xfId="0" applyFont="1" applyAlignment="1">
      <alignment horizontal="center"/>
    </xf>
    <xf numFmtId="49" fontId="0" fillId="0" borderId="0" xfId="0" applyNumberFormat="1"/>
    <xf numFmtId="0" fontId="0" fillId="0" borderId="0" xfId="0" applyNumberForma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10" borderId="2" xfId="0" applyFont="1" applyFill="1" applyBorder="1" applyAlignment="1">
      <alignment horizontal="center" wrapText="1"/>
    </xf>
    <xf numFmtId="0" fontId="8" fillId="10" borderId="3" xfId="0" applyFont="1" applyFill="1" applyBorder="1" applyAlignment="1">
      <alignment horizontal="center" wrapText="1"/>
    </xf>
    <xf numFmtId="0" fontId="8" fillId="10" borderId="8" xfId="0" applyFont="1" applyFill="1" applyBorder="1" applyAlignment="1">
      <alignment horizontal="center" wrapText="1"/>
    </xf>
    <xf numFmtId="0" fontId="8" fillId="18" borderId="5" xfId="0" applyFont="1" applyFill="1" applyBorder="1" applyAlignment="1">
      <alignment horizontal="center" wrapText="1"/>
    </xf>
    <xf numFmtId="0" fontId="8" fillId="18" borderId="6" xfId="0" applyFont="1" applyFill="1" applyBorder="1" applyAlignment="1">
      <alignment horizontal="center" wrapText="1"/>
    </xf>
    <xf numFmtId="0" fontId="8" fillId="18" borderId="7" xfId="0" applyFont="1" applyFill="1" applyBorder="1" applyAlignment="1">
      <alignment horizontal="center" wrapText="1"/>
    </xf>
    <xf numFmtId="0" fontId="8" fillId="19" borderId="5" xfId="0" applyFont="1" applyFill="1" applyBorder="1" applyAlignment="1">
      <alignment horizontal="center" wrapText="1"/>
    </xf>
    <xf numFmtId="0" fontId="8" fillId="19" borderId="7" xfId="0" applyFont="1" applyFill="1" applyBorder="1" applyAlignment="1">
      <alignment horizontal="center" wrapText="1"/>
    </xf>
    <xf numFmtId="0" fontId="8" fillId="20" borderId="5" xfId="0" applyFont="1" applyFill="1" applyBorder="1" applyAlignment="1">
      <alignment horizontal="center" wrapText="1"/>
    </xf>
    <xf numFmtId="0" fontId="8" fillId="20" borderId="6" xfId="0" applyFont="1" applyFill="1" applyBorder="1" applyAlignment="1">
      <alignment horizontal="center" wrapText="1"/>
    </xf>
    <xf numFmtId="0" fontId="8" fillId="20" borderId="7" xfId="0" applyFont="1" applyFill="1" applyBorder="1" applyAlignment="1">
      <alignment horizontal="center" wrapText="1"/>
    </xf>
    <xf numFmtId="0" fontId="8" fillId="9" borderId="5" xfId="0" applyFont="1" applyFill="1" applyBorder="1" applyAlignment="1">
      <alignment horizontal="center" wrapText="1"/>
    </xf>
    <xf numFmtId="0" fontId="8" fillId="9" borderId="6" xfId="0" applyFont="1" applyFill="1" applyBorder="1" applyAlignment="1">
      <alignment horizontal="center" wrapText="1"/>
    </xf>
    <xf numFmtId="0" fontId="8" fillId="9" borderId="7" xfId="0" applyFont="1" applyFill="1" applyBorder="1" applyAlignment="1">
      <alignment horizontal="center" wrapText="1"/>
    </xf>
    <xf numFmtId="0" fontId="8" fillId="12" borderId="5" xfId="0" applyFont="1" applyFill="1" applyBorder="1" applyAlignment="1">
      <alignment horizontal="center" wrapText="1"/>
    </xf>
    <xf numFmtId="0" fontId="8" fillId="12" borderId="6" xfId="0" applyFont="1" applyFill="1" applyBorder="1" applyAlignment="1">
      <alignment horizontal="center" wrapText="1"/>
    </xf>
    <xf numFmtId="0" fontId="8" fillId="12" borderId="7" xfId="0" applyFont="1" applyFill="1" applyBorder="1" applyAlignment="1">
      <alignment horizontal="center" wrapText="1"/>
    </xf>
    <xf numFmtId="0" fontId="8" fillId="13" borderId="5" xfId="0" applyFont="1" applyFill="1" applyBorder="1" applyAlignment="1">
      <alignment horizontal="center" wrapText="1"/>
    </xf>
    <xf numFmtId="0" fontId="8" fillId="13" borderId="6" xfId="0" applyFont="1" applyFill="1" applyBorder="1" applyAlignment="1">
      <alignment horizontal="center" wrapText="1"/>
    </xf>
    <xf numFmtId="0" fontId="8" fillId="13" borderId="7" xfId="0" applyFont="1" applyFill="1" applyBorder="1" applyAlignment="1">
      <alignment horizontal="center" wrapText="1"/>
    </xf>
    <xf numFmtId="0" fontId="8" fillId="14" borderId="5" xfId="0" applyFont="1" applyFill="1" applyBorder="1" applyAlignment="1">
      <alignment horizontal="center" wrapText="1"/>
    </xf>
    <xf numFmtId="0" fontId="8" fillId="14" borderId="6" xfId="0" applyFont="1" applyFill="1" applyBorder="1" applyAlignment="1">
      <alignment horizontal="center" wrapText="1"/>
    </xf>
    <xf numFmtId="0" fontId="8" fillId="14" borderId="7" xfId="0" applyFont="1" applyFill="1" applyBorder="1" applyAlignment="1">
      <alignment horizontal="center" wrapText="1"/>
    </xf>
    <xf numFmtId="0" fontId="8" fillId="15" borderId="5" xfId="0" applyFont="1" applyFill="1" applyBorder="1" applyAlignment="1">
      <alignment horizontal="center" wrapText="1"/>
    </xf>
    <xf numFmtId="0" fontId="8" fillId="15" borderId="6" xfId="0" applyFont="1" applyFill="1" applyBorder="1" applyAlignment="1">
      <alignment horizontal="center" wrapText="1"/>
    </xf>
    <xf numFmtId="0" fontId="8" fillId="15" borderId="7" xfId="0" applyFont="1" applyFill="1" applyBorder="1" applyAlignment="1">
      <alignment horizontal="center" wrapText="1"/>
    </xf>
    <xf numFmtId="0" fontId="8" fillId="16" borderId="5" xfId="0" applyFont="1" applyFill="1" applyBorder="1" applyAlignment="1">
      <alignment horizontal="center" wrapText="1"/>
    </xf>
    <xf numFmtId="0" fontId="8" fillId="16" borderId="6" xfId="0" applyFont="1" applyFill="1" applyBorder="1" applyAlignment="1">
      <alignment horizontal="center" wrapText="1"/>
    </xf>
    <xf numFmtId="0" fontId="8" fillId="16" borderId="7" xfId="0" applyFont="1" applyFill="1" applyBorder="1" applyAlignment="1">
      <alignment horizontal="center" wrapText="1"/>
    </xf>
    <xf numFmtId="0" fontId="8" fillId="17" borderId="5" xfId="0" applyFont="1" applyFill="1" applyBorder="1" applyAlignment="1">
      <alignment horizontal="center"/>
    </xf>
    <xf numFmtId="0" fontId="8" fillId="17" borderId="6" xfId="0" applyFont="1" applyFill="1" applyBorder="1" applyAlignment="1">
      <alignment horizontal="center"/>
    </xf>
    <xf numFmtId="0" fontId="8" fillId="17" borderId="7" xfId="0" applyFont="1" applyFill="1" applyBorder="1" applyAlignment="1">
      <alignment horizontal="center"/>
    </xf>
    <xf numFmtId="0" fontId="8" fillId="15" borderId="2" xfId="0" applyFont="1" applyFill="1" applyBorder="1" applyAlignment="1">
      <alignment horizontal="center" wrapText="1"/>
    </xf>
    <xf numFmtId="0" fontId="8" fillId="15" borderId="3" xfId="0" applyFont="1" applyFill="1" applyBorder="1" applyAlignment="1">
      <alignment horizontal="center" wrapText="1"/>
    </xf>
    <xf numFmtId="0" fontId="8" fillId="15" borderId="8" xfId="0" applyFont="1" applyFill="1" applyBorder="1" applyAlignment="1">
      <alignment horizontal="center" wrapText="1"/>
    </xf>
    <xf numFmtId="0" fontId="8" fillId="10" borderId="9" xfId="0" applyFont="1" applyFill="1" applyBorder="1" applyAlignment="1">
      <alignment horizontal="center" wrapText="1"/>
    </xf>
    <xf numFmtId="0" fontId="8" fillId="10" borderId="0" xfId="0" applyFont="1" applyFill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8" fillId="11" borderId="5" xfId="0" applyFont="1" applyFill="1" applyBorder="1" applyAlignment="1">
      <alignment horizontal="center" wrapText="1"/>
    </xf>
    <xf numFmtId="0" fontId="8" fillId="11" borderId="6" xfId="0" applyFont="1" applyFill="1" applyBorder="1" applyAlignment="1">
      <alignment horizontal="center" wrapText="1"/>
    </xf>
    <xf numFmtId="0" fontId="8" fillId="11" borderId="7" xfId="0" applyFont="1" applyFill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0" fontId="8" fillId="0" borderId="8" xfId="0" applyFont="1" applyBorder="1" applyAlignment="1">
      <alignment horizontal="center" wrapText="1"/>
    </xf>
    <xf numFmtId="0" fontId="8" fillId="7" borderId="5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9" borderId="5" xfId="0" applyFont="1" applyFill="1" applyBorder="1" applyAlignment="1">
      <alignment horizontal="center"/>
    </xf>
    <xf numFmtId="0" fontId="8" fillId="9" borderId="6" xfId="0" applyFont="1" applyFill="1" applyBorder="1" applyAlignment="1">
      <alignment horizontal="center"/>
    </xf>
    <xf numFmtId="0" fontId="8" fillId="9" borderId="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 wrapText="1"/>
    </xf>
    <xf numFmtId="0" fontId="8" fillId="2" borderId="6" xfId="0" applyFont="1" applyFill="1" applyBorder="1" applyAlignment="1">
      <alignment horizontal="center" wrapText="1"/>
    </xf>
    <xf numFmtId="0" fontId="8" fillId="2" borderId="7" xfId="0" applyFont="1" applyFill="1" applyBorder="1" applyAlignment="1">
      <alignment horizontal="center" wrapText="1"/>
    </xf>
    <xf numFmtId="0" fontId="7" fillId="2" borderId="5" xfId="1" applyFont="1" applyFill="1" applyBorder="1" applyAlignment="1">
      <alignment horizontal="center" vertical="center"/>
    </xf>
    <xf numFmtId="0" fontId="7" fillId="2" borderId="6" xfId="1" applyFont="1" applyFill="1" applyBorder="1" applyAlignment="1">
      <alignment horizontal="center" vertical="center"/>
    </xf>
    <xf numFmtId="0" fontId="7" fillId="2" borderId="7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0" fontId="7" fillId="3" borderId="7" xfId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/>
    </xf>
    <xf numFmtId="0" fontId="7" fillId="5" borderId="3" xfId="1" applyFont="1" applyFill="1" applyBorder="1" applyAlignment="1">
      <alignment horizontal="center" vertical="center"/>
    </xf>
    <xf numFmtId="0" fontId="7" fillId="5" borderId="8" xfId="1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17" borderId="2" xfId="0" applyFont="1" applyFill="1" applyBorder="1" applyAlignment="1">
      <alignment horizontal="center"/>
    </xf>
    <xf numFmtId="0" fontId="8" fillId="17" borderId="3" xfId="0" applyFont="1" applyFill="1" applyBorder="1" applyAlignment="1">
      <alignment horizontal="center"/>
    </xf>
    <xf numFmtId="0" fontId="8" fillId="17" borderId="8" xfId="0" applyFont="1" applyFill="1" applyBorder="1" applyAlignment="1">
      <alignment horizontal="center"/>
    </xf>
    <xf numFmtId="0" fontId="8" fillId="16" borderId="2" xfId="0" applyFont="1" applyFill="1" applyBorder="1" applyAlignment="1">
      <alignment horizontal="center" wrapText="1"/>
    </xf>
    <xf numFmtId="0" fontId="8" fillId="16" borderId="3" xfId="0" applyFont="1" applyFill="1" applyBorder="1" applyAlignment="1">
      <alignment horizontal="center" wrapText="1"/>
    </xf>
    <xf numFmtId="0" fontId="8" fillId="16" borderId="8" xfId="0" applyFont="1" applyFill="1" applyBorder="1" applyAlignment="1">
      <alignment horizontal="center" wrapText="1"/>
    </xf>
  </cellXfs>
  <cellStyles count="2">
    <cellStyle name="AFE" xfId="1" xr:uid="{3D85E38F-ECB7-4A39-AC63-B611C17823F3}"/>
    <cellStyle name="Normal" xfId="0" builtinId="0"/>
  </cellStyles>
  <dxfs count="1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20.emf"/><Relationship Id="rId7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0</xdr:row>
          <xdr:rowOff>91440</xdr:rowOff>
        </xdr:from>
        <xdr:to>
          <xdr:col>4</xdr:col>
          <xdr:colOff>60960</xdr:colOff>
          <xdr:row>2</xdr:row>
          <xdr:rowOff>22860</xdr:rowOff>
        </xdr:to>
        <xdr:sp macro="" textlink="">
          <xdr:nvSpPr>
            <xdr:cNvPr id="4099" name="butConnexi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0</xdr:row>
          <xdr:rowOff>91440</xdr:rowOff>
        </xdr:from>
        <xdr:to>
          <xdr:col>3</xdr:col>
          <xdr:colOff>624840</xdr:colOff>
          <xdr:row>2</xdr:row>
          <xdr:rowOff>22860</xdr:rowOff>
        </xdr:to>
        <xdr:sp macro="" textlink="">
          <xdr:nvSpPr>
            <xdr:cNvPr id="4100" name="butQuitte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</xdr:row>
          <xdr:rowOff>99060</xdr:rowOff>
        </xdr:from>
        <xdr:to>
          <xdr:col>6</xdr:col>
          <xdr:colOff>160020</xdr:colOff>
          <xdr:row>3</xdr:row>
          <xdr:rowOff>22860</xdr:rowOff>
        </xdr:to>
        <xdr:sp macro="" textlink="">
          <xdr:nvSpPr>
            <xdr:cNvPr id="4101" name="afficherBD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129540</xdr:rowOff>
        </xdr:from>
        <xdr:to>
          <xdr:col>6</xdr:col>
          <xdr:colOff>129540</xdr:colOff>
          <xdr:row>1</xdr:row>
          <xdr:rowOff>76200</xdr:rowOff>
        </xdr:to>
        <xdr:sp macro="" textlink="">
          <xdr:nvSpPr>
            <xdr:cNvPr id="4102" name="cacherBDD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</xdr:row>
          <xdr:rowOff>76200</xdr:rowOff>
        </xdr:from>
        <xdr:to>
          <xdr:col>6</xdr:col>
          <xdr:colOff>205740</xdr:colOff>
          <xdr:row>4</xdr:row>
          <xdr:rowOff>99060</xdr:rowOff>
        </xdr:to>
        <xdr:sp macro="" textlink="">
          <xdr:nvSpPr>
            <xdr:cNvPr id="4103" name="refreshBDD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0</xdr:row>
          <xdr:rowOff>91440</xdr:rowOff>
        </xdr:from>
        <xdr:to>
          <xdr:col>4</xdr:col>
          <xdr:colOff>632460</xdr:colOff>
          <xdr:row>1</xdr:row>
          <xdr:rowOff>45720</xdr:rowOff>
        </xdr:to>
        <xdr:sp macro="" textlink="">
          <xdr:nvSpPr>
            <xdr:cNvPr id="4104" name="debug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510540</xdr:colOff>
          <xdr:row>71</xdr:row>
          <xdr:rowOff>60960</xdr:rowOff>
        </xdr:from>
        <xdr:to>
          <xdr:col>1</xdr:col>
          <xdr:colOff>1386840</xdr:colOff>
          <xdr:row>71</xdr:row>
          <xdr:rowOff>335280</xdr:rowOff>
        </xdr:to>
        <xdr:sp macro="" textlink="">
          <xdr:nvSpPr>
            <xdr:cNvPr id="1029" name="but_goRigh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2156460</xdr:colOff>
          <xdr:row>71</xdr:row>
          <xdr:rowOff>60960</xdr:rowOff>
        </xdr:from>
        <xdr:to>
          <xdr:col>1</xdr:col>
          <xdr:colOff>502920</xdr:colOff>
          <xdr:row>71</xdr:row>
          <xdr:rowOff>335280</xdr:rowOff>
        </xdr:to>
        <xdr:sp macro="" textlink="">
          <xdr:nvSpPr>
            <xdr:cNvPr id="1030" name="but_goLef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1272540</xdr:colOff>
          <xdr:row>71</xdr:row>
          <xdr:rowOff>60960</xdr:rowOff>
        </xdr:from>
        <xdr:to>
          <xdr:col>0</xdr:col>
          <xdr:colOff>2156460</xdr:colOff>
          <xdr:row>71</xdr:row>
          <xdr:rowOff>335280</xdr:rowOff>
        </xdr:to>
        <xdr:sp macro="" textlink="">
          <xdr:nvSpPr>
            <xdr:cNvPr id="1031" name="but_goTo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1394460</xdr:colOff>
          <xdr:row>72</xdr:row>
          <xdr:rowOff>15240</xdr:rowOff>
        </xdr:from>
        <xdr:to>
          <xdr:col>1</xdr:col>
          <xdr:colOff>60960</xdr:colOff>
          <xdr:row>73</xdr:row>
          <xdr:rowOff>114300</xdr:rowOff>
        </xdr:to>
        <xdr:sp macro="" textlink="">
          <xdr:nvSpPr>
            <xdr:cNvPr id="1032" name="but_goAllLef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72</xdr:row>
          <xdr:rowOff>15240</xdr:rowOff>
        </xdr:from>
        <xdr:to>
          <xdr:col>1</xdr:col>
          <xdr:colOff>1272540</xdr:colOff>
          <xdr:row>73</xdr:row>
          <xdr:rowOff>114300</xdr:rowOff>
        </xdr:to>
        <xdr:sp macro="" textlink="">
          <xdr:nvSpPr>
            <xdr:cNvPr id="1033" name="but_goAllRigh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71</xdr:row>
          <xdr:rowOff>0</xdr:rowOff>
        </xdr:from>
        <xdr:to>
          <xdr:col>0</xdr:col>
          <xdr:colOff>1181100</xdr:colOff>
          <xdr:row>71</xdr:row>
          <xdr:rowOff>266700</xdr:rowOff>
        </xdr:to>
        <xdr:sp macro="" textlink="">
          <xdr:nvSpPr>
            <xdr:cNvPr id="1034" name="lbl_di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1744980</xdr:colOff>
          <xdr:row>0</xdr:row>
          <xdr:rowOff>83820</xdr:rowOff>
        </xdr:from>
        <xdr:to>
          <xdr:col>2</xdr:col>
          <xdr:colOff>1043940</xdr:colOff>
          <xdr:row>1</xdr:row>
          <xdr:rowOff>68580</xdr:rowOff>
        </xdr:to>
        <xdr:sp macro="" textlink="">
          <xdr:nvSpPr>
            <xdr:cNvPr id="1035" name="butAjoutDepo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510540</xdr:colOff>
          <xdr:row>0</xdr:row>
          <xdr:rowOff>60960</xdr:rowOff>
        </xdr:from>
        <xdr:to>
          <xdr:col>1</xdr:col>
          <xdr:colOff>1386840</xdr:colOff>
          <xdr:row>1</xdr:row>
          <xdr:rowOff>38100</xdr:rowOff>
        </xdr:to>
        <xdr:sp macro="" textlink="">
          <xdr:nvSpPr>
            <xdr:cNvPr id="8194" name="but_goRigh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2156460</xdr:colOff>
          <xdr:row>0</xdr:row>
          <xdr:rowOff>60960</xdr:rowOff>
        </xdr:from>
        <xdr:to>
          <xdr:col>1</xdr:col>
          <xdr:colOff>502920</xdr:colOff>
          <xdr:row>1</xdr:row>
          <xdr:rowOff>38100</xdr:rowOff>
        </xdr:to>
        <xdr:sp macro="" textlink="">
          <xdr:nvSpPr>
            <xdr:cNvPr id="8195" name="but_goLeft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1272540</xdr:colOff>
          <xdr:row>0</xdr:row>
          <xdr:rowOff>60960</xdr:rowOff>
        </xdr:from>
        <xdr:to>
          <xdr:col>0</xdr:col>
          <xdr:colOff>2156460</xdr:colOff>
          <xdr:row>1</xdr:row>
          <xdr:rowOff>38100</xdr:rowOff>
        </xdr:to>
        <xdr:sp macro="" textlink="">
          <xdr:nvSpPr>
            <xdr:cNvPr id="8196" name="but_goTop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1394460</xdr:colOff>
          <xdr:row>1</xdr:row>
          <xdr:rowOff>83820</xdr:rowOff>
        </xdr:from>
        <xdr:to>
          <xdr:col>1</xdr:col>
          <xdr:colOff>60960</xdr:colOff>
          <xdr:row>2</xdr:row>
          <xdr:rowOff>175260</xdr:rowOff>
        </xdr:to>
        <xdr:sp macro="" textlink="">
          <xdr:nvSpPr>
            <xdr:cNvPr id="8197" name="but_goAllLeft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</xdr:row>
          <xdr:rowOff>83820</xdr:rowOff>
        </xdr:from>
        <xdr:to>
          <xdr:col>1</xdr:col>
          <xdr:colOff>1272540</xdr:colOff>
          <xdr:row>2</xdr:row>
          <xdr:rowOff>175260</xdr:rowOff>
        </xdr:to>
        <xdr:sp macro="" textlink="">
          <xdr:nvSpPr>
            <xdr:cNvPr id="8198" name="but_goAllRight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0</xdr:rowOff>
        </xdr:from>
        <xdr:to>
          <xdr:col>0</xdr:col>
          <xdr:colOff>1181100</xdr:colOff>
          <xdr:row>0</xdr:row>
          <xdr:rowOff>266700</xdr:rowOff>
        </xdr:to>
        <xdr:sp macro="" textlink="">
          <xdr:nvSpPr>
            <xdr:cNvPr id="8199" name="lbl_dir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1539240</xdr:colOff>
          <xdr:row>0</xdr:row>
          <xdr:rowOff>76200</xdr:rowOff>
        </xdr:from>
        <xdr:to>
          <xdr:col>4</xdr:col>
          <xdr:colOff>1516380</xdr:colOff>
          <xdr:row>1</xdr:row>
          <xdr:rowOff>38100</xdr:rowOff>
        </xdr:to>
        <xdr:sp macro="" textlink="">
          <xdr:nvSpPr>
            <xdr:cNvPr id="8201" name="lst_ModifDepo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198120</xdr:colOff>
          <xdr:row>0</xdr:row>
          <xdr:rowOff>45720</xdr:rowOff>
        </xdr:from>
        <xdr:to>
          <xdr:col>5</xdr:col>
          <xdr:colOff>1524000</xdr:colOff>
          <xdr:row>1</xdr:row>
          <xdr:rowOff>60960</xdr:rowOff>
        </xdr:to>
        <xdr:sp macro="" textlink="">
          <xdr:nvSpPr>
            <xdr:cNvPr id="8203" name="MajLstDepo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91440</xdr:rowOff>
        </xdr:from>
        <xdr:to>
          <xdr:col>2</xdr:col>
          <xdr:colOff>1508760</xdr:colOff>
          <xdr:row>1</xdr:row>
          <xdr:rowOff>76200</xdr:rowOff>
        </xdr:to>
        <xdr:sp macro="" textlink="">
          <xdr:nvSpPr>
            <xdr:cNvPr id="8204" name="but_modif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1272540</xdr:colOff>
          <xdr:row>0</xdr:row>
          <xdr:rowOff>60960</xdr:rowOff>
        </xdr:from>
        <xdr:to>
          <xdr:col>0</xdr:col>
          <xdr:colOff>2156460</xdr:colOff>
          <xdr:row>1</xdr:row>
          <xdr:rowOff>38100</xdr:rowOff>
        </xdr:to>
        <xdr:sp macro="" textlink="">
          <xdr:nvSpPr>
            <xdr:cNvPr id="12291" name="but_goTop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0</xdr:rowOff>
        </xdr:from>
        <xdr:to>
          <xdr:col>0</xdr:col>
          <xdr:colOff>1181100</xdr:colOff>
          <xdr:row>0</xdr:row>
          <xdr:rowOff>266700</xdr:rowOff>
        </xdr:to>
        <xdr:sp macro="" textlink="">
          <xdr:nvSpPr>
            <xdr:cNvPr id="12294" name="lbl_dir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975360</xdr:colOff>
          <xdr:row>0</xdr:row>
          <xdr:rowOff>60960</xdr:rowOff>
        </xdr:from>
        <xdr:to>
          <xdr:col>2</xdr:col>
          <xdr:colOff>350520</xdr:colOff>
          <xdr:row>1</xdr:row>
          <xdr:rowOff>45720</xdr:rowOff>
        </xdr:to>
        <xdr:sp macro="" textlink="">
          <xdr:nvSpPr>
            <xdr:cNvPr id="12297" name="but_fermeture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3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83820</xdr:rowOff>
        </xdr:from>
        <xdr:to>
          <xdr:col>4</xdr:col>
          <xdr:colOff>1242060</xdr:colOff>
          <xdr:row>0</xdr:row>
          <xdr:rowOff>388620</xdr:rowOff>
        </xdr:to>
        <xdr:sp macro="" textlink="">
          <xdr:nvSpPr>
            <xdr:cNvPr id="17409" name="butCollaps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83820</xdr:rowOff>
        </xdr:from>
        <xdr:to>
          <xdr:col>4</xdr:col>
          <xdr:colOff>1242060</xdr:colOff>
          <xdr:row>0</xdr:row>
          <xdr:rowOff>388620</xdr:rowOff>
        </xdr:to>
        <xdr:sp macro="" textlink="">
          <xdr:nvSpPr>
            <xdr:cNvPr id="17410" name="butExpand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etestia-my.sharepoint.com/Users/dsi/Documents/Brico%20Depot/Version/Client%20BDD%20FILTRE%20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depot_unique_Excel"/>
      <sheetName val="requetes_uniques"/>
      <sheetName val="requetes_uniques_vba"/>
      <sheetName val="requetes_multiples"/>
      <sheetName val="requetes_CS"/>
      <sheetName val="filtres"/>
      <sheetName val="Client BDD FILTRE V4"/>
    </sheetNames>
    <sheetDataSet>
      <sheetData sheetId="0" refreshError="1"/>
      <sheetData sheetId="1"/>
      <sheetData sheetId="2">
        <row r="1">
          <cell r="B1">
            <v>1701</v>
          </cell>
        </row>
        <row r="2">
          <cell r="B2">
            <v>2331</v>
          </cell>
        </row>
        <row r="3">
          <cell r="B3" t="str">
            <v>lievin</v>
          </cell>
        </row>
      </sheetData>
      <sheetData sheetId="3" refreshError="1"/>
      <sheetData sheetId="4"/>
      <sheetData sheetId="5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2FF610F9-D1F5-4FCC-92CD-9B4B145DC231}" autoFormatId="16" applyNumberFormats="0" applyBorderFormats="0" applyFontFormats="0" applyPatternFormats="0" applyAlignmentFormats="0" applyWidthHeightFormats="0">
  <queryTableRefresh nextId="255" unboundColumnsRight="1">
    <queryTableFields count="246">
      <queryTableField id="1" name="Code BRICO" tableColumnId="1"/>
      <queryTableField id="2" name="Code EASIER" tableColumnId="2"/>
      <queryTableField id="3" name="Dépôt" tableColumnId="3"/>
      <queryTableField id="4" name="Région administrative" tableColumnId="4"/>
      <queryTableField id="246" name="Statut" tableColumnId="246"/>
      <queryTableField id="5" name="Région 2022" tableColumnId="5"/>
      <queryTableField id="6" name="Directeur Régional" tableColumnId="6"/>
      <queryTableField id="7" name="Directeur Régional téléphone" tableColumnId="7"/>
      <queryTableField id="8" name="Directeur dépôt" tableColumnId="8"/>
      <queryTableField id="9" name="Directeur dépôt mail" tableColumnId="9"/>
      <queryTableField id="10" name="Directeur dépôt téléphone" tableColumnId="10"/>
      <queryTableField id="11" name="Date de prise de fonction" tableColumnId="11"/>
      <queryTableField id="12" name="Chef Sécurité" tableColumnId="12"/>
      <queryTableField id="13" name="Chef Sécurité mail" tableColumnId="13"/>
      <queryTableField id="14" name="Chef Sécurité Téléphone" tableColumnId="14"/>
      <queryTableField id="15" name="Chef Sécurité Statut" tableColumnId="15"/>
      <queryTableField id="16" name="DM file Sécurité" tableColumnId="16"/>
      <queryTableField id="17" name="CS Référent Sécurité" tableColumnId="17"/>
      <queryTableField id="18" name="Chef Logistique" tableColumnId="18"/>
      <queryTableField id="19" name="Chef Logistique mail" tableColumnId="19"/>
      <queryTableField id="20" name="Chef Logistique Téléphone" tableColumnId="20"/>
      <queryTableField id="21" name="Chef Logistique Statut " tableColumnId="21"/>
      <queryTableField id="22" name="DM file Logistique" tableColumnId="22"/>
      <queryTableField id="23" name="CS Référent Logistique" tableColumnId="23"/>
      <queryTableField id="24" name="Chef Aménagement" tableColumnId="24"/>
      <queryTableField id="25" name="Chef Aménagement mail" tableColumnId="25"/>
      <queryTableField id="26" name="Chef Aménagement Téléphone" tableColumnId="26"/>
      <queryTableField id="27" name="DM file Aménagement" tableColumnId="27"/>
      <queryTableField id="28" name="CS Référent Aménagement" tableColumnId="28"/>
      <queryTableField id="29" name="Chef Construction" tableColumnId="29"/>
      <queryTableField id="30" name="Chef Construction mail" tableColumnId="30"/>
      <queryTableField id="31" name="Chef Construction Téléphone" tableColumnId="31"/>
      <queryTableField id="32" name="DM file Construction" tableColumnId="32"/>
      <queryTableField id="33" name="CS Référent Construction" tableColumnId="33"/>
      <queryTableField id="34" name="Chef Technique" tableColumnId="34"/>
      <queryTableField id="35" name="Chef Technique mail" tableColumnId="35"/>
      <queryTableField id="36" name="Chef Technique Téléphone" tableColumnId="36"/>
      <queryTableField id="37" name="DM file Technique" tableColumnId="37"/>
      <queryTableField id="38" name="CS Référent Technique" tableColumnId="38"/>
      <queryTableField id="39" name="Chef Administratif" tableColumnId="39"/>
      <queryTableField id="40" name="Chef Administratif mail" tableColumnId="40"/>
      <queryTableField id="41" name="Chef Administratif Téléphone" tableColumnId="41"/>
      <queryTableField id="42" name="DM file Administratif" tableColumnId="42"/>
      <queryTableField id="43" name="CS Référent Administratif" tableColumnId="43"/>
      <queryTableField id="44" name="Chef Caisse" tableColumnId="44"/>
      <queryTableField id="45" name="Chef Caisse mail" tableColumnId="45"/>
      <queryTableField id="46" name="Chef Caisse Téléphone" tableColumnId="46"/>
      <queryTableField id="47" name="DM file Caisse" tableColumnId="47"/>
      <queryTableField id="48" name="CS Référent Caisse" tableColumnId="48"/>
      <queryTableField id="49" name="Responsable RH " tableColumnId="49"/>
      <queryTableField id="50" name="Responsable RH Téléphone" tableColumnId="50"/>
      <queryTableField id="51" name="Responsable CDG" tableColumnId="51"/>
      <queryTableField id="52" name="Responsable CDG Téléphone" tableColumnId="52"/>
      <queryTableField id="53" name="Adresse" tableColumnId="53"/>
      <queryTableField id="54" name="Ville" tableColumnId="54"/>
      <queryTableField id="55" name="Département" tableColumnId="55"/>
      <queryTableField id="56" name="TELEPHONE STANDARD" tableColumnId="56"/>
      <queryTableField id="57" name="Latitude (en degrés décimaux)" tableColumnId="57"/>
      <queryTableField id="58" name="Longitude (en degrés décimaux)" tableColumnId="58"/>
      <queryTableField id="59" name="N° SIREN" tableColumnId="59"/>
      <queryTableField id="60" name="+ SIRET" tableColumnId="60"/>
      <queryTableField id="61" name="Date d'Ouverture" tableColumnId="61"/>
      <queryTableField id="62" name="Ancienneté du dépôt" tableColumnId="62"/>
      <queryTableField id="63" name="Horaire d'ouverture jours 1" tableColumnId="63"/>
      <queryTableField id="64" name="Horaire d'ouverture horaires 1" tableColumnId="64"/>
      <queryTableField id="65" name="Horaire d'ouverture jours 2" tableColumnId="65"/>
      <queryTableField id="66" name="Horaire d'ouverture horaires 2" tableColumnId="66"/>
      <queryTableField id="67" name="Horaire d'ouverture jours 3" tableColumnId="67"/>
      <queryTableField id="68" name="Horaire d'ouverture horaires 3" tableColumnId="68"/>
      <queryTableField id="69" name="Amplitude Horaire" tableColumnId="69"/>
      <queryTableField id="70" name="CA TTC 2021" tableColumnId="70"/>
      <queryTableField id="71" name="BASSIN 2021" tableColumnId="71"/>
      <queryTableField id="72" name="Cluster 2021" tableColumnId="72"/>
      <queryTableField id="73" name="Passages Caisses 2021" tableColumnId="73"/>
      <queryTableField id="74" name="Taux de Démarque 2021" tableColumnId="74"/>
      <queryTableField id="75" name="ETP CDI 2021" tableColumnId="75"/>
      <queryTableField id="76" name="ETP CDD 2021" tableColumnId="76"/>
      <queryTableField id="77" name="ETP INTERIM 2021" tableColumnId="77"/>
      <queryTableField id="78" name="ETP GLOBAL 2021" tableColumnId="78"/>
      <queryTableField id="79" name="Format dépôt" tableColumnId="79"/>
      <queryTableField id="80" name="Nombre de sites" tableColumnId="80"/>
      <queryTableField id="81" name="Zone Scolaire" tableColumnId="81"/>
      <queryTableField id="82" name="Zone de Droit Social" tableColumnId="82"/>
      <queryTableField id="83" name="Entrepôt Legacy" tableColumnId="83"/>
      <queryTableField id="84" name="Entrepôt Easier" tableColumnId="84"/>
      <queryTableField id="85" name="Plateforme Legacy" tableColumnId="85"/>
      <queryTableField id="86" name="Plateforme Easier" tableColumnId="86"/>
      <queryTableField id="87" name="Plateforme Arrivage" tableColumnId="87"/>
      <queryTableField id="88" name="Plateforme Arrivage ECC" tableColumnId="88"/>
      <queryTableField id="89" name="Plateforme de rattachement (Gamme et Arrivages) après ouvertures" tableColumnId="89"/>
      <queryTableField id="90" name="GLN Plateforme Gamme" tableColumnId="90"/>
      <queryTableField id="91" name="Code plateforme" tableColumnId="91"/>
      <queryTableField id="92" name="Entrepôt déporté" tableColumnId="92"/>
      <queryTableField id="93" name="Origine du Dépôt" tableColumnId="93"/>
      <queryTableField id="94" name="Situation du Dépôt" tableColumnId="94"/>
      <queryTableField id="253" name="Propriétaire ou Locataire" tableColumnId="95"/>
      <queryTableField id="96" name="Surface Totale CDAC" tableColumnId="96"/>
      <queryTableField id="97" name="Surface de vente intérieure" tableColumnId="97"/>
      <queryTableField id="98" name="Type de surface SVI" tableColumnId="98"/>
      <queryTableField id="99" name="Typologie_x000a_ SVI" tableColumnId="99"/>
      <queryTableField id="100" name="Cour Matériaux" tableColumnId="100"/>
      <queryTableField id="101" name="Distance Cour Matériaux Dépôt" tableColumnId="101"/>
      <queryTableField id="102" name="Surface Bâti" tableColumnId="102"/>
      <queryTableField id="103" name="Type de surface Bâti" tableColumnId="103"/>
      <queryTableField id="104" name="Typologie_x000a_ Bâti" tableColumnId="104"/>
      <queryTableField id="105" name="Surface des matériaux en CDAC" tableColumnId="105"/>
      <queryTableField id="106" name="SURFACE Bâti en CDAC" tableColumnId="106"/>
      <queryTableField id="107" name="dont Local de vente Bâti en CDAC" tableColumnId="107"/>
      <queryTableField id="108" name="dont GNB en surface de vente" tableColumnId="108"/>
      <queryTableField id="109" name="dont Bâti Couvert en CDAC" tableColumnId="109"/>
      <queryTableField id="110" name="dont Bâti Non couvert en CDAC" tableColumnId="110"/>
      <queryTableField id="111" name="Surface de la cour matériaux hors CDAC" tableColumnId="111"/>
      <queryTableField id="112" name="dont Bâti Couvert hors CDAC" tableColumnId="112"/>
      <queryTableField id="113" name="dont Bâti Non Couvert hors CDAC" tableColumnId="113"/>
      <queryTableField id="114" name="Emplacement Menuiserie" tableColumnId="114"/>
      <queryTableField id="115" name="Configuration Menuiserie" tableColumnId="115"/>
      <queryTableField id="116" name="Distance Menuiserie/ Dépôt" tableColumnId="116"/>
      <queryTableField id="117" name="Show Room Menuiserie" tableColumnId="117"/>
      <queryTableField id="118" name="Surface de la menuiserie" tableColumnId="118"/>
      <queryTableField id="119" name="dont Menuiserie en surface de vente" tableColumnId="119"/>
      <queryTableField id="120" name="dont Menuiserie en réserve" tableColumnId="120"/>
      <queryTableField id="121" name="Show Room Salle de Bains" tableColumnId="121"/>
      <queryTableField id="122" name="Surface de la réserve" tableColumnId="122"/>
      <queryTableField id="123" name="Surface du Sas" tableColumnId="123"/>
      <queryTableField id="124" name="Surface des bureaux" tableColumnId="124"/>
      <queryTableField id="125" name="Places de parking" tableColumnId="125"/>
      <queryTableField id="126" name="Fournisseur Agencement" tableColumnId="126"/>
      <queryTableField id="127" name="Nbre d'engins de manutention" tableColumnId="127"/>
      <queryTableField id="128" name="Système de Gestion de Flotte" tableColumnId="128"/>
      <queryTableField id="129" name="PC Dédiés Flexpoint" tableColumnId="129"/>
      <queryTableField id="130" name="Nbre  de caisses ACCUEIL " tableColumnId="130"/>
      <queryTableField id="131" name="Nbre de caisses MAGASIN" tableColumnId="131"/>
      <queryTableField id="132" name="Nbre de Caisses BATI" tableColumnId="132"/>
      <queryTableField id="133" name="Nbre de Caisses GNB" tableColumnId="133"/>
      <queryTableField id="134" name="Nbre de Caisses DEPOUILL" tableColumnId="134"/>
      <queryTableField id="135" name="Total Caisses" tableColumnId="135"/>
      <queryTableField id="136" name="Date Remplacement Caisses" tableColumnId="136"/>
      <queryTableField id="137" name="Nbre SCO" tableColumnId="137"/>
      <queryTableField id="138" name="Modèle SCO" tableColumnId="138"/>
      <queryTableField id="139" name="Modèle de TPE" tableColumnId="139"/>
      <queryTableField id="140" name="Date Remplacement TPE" tableColumnId="140"/>
      <queryTableField id="141" name="Dotation PDA Motorola MC 75" tableColumnId="141"/>
      <queryTableField id="142" name="PDA MC 75 Restant 01/2017" tableColumnId="142"/>
      <queryTableField id="143" name="Imprimante Zebra" tableColumnId="143"/>
      <queryTableField id="144" name="PDA Relevés de prix" tableColumnId="144"/>
      <queryTableField id="145" name="Rescencemnt PDA 2019" tableColumnId="145"/>
      <queryTableField id="146" name="Taux de vols pour 100 000 habitants" tableColumnId="146"/>
      <queryTableField id="147" name="Dépôt à risque de Vol et nature du risque" tableColumnId="147"/>
      <queryTableField id="148" name="Taux de Braquage pour 100 000 habitants" tableColumnId="148"/>
      <queryTableField id="149" name="Braquages" tableColumnId="149"/>
      <queryTableField id="150" name="Braquage cible" tableColumnId="150"/>
      <queryTableField id="151" name="Taux de cambriolage pour 100 000 habitants" tableColumnId="151"/>
      <queryTableField id="152" name="Cambriolages" tableColumnId="152"/>
      <queryTableField id="153" name="Dont Cambriolage du coffre" tableColumnId="153"/>
      <queryTableField id="154" name="Total Evènements" tableColumnId="154"/>
      <queryTableField id="155" name="Type de Coffre" tableColumnId="155"/>
      <queryTableField id="156" name="Automate GLORY" tableColumnId="156"/>
      <queryTableField id="157" name="Modèle de Coffre" tableColumnId="157"/>
      <queryTableField id="158" name="Nombre de Points de Ramassage LOOMIS" tableColumnId="158"/>
      <queryTableField id="159" name="Pneumatique Coffre" tableColumnId="159"/>
      <queryTableField id="160" name="Antennes Anti-Vol" tableColumnId="160"/>
      <queryTableField id="161" name="Vidéo Complète en Dépôt" tableColumnId="161"/>
      <queryTableField id="162" name="Vidéo dans les locaux sociaux" tableColumnId="162"/>
      <queryTableField id="163" name="Vidéo en Caisses" tableColumnId="163"/>
      <queryTableField id="164" name="Vidéo en Logistique" tableColumnId="164"/>
      <queryTableField id="165" name="Vidéo au Bâti" tableColumnId="165"/>
      <queryTableField id="166" name="Société de Sécurité 2019" tableColumnId="166"/>
      <queryTableField id="167" name="Coût horaire 2019" tableColumnId="167"/>
      <queryTableField id="168" name="Nombre d'heures Gardiennage 2017" tableColumnId="168"/>
      <queryTableField id="169" name="Société d'intervention de Nuit" tableColumnId="169"/>
      <queryTableField id="170" name="Dépôt Sprinklé" tableColumnId="170"/>
      <queryTableField id="171" name="Système de Sécurité Incendie" tableColumnId="171"/>
      <queryTableField id="172" name="Modèle de Centrale d'Alarme" tableColumnId="172"/>
      <queryTableField id="173" name="Installateur Alarme 1" tableColumnId="173"/>
      <queryTableField id="174" name="Installateur Alarme 2" tableColumnId="174"/>
      <queryTableField id="175" name="Télésurveilleur" tableColumnId="175"/>
      <queryTableField id="176" name="Télésurveilleur Téléphone" tableColumnId="176"/>
      <queryTableField id="177" name="GTB" tableColumnId="177"/>
      <queryTableField id="178" name="Porte d'accès aux locaux Sociaux" tableColumnId="178"/>
      <queryTableField id="179" name="Contrôle d'accès par badge" tableColumnId="179"/>
      <queryTableField id="180" name="Contrôle d'accès Migré sur serveur" tableColumnId="180"/>
      <queryTableField id="181" name="DATI en Menuiserie" tableColumnId="181"/>
      <queryTableField id="182" name="Générateur de fumée dans le Local Sécurité" tableColumnId="182"/>
      <queryTableField id="183" name="Ralentisseurs sur Parking" tableColumnId="183"/>
      <queryTableField id="184" name="Plots anti bélier sur Parking" tableColumnId="184"/>
      <queryTableField id="185" name="Barrières de fermeture du Parking" tableColumnId="185"/>
      <queryTableField id="186" name="Bavolets Logistique" tableColumnId="186"/>
      <queryTableField id="187" name="Eclairage LED" tableColumnId="187"/>
      <queryTableField id="188" name="Ascenseurs" tableColumnId="188"/>
      <queryTableField id="189" name="Façade ROUGE" tableColumnId="189"/>
      <queryTableField id="190" name="Revitalisation Remodling" tableColumnId="190"/>
      <queryTableField id="191" name="DRIVE" tableColumnId="191"/>
      <queryTableField id="192" name="DRIVE date" tableColumnId="192"/>
      <queryTableField id="193" name="I Dépôt" tableColumnId="193"/>
      <queryTableField id="194" name="Livraison Locale In Store" tableColumnId="194"/>
      <queryTableField id="195" name="Livraison Locale In Store Date" tableColumnId="195"/>
      <queryTableField id="196" name="ZRM" tableColumnId="196"/>
      <queryTableField id="197" name="ZRM Date" tableColumnId="197"/>
      <queryTableField id="198" name="Contenu ZRM" tableColumnId="198"/>
      <queryTableField id="199" name="imprimante dédiée ZRM" tableColumnId="199"/>
      <queryTableField id="200" name="EASIER OU LEGACY" tableColumnId="200"/>
      <queryTableField id="201" name="Bac à sable" tableColumnId="201"/>
      <queryTableField id="202" name="Fournisseur Sable" tableColumnId="202"/>
      <queryTableField id="203" name="Trémie" tableColumnId="203"/>
      <queryTableField id="204" name="Godet hydraulique" tableColumnId="204"/>
      <queryTableField id="205" name="Godet mécanique" tableColumnId="205"/>
      <queryTableField id="206" name="Béton à la toupie" tableColumnId="206"/>
      <queryTableField id="207" name="chargeuses" tableColumnId="207"/>
      <queryTableField id="208" name="date de retour mails" tableColumnId="208"/>
      <queryTableField id="209" name="I DEPOT" tableColumnId="209"/>
      <queryTableField id="210" name="Découpe Bois" tableColumnId="210"/>
      <queryTableField id="211" name="Test Renfort équipe" tableColumnId="211"/>
      <queryTableField id="212" name="Test sur Mesure placards" tableColumnId="212"/>
      <queryTableField id="213" name="Test sur Mesure Menuiserie" tableColumnId="213"/>
      <queryTableField id="214" name="Test Téléphonie sur IP" tableColumnId="214"/>
      <queryTableField id="215" name="Test RETENCY Tracking Clients" tableColumnId="215"/>
      <queryTableField id="216" name="Présentoir à Dalles" tableColumnId="216"/>
      <queryTableField id="217" name="Showroom Salle de Bains" tableColumnId="217"/>
      <queryTableField id="218" name="Showroom Salle de Bains Date" tableColumnId="218"/>
      <queryTableField id="219" name="Ergosquelette" tableColumnId="219"/>
      <queryTableField id="220" name="Transpalette ciseaux" tableColumnId="220"/>
      <queryTableField id="221" name="Plaques téflonées" tableColumnId="221"/>
      <queryTableField id="222" name="Cages Palettes" tableColumnId="222"/>
      <queryTableField id="223" name="Les clients pénétrent dans la zone des bureaux pour accéder aux toilettes" tableColumnId="223"/>
      <queryTableField id="224" name="Société de Nettoyage" tableColumnId="224"/>
      <queryTableField id="225" name="Fenêtres à l'étage des bureaux" tableColumnId="225"/>
      <queryTableField id="226" name="Comptage Clients" tableColumnId="226"/>
      <queryTableField id="227" name="Contexte Comptage - T CUENTO" tableColumnId="227"/>
      <queryTableField id="228" name="N° TVA" tableColumnId="228"/>
      <queryTableField id="229" name="N° Commerçant" tableColumnId="229"/>
      <queryTableField id="230" name="Code Abonné Transax" tableColumnId="230"/>
      <queryTableField id="231" name="Code Vendeur CACF" tableColumnId="231"/>
      <queryTableField id="232" name="Code IP CACF" tableColumnId="232"/>
      <queryTableField id="233" name="N° Commerçant drive" tableColumnId="233"/>
      <queryTableField id="234" name="N° Commerçant Payement sans contact" tableColumnId="234"/>
      <queryTableField id="235" name="Code IBAN/ BNP" tableColumnId="235"/>
      <queryTableField id="236" name="Compte Identifiant" tableColumnId="236"/>
      <queryTableField id="237" name="Mot de passe" tableColumnId="237"/>
      <queryTableField id="238" name="Taux d'AT 2015" tableColumnId="238"/>
      <queryTableField id="239" name="Taux d'AT 2016" tableColumnId="239"/>
      <queryTableField id="240" name="Taux d'AT 2017" tableColumnId="240"/>
      <queryTableField id="241" name="Taux d'AT 2018" tableColumnId="241"/>
      <queryTableField id="242" name="Taux d'AT 2019" tableColumnId="242"/>
      <queryTableField id="243" name="Taux d'AT 2020" tableColumnId="243"/>
      <queryTableField id="244" name="Taux d'AT 2021" tableColumnId="244"/>
      <queryTableField id="245" dataBound="0" tableColumnId="24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036125-08CD-4C70-993E-DE739D6F1EE8}" name="BDD" displayName="BDD" ref="A1:IL126" tableType="queryTable" totalsRowShown="0">
  <autoFilter ref="A1:IL126" xr:uid="{11036125-08CD-4C70-993E-DE739D6F1EE8}"/>
  <sortState xmlns:xlrd2="http://schemas.microsoft.com/office/spreadsheetml/2017/richdata2" ref="A2:IL126">
    <sortCondition ref="C2:C126"/>
  </sortState>
  <tableColumns count="246">
    <tableColumn id="1" xr3:uid="{65F58694-AAF6-46B7-BC64-D12F35CB6079}" uniqueName="1" name="Code BRICO" queryTableFieldId="1"/>
    <tableColumn id="2" xr3:uid="{788B616B-3A40-44D8-B46E-CD3B0BC432C0}" uniqueName="2" name="Code EASIER" queryTableFieldId="2"/>
    <tableColumn id="3" xr3:uid="{0144BC5A-7186-404D-A3B5-F5D4B64AF42B}" uniqueName="3" name="Dépôt" queryTableFieldId="3" dataDxfId="147"/>
    <tableColumn id="4" xr3:uid="{8037E502-885A-4643-9733-B3DCA9FF0335}" uniqueName="4" name="Région administrative" queryTableFieldId="4" dataDxfId="146"/>
    <tableColumn id="246" xr3:uid="{5D8F6D8B-BCF0-4A05-B407-C76C6971E2E7}" uniqueName="246" name="Statut" queryTableFieldId="246"/>
    <tableColumn id="5" xr3:uid="{F2A9C96C-696D-4785-8255-467B708079CB}" uniqueName="5" name="Région 2022" queryTableFieldId="5" dataDxfId="145"/>
    <tableColumn id="6" xr3:uid="{F2D7FB92-6EF7-43EA-B16C-1F6947CF9DEA}" uniqueName="6" name="Directeur Régional" queryTableFieldId="6" dataDxfId="144"/>
    <tableColumn id="7" xr3:uid="{E4799717-BCA3-4ECE-A745-33DAA0055DC9}" uniqueName="7" name="Directeur Régional téléphone" queryTableFieldId="7"/>
    <tableColumn id="8" xr3:uid="{8639153A-B45C-4A20-91D8-322210A472EF}" uniqueName="8" name="Directeur dépôt" queryTableFieldId="8" dataDxfId="143"/>
    <tableColumn id="9" xr3:uid="{E22CB332-3E4C-4C71-9674-F477059441CF}" uniqueName="9" name="Directeur dépôt mail" queryTableFieldId="9" dataDxfId="142"/>
    <tableColumn id="10" xr3:uid="{638896BF-5C4F-4BF7-B784-BCB26B0C7A1A}" uniqueName="10" name="Directeur dépôt téléphone" queryTableFieldId="10"/>
    <tableColumn id="11" xr3:uid="{54003041-83EB-464F-B768-45C5A6A1AFD2}" uniqueName="11" name="Date de prise de fonction" queryTableFieldId="11"/>
    <tableColumn id="12" xr3:uid="{81656C8C-52C1-4FD0-A620-80146B398F6C}" uniqueName="12" name="Chef Sécurité" queryTableFieldId="12" dataDxfId="141"/>
    <tableColumn id="13" xr3:uid="{36784491-20C3-4549-8908-FBC59F53DB3A}" uniqueName="13" name="Chef Sécurité mail" queryTableFieldId="13" dataDxfId="140"/>
    <tableColumn id="14" xr3:uid="{273DBFE7-5D9A-4AEB-9588-A00A0B3D26F4}" uniqueName="14" name="Chef Sécurité Téléphone" queryTableFieldId="14"/>
    <tableColumn id="15" xr3:uid="{3A3B95A7-03B1-49E9-BD72-CD994D3E955B}" uniqueName="15" name="Chef Sécurité Statut" queryTableFieldId="15" dataDxfId="139"/>
    <tableColumn id="16" xr3:uid="{676FFBD0-3E86-4691-9D09-1718CE692306}" uniqueName="16" name="DM file Sécurité" queryTableFieldId="16" dataDxfId="138"/>
    <tableColumn id="17" xr3:uid="{D6BFA5E8-73C2-4D76-B031-9B2591125C16}" uniqueName="17" name="CS Référent Sécurité" queryTableFieldId="17" dataDxfId="137"/>
    <tableColumn id="18" xr3:uid="{A97F1ADE-7157-4668-8FC4-EE133DFFE910}" uniqueName="18" name="Chef Logistique" queryTableFieldId="18" dataDxfId="136"/>
    <tableColumn id="19" xr3:uid="{608036B5-D510-4BE1-B42A-8949D61BD21D}" uniqueName="19" name="Chef Logistique mail" queryTableFieldId="19" dataDxfId="135"/>
    <tableColumn id="20" xr3:uid="{A8044D8F-3AD0-4448-87BB-49C598B14D3F}" uniqueName="20" name="Chef Logistique Téléphone" queryTableFieldId="20"/>
    <tableColumn id="21" xr3:uid="{C14E12B5-F513-4545-825F-9EAB52EA3834}" uniqueName="21" name="Chef Logistique Statut " queryTableFieldId="21" dataDxfId="134"/>
    <tableColumn id="22" xr3:uid="{E372CBF0-06FE-4198-A043-A2BA49CAB66E}" uniqueName="22" name="DM file Logistique" queryTableFieldId="22" dataDxfId="133"/>
    <tableColumn id="23" xr3:uid="{D3242480-5E4B-4190-AAE2-BF35799DEC94}" uniqueName="23" name="CS Référent Logistique" queryTableFieldId="23" dataDxfId="132"/>
    <tableColumn id="24" xr3:uid="{CCF9FCC2-54F6-4DBD-977D-5631E8C45017}" uniqueName="24" name="Chef Aménagement" queryTableFieldId="24" dataDxfId="131"/>
    <tableColumn id="25" xr3:uid="{C567AE5F-B97F-470E-995E-F0E76509DFE7}" uniqueName="25" name="Chef Aménagement mail" queryTableFieldId="25" dataDxfId="130"/>
    <tableColumn id="26" xr3:uid="{CBDA84E4-BF70-4FBB-A456-F948241B1C51}" uniqueName="26" name="Chef Aménagement Téléphone" queryTableFieldId="26"/>
    <tableColumn id="27" xr3:uid="{079E6C32-3B4A-4767-8E5F-75543AF3D43D}" uniqueName="27" name="DM file Aménagement" queryTableFieldId="27" dataDxfId="129"/>
    <tableColumn id="28" xr3:uid="{807686DB-45B6-4A3B-ADD3-BDCD3EAA6154}" uniqueName="28" name="CS Référent Aménagement" queryTableFieldId="28" dataDxfId="128"/>
    <tableColumn id="29" xr3:uid="{B4BAD3B6-A4C9-439C-B5F8-0A9B07E20322}" uniqueName="29" name="Chef Construction" queryTableFieldId="29" dataDxfId="127"/>
    <tableColumn id="30" xr3:uid="{43293BD5-6963-4649-90C0-CF632E03E20F}" uniqueName="30" name="Chef Construction mail" queryTableFieldId="30" dataDxfId="126"/>
    <tableColumn id="31" xr3:uid="{706018E0-3704-4F42-AB38-B2E83002E000}" uniqueName="31" name="Chef Construction Téléphone" queryTableFieldId="31"/>
    <tableColumn id="32" xr3:uid="{D1D2B6EE-981D-49E6-A408-C7A2EE132541}" uniqueName="32" name="DM file Construction" queryTableFieldId="32" dataDxfId="125"/>
    <tableColumn id="33" xr3:uid="{7A0FEBB8-74DE-46BC-AA4C-D776AC58F01B}" uniqueName="33" name="CS Référent Construction" queryTableFieldId="33" dataDxfId="124"/>
    <tableColumn id="34" xr3:uid="{0A107645-7A19-4629-8989-A479DFCE1744}" uniqueName="34" name="Chef Technique" queryTableFieldId="34" dataDxfId="123"/>
    <tableColumn id="35" xr3:uid="{F28A866F-10F5-4807-9460-1C93FB34AB77}" uniqueName="35" name="Chef Technique mail" queryTableFieldId="35" dataDxfId="122"/>
    <tableColumn id="36" xr3:uid="{21623CA7-FC4C-4939-9A59-997BC391AACC}" uniqueName="36" name="Chef Technique Téléphone" queryTableFieldId="36"/>
    <tableColumn id="37" xr3:uid="{C283CB0B-C9C0-453B-AD61-282EA454FDD1}" uniqueName="37" name="DM file Technique" queryTableFieldId="37" dataDxfId="121"/>
    <tableColumn id="38" xr3:uid="{DB9928DA-2588-447A-8FE7-59E92C8B346A}" uniqueName="38" name="CS Référent Technique" queryTableFieldId="38" dataDxfId="120"/>
    <tableColumn id="39" xr3:uid="{7FEEAC3E-C663-4D65-AA87-43897AFF94EE}" uniqueName="39" name="Chef Administratif" queryTableFieldId="39" dataDxfId="119"/>
    <tableColumn id="40" xr3:uid="{93195341-A2FF-419A-8525-F1DEF2CE0B96}" uniqueName="40" name="Chef Administratif mail" queryTableFieldId="40" dataDxfId="118"/>
    <tableColumn id="41" xr3:uid="{9379384F-FF0B-4417-85AB-77A54F920396}" uniqueName="41" name="Chef Administratif Téléphone" queryTableFieldId="41"/>
    <tableColumn id="42" xr3:uid="{AC29300D-D379-46B5-84AD-8BE5617C3E36}" uniqueName="42" name="DM file Administratif" queryTableFieldId="42" dataDxfId="117"/>
    <tableColumn id="43" xr3:uid="{033A440B-AF5E-4ABC-934E-6D5DCCCEC93A}" uniqueName="43" name="CS Référent Administratif" queryTableFieldId="43" dataDxfId="116"/>
    <tableColumn id="44" xr3:uid="{BC735992-6F08-49A6-A947-27FAFB929F6E}" uniqueName="44" name="Chef Caisse" queryTableFieldId="44" dataDxfId="115"/>
    <tableColumn id="45" xr3:uid="{B3FD3EF8-ECC7-4B55-A662-693F19266E42}" uniqueName="45" name="Chef Caisse mail" queryTableFieldId="45" dataDxfId="114"/>
    <tableColumn id="46" xr3:uid="{63DDFF01-3E46-4DFE-83C0-71EF7191CA66}" uniqueName="46" name="Chef Caisse Téléphone" queryTableFieldId="46"/>
    <tableColumn id="47" xr3:uid="{F58ED2A5-13C5-4D81-96F1-ED73F512CDE6}" uniqueName="47" name="DM file Caisse" queryTableFieldId="47" dataDxfId="113"/>
    <tableColumn id="48" xr3:uid="{D0786042-903C-4F0C-887A-9CD3A559A1A7}" uniqueName="48" name="CS Référent Caisse" queryTableFieldId="48" dataDxfId="112"/>
    <tableColumn id="49" xr3:uid="{BEA31090-EDE4-463E-9C25-EBB368877CC2}" uniqueName="49" name="Responsable RH " queryTableFieldId="49" dataDxfId="111"/>
    <tableColumn id="50" xr3:uid="{44D4A68A-87D0-4A9D-B3E0-F09C2570C0EA}" uniqueName="50" name="Responsable RH Téléphone" queryTableFieldId="50"/>
    <tableColumn id="51" xr3:uid="{BE941829-1F93-4DB2-957A-931FAC24B9E6}" uniqueName="51" name="Responsable CDG" queryTableFieldId="51" dataDxfId="110"/>
    <tableColumn id="52" xr3:uid="{929F6290-A72D-4804-A4FB-048681BFACE0}" uniqueName="52" name="Responsable CDG Téléphone" queryTableFieldId="52"/>
    <tableColumn id="53" xr3:uid="{56A69245-5879-4605-8C3A-A201043A8CBC}" uniqueName="53" name="Adresse" queryTableFieldId="53" dataDxfId="109"/>
    <tableColumn id="54" xr3:uid="{FA0F4A8C-D0B4-4ED2-AED1-146363EC308E}" uniqueName="54" name="Ville" queryTableFieldId="54" dataDxfId="108"/>
    <tableColumn id="55" xr3:uid="{003C49B7-A043-4C55-A9D9-3E88EBD46C5C}" uniqueName="55" name="Département" queryTableFieldId="55"/>
    <tableColumn id="56" xr3:uid="{7AE64870-6BAD-4F25-BF71-43B5F64EE3F2}" uniqueName="56" name="TELEPHONE STANDARD" queryTableFieldId="56"/>
    <tableColumn id="57" xr3:uid="{6C4B33F9-CD1B-4074-A173-1E91F02B5F9C}" uniqueName="57" name="Latitude (en degrés décimaux)" queryTableFieldId="57"/>
    <tableColumn id="58" xr3:uid="{7E22C252-B0F0-41B5-81A9-6FCD8B5F93FB}" uniqueName="58" name="Longitude (en degrés décimaux)" queryTableFieldId="58"/>
    <tableColumn id="59" xr3:uid="{6C8F3EB1-7090-4C8C-AA6E-2C3DB6B00876}" uniqueName="59" name="N° SIREN" queryTableFieldId="59"/>
    <tableColumn id="60" xr3:uid="{CF611B07-8478-44EF-8922-EEE852663E43}" uniqueName="60" name="+ SIRET" queryTableFieldId="60"/>
    <tableColumn id="61" xr3:uid="{D1F65A10-FB59-4A83-A27A-01E07CF7574E}" uniqueName="61" name="Date d'Ouverture" queryTableFieldId="61" dataDxfId="107"/>
    <tableColumn id="62" xr3:uid="{6C389C5B-E400-4BDC-AC86-D04A2F4A3BEE}" uniqueName="62" name="Ancienneté du dépôt" queryTableFieldId="62" dataDxfId="106"/>
    <tableColumn id="63" xr3:uid="{D1641747-801B-4F11-A508-1062A5AFADA7}" uniqueName="63" name="Horaire d'ouverture jours 1" queryTableFieldId="63" dataDxfId="105"/>
    <tableColumn id="64" xr3:uid="{468DCD30-D0DA-416B-B10A-2BD2E80F63F4}" uniqueName="64" name="Horaire d'ouverture horaires 1" queryTableFieldId="64" dataDxfId="104"/>
    <tableColumn id="65" xr3:uid="{FC4D7D8F-167E-4752-91E8-C2619EE7CD4A}" uniqueName="65" name="Horaire d'ouverture jours 2" queryTableFieldId="65" dataDxfId="103"/>
    <tableColumn id="66" xr3:uid="{45381C73-5DFB-4718-8403-9EAB85D254B2}" uniqueName="66" name="Horaire d'ouverture horaires 2" queryTableFieldId="66" dataDxfId="102"/>
    <tableColumn id="67" xr3:uid="{3BBC0566-FF3C-4F36-B493-83E01B007942}" uniqueName="67" name="Horaire d'ouverture jours 3" queryTableFieldId="67" dataDxfId="101"/>
    <tableColumn id="68" xr3:uid="{78C5E5C5-7D80-40DA-91EB-BE7CFEE0723C}" uniqueName="68" name="Horaire d'ouverture horaires 3" queryTableFieldId="68" dataDxfId="100"/>
    <tableColumn id="69" xr3:uid="{A8507630-5EC8-4161-B085-BC2866BD6051}" uniqueName="69" name="Amplitude Horaire" queryTableFieldId="69"/>
    <tableColumn id="70" xr3:uid="{B52B654E-AC14-4519-A58F-709746E8C4DB}" uniqueName="70" name="CA TTC 2021" queryTableFieldId="70"/>
    <tableColumn id="71" xr3:uid="{BB62C85D-3A18-442E-8395-796AB1B3DCCC}" uniqueName="71" name="BASSIN 2021" queryTableFieldId="71" dataDxfId="99"/>
    <tableColumn id="72" xr3:uid="{28E2D75C-F1E7-45F8-8C09-9AC8F10634B3}" uniqueName="72" name="Cluster 2021" queryTableFieldId="72" dataDxfId="98"/>
    <tableColumn id="73" xr3:uid="{56BDA6E3-22E0-4506-9C17-5A8ACC5EDE5B}" uniqueName="73" name="Passages Caisses 2021" queryTableFieldId="73"/>
    <tableColumn id="74" xr3:uid="{C6D4EA07-D2C3-40E6-8A48-607B4C127E05}" uniqueName="74" name="Taux de Démarque 2021" queryTableFieldId="74"/>
    <tableColumn id="75" xr3:uid="{7C99DA77-F7AC-47C4-8CC4-DD91CA78CCCC}" uniqueName="75" name="ETP CDI 2021" queryTableFieldId="75"/>
    <tableColumn id="76" xr3:uid="{C2643BC8-DA0D-459A-969D-25E864ACDBFF}" uniqueName="76" name="ETP CDD 2021" queryTableFieldId="76"/>
    <tableColumn id="77" xr3:uid="{549E9C3C-7EE6-49C2-87E1-53D1F56F9259}" uniqueName="77" name="ETP INTERIM 2021" queryTableFieldId="77"/>
    <tableColumn id="78" xr3:uid="{E0F09314-62DB-4747-8A56-144BD83346D2}" uniqueName="78" name="ETP GLOBAL 2021" queryTableFieldId="78"/>
    <tableColumn id="79" xr3:uid="{B862965D-349C-4AC4-8431-E7B996161F30}" uniqueName="79" name="Format dépôt" queryTableFieldId="79" dataDxfId="97"/>
    <tableColumn id="80" xr3:uid="{9ACDE1A7-63DF-4473-A484-20339E268F1D}" uniqueName="80" name="Nombre de sites" queryTableFieldId="80"/>
    <tableColumn id="81" xr3:uid="{5A7BF2B9-7FF4-4622-A57C-4AB9AD0C9B1E}" uniqueName="81" name="Zone Scolaire" queryTableFieldId="81" dataDxfId="96"/>
    <tableColumn id="82" xr3:uid="{CF95DE22-1993-4AEC-8554-1E8A5ACFC527}" uniqueName="82" name="Zone de Droit Social" queryTableFieldId="82" dataDxfId="95"/>
    <tableColumn id="83" xr3:uid="{6F00E49C-CFE6-4004-BE74-ED0B1BFAF14C}" uniqueName="83" name="Entrepôt Legacy" queryTableFieldId="83"/>
    <tableColumn id="84" xr3:uid="{A066F465-FE3A-46CF-A21A-5FF9D1109D5A}" uniqueName="84" name="Entrepôt Easier" queryTableFieldId="84" dataDxfId="94"/>
    <tableColumn id="85" xr3:uid="{CD6D7B0E-623B-48DC-BED5-5651F1F03D4D}" uniqueName="85" name="Plateforme Legacy" queryTableFieldId="85" dataDxfId="93"/>
    <tableColumn id="86" xr3:uid="{84503BBF-BA60-4357-ADC2-72C999AD0BA5}" uniqueName="86" name="Plateforme Easier" queryTableFieldId="86" dataDxfId="92"/>
    <tableColumn id="87" xr3:uid="{954FD696-833B-446A-943E-03D93F769926}" uniqueName="87" name="Plateforme Arrivage" queryTableFieldId="87" dataDxfId="91"/>
    <tableColumn id="88" xr3:uid="{EDA45E36-09BA-4685-986A-8505C6F14F45}" uniqueName="88" name="Plateforme Arrivage ECC" queryTableFieldId="88" dataDxfId="90"/>
    <tableColumn id="89" xr3:uid="{88A31C84-169D-431B-8FD4-5CE3C4329284}" uniqueName="89" name="Plateforme de rattachement (Gamme et Arrivages) après ouvertures" queryTableFieldId="89" dataDxfId="89"/>
    <tableColumn id="90" xr3:uid="{1034C257-3128-4939-8402-D00BDABB2D62}" uniqueName="90" name="GLN Plateforme Gamme" queryTableFieldId="90"/>
    <tableColumn id="91" xr3:uid="{408ED667-1264-4F9C-8B5D-FC0A5227BBCF}" uniqueName="91" name="Code plateforme" queryTableFieldId="91"/>
    <tableColumn id="92" xr3:uid="{028EBEA1-E623-43BB-B4A6-9AA490A33AEF}" uniqueName="92" name="Entrepôt déporté" queryTableFieldId="92" dataDxfId="88"/>
    <tableColumn id="93" xr3:uid="{F07FF963-9BE4-4030-8ADA-35E86139E79C}" uniqueName="93" name="Origine du Dépôt" queryTableFieldId="93" dataDxfId="87"/>
    <tableColumn id="94" xr3:uid="{666612B5-9030-44CD-9D43-2B918FF9F64A}" uniqueName="94" name="Situation du Dépôt" queryTableFieldId="94" dataDxfId="86"/>
    <tableColumn id="95" xr3:uid="{20A4748E-C6F3-48BF-82BA-173C87D9C4E5}" uniqueName="95" name="Propriétaire ou Locataire" queryTableFieldId="253" dataDxfId="85"/>
    <tableColumn id="96" xr3:uid="{5E8DFD09-7A6E-4574-B798-C82C2F0225CD}" uniqueName="96" name="Surface Totale CDAC" queryTableFieldId="96"/>
    <tableColumn id="97" xr3:uid="{39E7FE38-C5DA-418E-AA81-B7BDD7C0528E}" uniqueName="97" name="Surface de vente intérieure" queryTableFieldId="97"/>
    <tableColumn id="98" xr3:uid="{DDC4DE52-FE89-4918-946E-7D9E4C26BA6F}" uniqueName="98" name="Type de surface SVI" queryTableFieldId="98"/>
    <tableColumn id="99" xr3:uid="{7A56F4AD-1A94-44D4-B0F8-EF097B27B09D}" uniqueName="99" name="Typologie_x000a_ SVI" queryTableFieldId="99" dataDxfId="84"/>
    <tableColumn id="100" xr3:uid="{FD04EF8C-DDAE-4B0D-B664-26A16CC24B20}" uniqueName="100" name="Cour Matériaux" queryTableFieldId="100" dataDxfId="83"/>
    <tableColumn id="101" xr3:uid="{A9BAB2C1-4C48-421C-A3D1-D8D246E4FAF2}" uniqueName="101" name="Distance Cour Matériaux Dépôt" queryTableFieldId="101"/>
    <tableColumn id="102" xr3:uid="{8070AF76-0908-4B70-A1F4-4377F242A648}" uniqueName="102" name="Surface Bâti" queryTableFieldId="102"/>
    <tableColumn id="103" xr3:uid="{5CEA2183-AEE8-4DB4-BF81-B762C7865D76}" uniqueName="103" name="Type de surface Bâti" queryTableFieldId="103"/>
    <tableColumn id="104" xr3:uid="{319E1929-0203-467F-ABC7-F7AFB0820DC5}" uniqueName="104" name="Typologie_x000a_ Bâti" queryTableFieldId="104" dataDxfId="82"/>
    <tableColumn id="105" xr3:uid="{C6A00B71-C450-4A47-B8EC-5BC32CE9E84C}" uniqueName="105" name="Surface des matériaux en CDAC" queryTableFieldId="105"/>
    <tableColumn id="106" xr3:uid="{61A19D7B-5BEB-49BF-834A-9436C17C13A5}" uniqueName="106" name="SURFACE Bâti en CDAC" queryTableFieldId="106"/>
    <tableColumn id="107" xr3:uid="{719B3511-C0E5-4D47-8C4F-70FF45526A96}" uniqueName="107" name="dont Local de vente Bâti en CDAC" queryTableFieldId="107"/>
    <tableColumn id="108" xr3:uid="{F358BC17-B5DA-4D6F-B5BB-C9CA9BA9F2E1}" uniqueName="108" name="dont GNB en surface de vente" queryTableFieldId="108"/>
    <tableColumn id="109" xr3:uid="{7DB9E840-9EA0-4300-A15C-8BF39F58C988}" uniqueName="109" name="dont Bâti Couvert en CDAC" queryTableFieldId="109"/>
    <tableColumn id="110" xr3:uid="{43355C6E-FE50-4125-9890-F7B5A6D8C948}" uniqueName="110" name="dont Bâti Non couvert en CDAC" queryTableFieldId="110"/>
    <tableColumn id="111" xr3:uid="{2306294F-E64A-44ED-8BAA-09691ED1D7A1}" uniqueName="111" name="Surface de la cour matériaux hors CDAC" queryTableFieldId="111"/>
    <tableColumn id="112" xr3:uid="{B48428A4-78C1-4F8C-BD6F-561894C1286F}" uniqueName="112" name="dont Bâti Couvert hors CDAC" queryTableFieldId="112"/>
    <tableColumn id="113" xr3:uid="{8EE04685-B557-4117-8977-2404DA074416}" uniqueName="113" name="dont Bâti Non Couvert hors CDAC" queryTableFieldId="113"/>
    <tableColumn id="114" xr3:uid="{2E641C97-C69B-42EB-8D2F-AC72B641F8B4}" uniqueName="114" name="Emplacement Menuiserie" queryTableFieldId="114" dataDxfId="81"/>
    <tableColumn id="115" xr3:uid="{6E3AAE8A-B3DB-40C8-987C-50AD47D25B3C}" uniqueName="115" name="Configuration Menuiserie" queryTableFieldId="115" dataDxfId="80"/>
    <tableColumn id="116" xr3:uid="{5896092B-88AF-4A14-9BD2-0C3073E08C14}" uniqueName="116" name="Distance Menuiserie/ Dépôt" queryTableFieldId="116"/>
    <tableColumn id="117" xr3:uid="{77B9B259-A113-4744-BF77-6836EE594C5C}" uniqueName="117" name="Show Room Menuiserie" queryTableFieldId="117" dataDxfId="79"/>
    <tableColumn id="118" xr3:uid="{0701696B-D837-46AC-B822-04B6891616EE}" uniqueName="118" name="Surface de la menuiserie" queryTableFieldId="118"/>
    <tableColumn id="119" xr3:uid="{24C4708C-4842-47AB-89F2-789A5E37676B}" uniqueName="119" name="dont Menuiserie en surface de vente" queryTableFieldId="119"/>
    <tableColumn id="120" xr3:uid="{1825CE05-9AD1-49FA-9D90-A0A072CE5B2D}" uniqueName="120" name="dont Menuiserie en réserve" queryTableFieldId="120"/>
    <tableColumn id="121" xr3:uid="{EC426E01-6558-40CF-8734-A5335438B263}" uniqueName="121" name="Show Room Salle de Bains" queryTableFieldId="121" dataDxfId="78"/>
    <tableColumn id="122" xr3:uid="{B7C2330F-DE60-487E-AA89-D1BA8D9E4209}" uniqueName="122" name="Surface de la réserve" queryTableFieldId="122"/>
    <tableColumn id="123" xr3:uid="{2E2443BB-7DEA-44E0-9B04-B7278394A0FB}" uniqueName="123" name="Surface du Sas" queryTableFieldId="123"/>
    <tableColumn id="124" xr3:uid="{B97ADC12-0564-46F4-96A1-3830B7B97CD4}" uniqueName="124" name="Surface des bureaux" queryTableFieldId="124"/>
    <tableColumn id="125" xr3:uid="{4EC3D3C8-C59E-4477-8696-536E03B4F0A3}" uniqueName="125" name="Places de parking" queryTableFieldId="125"/>
    <tableColumn id="126" xr3:uid="{4FA00645-9E84-4A29-A15F-989DA0E72B23}" uniqueName="126" name="Fournisseur Agencement" queryTableFieldId="126" dataDxfId="77"/>
    <tableColumn id="127" xr3:uid="{F199DFA2-DB19-4130-8436-073BF4244AC3}" uniqueName="127" name="Nbre d'engins de manutention" queryTableFieldId="127"/>
    <tableColumn id="128" xr3:uid="{597176F9-2A7D-4AE2-BDC9-E43E2EF71E68}" uniqueName="128" name="Système de Gestion de Flotte" queryTableFieldId="128"/>
    <tableColumn id="129" xr3:uid="{8B2EEC29-19A7-413B-835F-B1EB913EFBD9}" uniqueName="129" name="PC Dédiés Flexpoint" queryTableFieldId="129"/>
    <tableColumn id="130" xr3:uid="{181ED1C3-BF6C-4E90-8E26-EAD1A7F991AF}" uniqueName="130" name="Nbre  de caisses ACCUEIL " queryTableFieldId="130"/>
    <tableColumn id="131" xr3:uid="{7B4240FE-3265-4885-A6AB-C749A8EDE008}" uniqueName="131" name="Nbre de caisses MAGASIN" queryTableFieldId="131"/>
    <tableColumn id="132" xr3:uid="{A1B3BCD6-4B32-4D81-9B8F-DAB37A36AA88}" uniqueName="132" name="Nbre de Caisses BATI" queryTableFieldId="132"/>
    <tableColumn id="133" xr3:uid="{3E9AB514-3F8B-4E6A-BD90-B7076B14DF88}" uniqueName="133" name="Nbre de Caisses GNB" queryTableFieldId="133"/>
    <tableColumn id="134" xr3:uid="{CE6B3534-CB19-4766-97D0-224A3B7D3352}" uniqueName="134" name="Nbre de Caisses DEPOUILL" queryTableFieldId="134"/>
    <tableColumn id="135" xr3:uid="{F4990EA9-F013-4A14-81DA-439561C42BB9}" uniqueName="135" name="Total Caisses" queryTableFieldId="135"/>
    <tableColumn id="136" xr3:uid="{763D9F69-76AD-4C80-B35C-F5659CD504CF}" uniqueName="136" name="Date Remplacement Caisses" queryTableFieldId="136"/>
    <tableColumn id="137" xr3:uid="{93BFE1EC-6EF5-4415-9CFB-A0B5843232B5}" uniqueName="137" name="Nbre SCO" queryTableFieldId="137"/>
    <tableColumn id="138" xr3:uid="{31C508EA-FE5B-4325-8BBC-089134AFACFD}" uniqueName="138" name="Modèle SCO" queryTableFieldId="138" dataDxfId="76"/>
    <tableColumn id="139" xr3:uid="{BD75BECE-978E-406D-9D5E-33A2041B962C}" uniqueName="139" name="Modèle de TPE" queryTableFieldId="139" dataDxfId="75"/>
    <tableColumn id="140" xr3:uid="{6278DBF0-B311-45D1-AE45-DCBB13BCA88F}" uniqueName="140" name="Date Remplacement TPE" queryTableFieldId="140" dataDxfId="74"/>
    <tableColumn id="141" xr3:uid="{64EC53E5-0BA5-411F-B8A5-30A40D1EF9C1}" uniqueName="141" name="Dotation PDA Motorola MC 75" queryTableFieldId="141"/>
    <tableColumn id="142" xr3:uid="{FB46553E-DFF5-49F1-9010-4CCC86CDBF03}" uniqueName="142" name="PDA MC 75 Restant 01/2017" queryTableFieldId="142"/>
    <tableColumn id="143" xr3:uid="{7C40FEBD-CBA8-49C3-A6B3-35B779CC27E4}" uniqueName="143" name="Imprimante Zebra" queryTableFieldId="143"/>
    <tableColumn id="144" xr3:uid="{ABBEF7BF-F2DD-46B1-9F32-A09CF15B1656}" uniqueName="144" name="PDA Relevés de prix" queryTableFieldId="144" dataDxfId="73"/>
    <tableColumn id="145" xr3:uid="{FAFA4033-678E-4757-8DD0-776111E955CD}" uniqueName="145" name="Rescencemnt PDA 2019" queryTableFieldId="145"/>
    <tableColumn id="146" xr3:uid="{4063E62C-3941-43D8-8F38-D1300B05C1BF}" uniqueName="146" name="Taux de vols pour 100 000 habitants" queryTableFieldId="146"/>
    <tableColumn id="147" xr3:uid="{46E4330B-E699-4FD6-8E56-1145B7542C05}" uniqueName="147" name="Dépôt à risque de Vol et nature du risque" queryTableFieldId="147" dataDxfId="72"/>
    <tableColumn id="148" xr3:uid="{BC243957-815B-45C0-A369-1401A68F9DF2}" uniqueName="148" name="Taux de Braquage pour 100 000 habitants" queryTableFieldId="148"/>
    <tableColumn id="149" xr3:uid="{010CD6AC-BEA3-40E3-85E2-A446E8215E92}" uniqueName="149" name="Braquages" queryTableFieldId="149"/>
    <tableColumn id="150" xr3:uid="{97957E79-F31A-45A9-9A29-A2B647FC9833}" uniqueName="150" name="Braquage cible" queryTableFieldId="150" dataDxfId="71"/>
    <tableColumn id="151" xr3:uid="{877CB385-FCCD-40CC-B7CA-4DE4756FA2DE}" uniqueName="151" name="Taux de cambriolage pour 100 000 habitants" queryTableFieldId="151"/>
    <tableColumn id="152" xr3:uid="{698110AF-CA68-47D4-BACE-C490C406FB86}" uniqueName="152" name="Cambriolages" queryTableFieldId="152"/>
    <tableColumn id="153" xr3:uid="{F3DDDAF1-7F91-4D83-AF24-EC2A06D18DD0}" uniqueName="153" name="Dont Cambriolage du coffre" queryTableFieldId="153"/>
    <tableColumn id="154" xr3:uid="{52FB02D3-71C5-4121-AE09-83E7D47B4C7B}" uniqueName="154" name="Total Evènements" queryTableFieldId="154"/>
    <tableColumn id="155" xr3:uid="{886F2112-3626-4E5C-AF6D-A3F20E5A5DEE}" uniqueName="155" name="Type de Coffre" queryTableFieldId="155" dataDxfId="70"/>
    <tableColumn id="156" xr3:uid="{A6BA909A-A3C4-4BC4-AF9A-AF67B5FB93C8}" uniqueName="156" name="Automate GLORY" queryTableFieldId="156" dataDxfId="69"/>
    <tableColumn id="157" xr3:uid="{4173D051-2B59-4960-828C-73D6FA860A66}" uniqueName="157" name="Modèle de Coffre" queryTableFieldId="157" dataDxfId="68"/>
    <tableColumn id="158" xr3:uid="{161C808F-966E-4AA4-9F0E-E76B8D9531BC}" uniqueName="158" name="Nombre de Points de Ramassage LOOMIS" queryTableFieldId="158"/>
    <tableColumn id="159" xr3:uid="{DF723199-227F-46FE-87EE-29587A2EF5CC}" uniqueName="159" name="Pneumatique Coffre" queryTableFieldId="159" dataDxfId="67"/>
    <tableColumn id="160" xr3:uid="{A7902441-236F-416C-9E8D-0FF81EA37E97}" uniqueName="160" name="Antennes Anti-Vol" queryTableFieldId="160" dataDxfId="66"/>
    <tableColumn id="161" xr3:uid="{576032D2-371F-47E6-B59E-F326E35D2BB8}" uniqueName="161" name="Vidéo Complète en Dépôt" queryTableFieldId="161" dataDxfId="65"/>
    <tableColumn id="162" xr3:uid="{5898CD59-E27A-4EA7-9EF4-7DC6248EEF7D}" uniqueName="162" name="Vidéo dans les locaux sociaux" queryTableFieldId="162" dataDxfId="64"/>
    <tableColumn id="163" xr3:uid="{7EFB8C86-4A56-4B78-A1CE-7EA83AD7556E}" uniqueName="163" name="Vidéo en Caisses" queryTableFieldId="163" dataDxfId="63"/>
    <tableColumn id="164" xr3:uid="{F974118D-079A-44A8-B396-5F0F14FFD479}" uniqueName="164" name="Vidéo en Logistique" queryTableFieldId="164" dataDxfId="62"/>
    <tableColumn id="165" xr3:uid="{AA3D6D8D-2891-475F-892C-6EB9750D1029}" uniqueName="165" name="Vidéo au Bâti" queryTableFieldId="165" dataDxfId="61"/>
    <tableColumn id="166" xr3:uid="{7B91E6CE-86F1-485D-AE7B-533C56EDB558}" uniqueName="166" name="Société de Sécurité 2019" queryTableFieldId="166" dataDxfId="60"/>
    <tableColumn id="167" xr3:uid="{F2FC360A-95FD-4BC7-91BE-20FCF9F57222}" uniqueName="167" name="Coût horaire 2019" queryTableFieldId="167"/>
    <tableColumn id="168" xr3:uid="{A6171F68-78EC-4F3E-876E-97C4CF3DEA54}" uniqueName="168" name="Nombre d'heures Gardiennage 2017" queryTableFieldId="168"/>
    <tableColumn id="169" xr3:uid="{01E56A06-D474-4897-B863-5D63399C9120}" uniqueName="169" name="Société d'intervention de Nuit" queryTableFieldId="169" dataDxfId="59"/>
    <tableColumn id="170" xr3:uid="{083AFCAE-6F6C-436A-AF7A-02D3B9BAB8A9}" uniqueName="170" name="Dépôt Sprinklé" queryTableFieldId="170" dataDxfId="58"/>
    <tableColumn id="171" xr3:uid="{72B6EBE7-44B6-415B-894F-FF09A2CE122B}" uniqueName="171" name="Système de Sécurité Incendie" queryTableFieldId="171" dataDxfId="57"/>
    <tableColumn id="172" xr3:uid="{E58BFF17-BC0E-4535-BD49-E3159B4B4D1D}" uniqueName="172" name="Modèle de Centrale d'Alarme" queryTableFieldId="172" dataDxfId="56"/>
    <tableColumn id="173" xr3:uid="{6B64004C-333D-4D5C-9E77-8940691BFA0C}" uniqueName="173" name="Installateur Alarme 1" queryTableFieldId="173" dataDxfId="55"/>
    <tableColumn id="174" xr3:uid="{ED4FA249-D284-4828-8915-F0858E9151D7}" uniqueName="174" name="Installateur Alarme 2" queryTableFieldId="174" dataDxfId="54"/>
    <tableColumn id="175" xr3:uid="{34849129-4761-4DBC-B64C-5C3C1E86F289}" uniqueName="175" name="Télésurveilleur" queryTableFieldId="175" dataDxfId="53"/>
    <tableColumn id="176" xr3:uid="{E69F993A-2C4B-4309-8E69-566D9C4BB171}" uniqueName="176" name="Télésurveilleur Téléphone" queryTableFieldId="176"/>
    <tableColumn id="177" xr3:uid="{BC7D4DAC-A664-4266-937E-1D870B22DA04}" uniqueName="177" name="GTB" queryTableFieldId="177" dataDxfId="52"/>
    <tableColumn id="178" xr3:uid="{33A50CCB-89AD-4257-9504-FFD4CDF3CB43}" uniqueName="178" name="Porte d'accès aux locaux Sociaux" queryTableFieldId="178" dataDxfId="51"/>
    <tableColumn id="179" xr3:uid="{5E467951-60A0-434A-91E2-75CE53F4A269}" uniqueName="179" name="Contrôle d'accès par badge" queryTableFieldId="179" dataDxfId="50"/>
    <tableColumn id="180" xr3:uid="{B5AE035B-DE44-41EF-993F-C4B9F2946C3C}" uniqueName="180" name="Contrôle d'accès Migré sur serveur" queryTableFieldId="180" dataDxfId="49"/>
    <tableColumn id="181" xr3:uid="{C143EFD1-1714-4DB7-8B21-38AECD789C85}" uniqueName="181" name="DATI en Menuiserie" queryTableFieldId="181" dataDxfId="48"/>
    <tableColumn id="182" xr3:uid="{1F7550C8-53A7-46C4-BC14-EF38EC22E11F}" uniqueName="182" name="Générateur de fumée dans le Local Sécurité" queryTableFieldId="182" dataDxfId="47"/>
    <tableColumn id="183" xr3:uid="{E6E6EAE5-D1C3-409D-97F3-AC58A02F5B93}" uniqueName="183" name="Ralentisseurs sur Parking" queryTableFieldId="183" dataDxfId="46"/>
    <tableColumn id="184" xr3:uid="{BD418BF4-C46F-457C-9678-A55A0D438484}" uniqueName="184" name="Plots anti bélier sur Parking" queryTableFieldId="184" dataDxfId="45"/>
    <tableColumn id="185" xr3:uid="{0E4F9D1D-CA6D-42E7-9964-CD6074EEA7FD}" uniqueName="185" name="Barrières de fermeture du Parking" queryTableFieldId="185" dataDxfId="44"/>
    <tableColumn id="186" xr3:uid="{4FA080E0-7B06-4834-9EF1-8BDCD0F2B816}" uniqueName="186" name="Bavolets Logistique" queryTableFieldId="186" dataDxfId="43"/>
    <tableColumn id="187" xr3:uid="{00240511-2A61-48D1-BFC7-67A657121C93}" uniqueName="187" name="Eclairage LED" queryTableFieldId="187" dataDxfId="42"/>
    <tableColumn id="188" xr3:uid="{69DE4222-1B26-4017-83F9-07B9B690EEC3}" uniqueName="188" name="Ascenseurs" queryTableFieldId="188" dataDxfId="41"/>
    <tableColumn id="189" xr3:uid="{C84EB23A-53EC-4EDF-810E-654C30A651F7}" uniqueName="189" name="Façade ROUGE" queryTableFieldId="189" dataDxfId="40"/>
    <tableColumn id="190" xr3:uid="{3B6A9BE1-A6DD-4743-9F17-6E975648C9F1}" uniqueName="190" name="Revitalisation Remodling" queryTableFieldId="190" dataDxfId="39"/>
    <tableColumn id="191" xr3:uid="{15F98E1D-6EA8-4C7B-9B6D-585F51F52D54}" uniqueName="191" name="DRIVE" queryTableFieldId="191" dataDxfId="38"/>
    <tableColumn id="192" xr3:uid="{9D756555-75DD-4AE4-A4AE-DF8D26631C3E}" uniqueName="192" name="DRIVE date" queryTableFieldId="192" dataDxfId="37"/>
    <tableColumn id="193" xr3:uid="{408C4BAE-086F-4D49-ABE7-F236F0A531F4}" uniqueName="193" name="I Dépôt" queryTableFieldId="193" dataDxfId="36"/>
    <tableColumn id="194" xr3:uid="{A201992B-02B6-4869-AE6D-E4E22DC98D60}" uniqueName="194" name="Livraison Locale In Store" queryTableFieldId="194" dataDxfId="35"/>
    <tableColumn id="195" xr3:uid="{6F4D25D9-43F1-42B1-B0FB-879E6012DFCD}" uniqueName="195" name="Livraison Locale In Store Date" queryTableFieldId="195"/>
    <tableColumn id="196" xr3:uid="{872B3E1A-8933-4751-87AB-402601F786E2}" uniqueName="196" name="ZRM" queryTableFieldId="196" dataDxfId="34"/>
    <tableColumn id="197" xr3:uid="{A93BDB3E-207B-4CA5-91C3-6BC55AF3C5CA}" uniqueName="197" name="ZRM Date" queryTableFieldId="197"/>
    <tableColumn id="198" xr3:uid="{8AF30C01-58AE-4159-851F-376031D21289}" uniqueName="198" name="Contenu ZRM" queryTableFieldId="198" dataDxfId="33"/>
    <tableColumn id="199" xr3:uid="{033587FF-43ED-43F3-8130-0BBB2E22D380}" uniqueName="199" name="imprimante dédiée ZRM" queryTableFieldId="199" dataDxfId="32"/>
    <tableColumn id="200" xr3:uid="{50DB96C7-3035-4407-A039-A2E50DEFAFE0}" uniqueName="200" name="EASIER OU LEGACY" queryTableFieldId="200" dataDxfId="31"/>
    <tableColumn id="201" xr3:uid="{B1886B65-01EC-4F73-ACA1-23161DA58DA5}" uniqueName="201" name="Bac à sable" queryTableFieldId="201" dataDxfId="30"/>
    <tableColumn id="202" xr3:uid="{98C30F75-6C10-451A-9122-86CCF1B50A35}" uniqueName="202" name="Fournisseur Sable" queryTableFieldId="202" dataDxfId="29"/>
    <tableColumn id="203" xr3:uid="{411D3B7A-0DCF-4A79-BD24-35723B8795DE}" uniqueName="203" name="Trémie" queryTableFieldId="203" dataDxfId="28"/>
    <tableColumn id="204" xr3:uid="{08D87ACD-AB59-49D0-9B5D-267B36BB6E93}" uniqueName="204" name="Godet hydraulique" queryTableFieldId="204" dataDxfId="27"/>
    <tableColumn id="205" xr3:uid="{6B0387CA-6C93-445A-A79D-9194024DFCED}" uniqueName="205" name="Godet mécanique" queryTableFieldId="205" dataDxfId="26"/>
    <tableColumn id="206" xr3:uid="{1756B8CF-F90D-4A2C-B189-D1E512B74324}" uniqueName="206" name="Béton à la toupie" queryTableFieldId="206" dataDxfId="25"/>
    <tableColumn id="207" xr3:uid="{B79C3B0F-ADC0-4B24-A548-CC6C361A8A29}" uniqueName="207" name="chargeuses" queryTableFieldId="207" dataDxfId="24"/>
    <tableColumn id="208" xr3:uid="{A499173E-F184-408B-A54F-7342200A289F}" uniqueName="208" name="date de retour mails" queryTableFieldId="208" dataDxfId="23"/>
    <tableColumn id="209" xr3:uid="{F675383F-277E-453D-B2CB-8650E02A7889}" uniqueName="209" name="I DEPOT" queryTableFieldId="209" dataDxfId="22"/>
    <tableColumn id="210" xr3:uid="{2667E5A3-EC70-441F-9762-FB0A633C99C6}" uniqueName="210" name="Découpe Bois" queryTableFieldId="210" dataDxfId="21"/>
    <tableColumn id="211" xr3:uid="{4596D6F8-C60C-43AC-93D2-9A6046D995C5}" uniqueName="211" name="Test Renfort équipe" queryTableFieldId="211" dataDxfId="20"/>
    <tableColumn id="212" xr3:uid="{16EAA763-2182-4709-A3AA-157D932EDB55}" uniqueName="212" name="Test sur Mesure placards" queryTableFieldId="212" dataDxfId="19"/>
    <tableColumn id="213" xr3:uid="{ECA1CEE3-A030-441B-9286-B2BAD6E3AA36}" uniqueName="213" name="Test sur Mesure Menuiserie" queryTableFieldId="213" dataDxfId="18"/>
    <tableColumn id="214" xr3:uid="{C8A33EA3-7E5D-4E12-84E0-B45BC047DB5F}" uniqueName="214" name="Test Téléphonie sur IP" queryTableFieldId="214" dataDxfId="17"/>
    <tableColumn id="215" xr3:uid="{E0C41E54-AE45-4CFA-929F-6BE1F409F38A}" uniqueName="215" name="Test RETENCY Tracking Clients" queryTableFieldId="215" dataDxfId="16"/>
    <tableColumn id="216" xr3:uid="{69942B5B-A98E-4CEF-A46F-AC3530451E90}" uniqueName="216" name="Présentoir à Dalles" queryTableFieldId="216" dataDxfId="15"/>
    <tableColumn id="217" xr3:uid="{96CA336C-0F00-439A-96EA-712F0046A257}" uniqueName="217" name="Showroom Salle de Bains" queryTableFieldId="217" dataDxfId="14"/>
    <tableColumn id="218" xr3:uid="{35D6B07D-68CF-4337-ADCE-758349C58970}" uniqueName="218" name="Showroom Salle de Bains Date" queryTableFieldId="218" dataDxfId="13"/>
    <tableColumn id="219" xr3:uid="{2C0E9EFA-DE1E-4CB7-B2B9-B95A104F0062}" uniqueName="219" name="Ergosquelette" queryTableFieldId="219" dataDxfId="12"/>
    <tableColumn id="220" xr3:uid="{1DC84DF8-9E65-43D2-9A2B-72D1338FA749}" uniqueName="220" name="Transpalette ciseaux" queryTableFieldId="220" dataDxfId="11"/>
    <tableColumn id="221" xr3:uid="{BB92BA0B-A917-4CCC-ADB9-23BEC935DBD2}" uniqueName="221" name="Plaques téflonées" queryTableFieldId="221" dataDxfId="10"/>
    <tableColumn id="222" xr3:uid="{C658C372-5E6F-4171-9EF6-B0CD6F92AF56}" uniqueName="222" name="Cages Palettes" queryTableFieldId="222" dataDxfId="9"/>
    <tableColumn id="223" xr3:uid="{699054AA-CF8D-4BAC-90B5-050BCA7D4353}" uniqueName="223" name="Les clients pénétrent dans la zone des bureaux pour accéder aux toilettes" queryTableFieldId="223" dataDxfId="8"/>
    <tableColumn id="224" xr3:uid="{3200E739-56B2-4EE1-9A24-8B8A5E915D49}" uniqueName="224" name="Société de Nettoyage" queryTableFieldId="224" dataDxfId="7"/>
    <tableColumn id="225" xr3:uid="{C215DD08-0714-432E-AE18-9714A05DF6AE}" uniqueName="225" name="Fenêtres à l'étage des bureaux" queryTableFieldId="225" dataDxfId="6"/>
    <tableColumn id="226" xr3:uid="{C0C7003C-1E41-4269-8F8D-01B8DBC2E1C9}" uniqueName="226" name="Comptage Clients" queryTableFieldId="226" dataDxfId="5"/>
    <tableColumn id="227" xr3:uid="{C13DB07F-61BF-4E43-91C7-40EBB58F8CCA}" uniqueName="227" name="Contexte Comptage - T CUENTO" queryTableFieldId="227" dataDxfId="4"/>
    <tableColumn id="228" xr3:uid="{E5597833-943F-4769-B767-68A200759FE0}" uniqueName="228" name="N° TVA" queryTableFieldId="228" dataDxfId="3"/>
    <tableColumn id="229" xr3:uid="{04C189FD-38B2-4BBD-BA1E-1947E87581B0}" uniqueName="229" name="N° Commerçant" queryTableFieldId="229"/>
    <tableColumn id="230" xr3:uid="{F317B708-D9A4-45A8-808B-8A1E72D03B59}" uniqueName="230" name="Code Abonné Transax" queryTableFieldId="230"/>
    <tableColumn id="231" xr3:uid="{80657A5E-85AE-45A9-82F5-3677B2A87CC5}" uniqueName="231" name="Code Vendeur CACF" queryTableFieldId="231"/>
    <tableColumn id="232" xr3:uid="{FB2C92A8-B899-4CB4-80B7-8155CB9A3B11}" uniqueName="232" name="Code IP CACF" queryTableFieldId="232" dataDxfId="2"/>
    <tableColumn id="233" xr3:uid="{8CC64B92-7A3A-49C8-9FE6-D987E5A928DA}" uniqueName="233" name="N° Commerçant drive" queryTableFieldId="233"/>
    <tableColumn id="234" xr3:uid="{67D00CDA-9A88-45B8-BDBD-A326EF63FE05}" uniqueName="234" name="N° Commerçant Payement sans contact" queryTableFieldId="234"/>
    <tableColumn id="235" xr3:uid="{3C5C785B-D17F-4DB2-90A2-6922C7C6A4FB}" uniqueName="235" name="Code IBAN/ BNP" queryTableFieldId="235" dataDxfId="1"/>
    <tableColumn id="236" xr3:uid="{152D6AB6-355B-433E-ADB3-2503E25C8D28}" uniqueName="236" name="Compte Identifiant" queryTableFieldId="236"/>
    <tableColumn id="237" xr3:uid="{21690380-0672-4BBF-8DCC-DF5C09DA6B6A}" uniqueName="237" name="Mot de passe" queryTableFieldId="237" dataDxfId="0"/>
    <tableColumn id="238" xr3:uid="{20A87D91-6F98-4239-8A47-A4E271B8ED29}" uniqueName="238" name="Taux d'AT 2015" queryTableFieldId="238"/>
    <tableColumn id="239" xr3:uid="{AF5B2654-AD55-4606-9144-77CE513624F3}" uniqueName="239" name="Taux d'AT 2016" queryTableFieldId="239"/>
    <tableColumn id="240" xr3:uid="{81A4A41B-7EC1-47EC-B3A8-BC91500C54C3}" uniqueName="240" name="Taux d'AT 2017" queryTableFieldId="240"/>
    <tableColumn id="241" xr3:uid="{8EBB29F2-F74C-4C5D-A71A-F3F5AE7B556B}" uniqueName="241" name="Taux d'AT 2018" queryTableFieldId="241"/>
    <tableColumn id="242" xr3:uid="{859133D4-A3DC-4736-8B7E-30190B3F4B8B}" uniqueName="242" name="Taux d'AT 2019" queryTableFieldId="242"/>
    <tableColumn id="243" xr3:uid="{9D1B67EC-5F81-45E9-BECD-5098C775CA6C}" uniqueName="243" name="Taux d'AT 2020" queryTableFieldId="243"/>
    <tableColumn id="244" xr3:uid="{45F5E5D8-DF5C-4C80-B28F-09D345DC5974}" uniqueName="244" name="Taux d'AT 2021" queryTableFieldId="244"/>
    <tableColumn id="245" xr3:uid="{2A3B9442-B4FF-4992-8184-90D18AAD02AE}" uniqueName="245" name="conditions" queryTableFieldId="24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18" Type="http://schemas.openxmlformats.org/officeDocument/2006/relationships/control" Target="../activeX/activeX21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2.emf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17" Type="http://schemas.openxmlformats.org/officeDocument/2006/relationships/image" Target="../media/image20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19" Type="http://schemas.openxmlformats.org/officeDocument/2006/relationships/image" Target="../media/image21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externalLinkPath" Target="https://netestia-my.sharepoint.com/Users/dsi/Documents/Brico%20Depot/Version/Client%20BDD%20FILTRE%20V4.xls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D7D16-AE4F-42B2-9101-067A1DEA95C5}">
  <sheetPr codeName="Config"/>
  <dimension ref="B1:B5"/>
  <sheetViews>
    <sheetView tabSelected="1" workbookViewId="0">
      <selection activeCell="B9" sqref="B9"/>
    </sheetView>
  </sheetViews>
  <sheetFormatPr baseColWidth="10" defaultRowHeight="14.4" x14ac:dyDescent="0.3"/>
  <cols>
    <col min="1" max="1" width="4.33203125" customWidth="1"/>
    <col min="2" max="2" width="55.88671875" customWidth="1"/>
  </cols>
  <sheetData>
    <row r="1" spans="2:2" ht="25.8" x14ac:dyDescent="0.5">
      <c r="B1" s="4" t="s">
        <v>3272</v>
      </c>
    </row>
    <row r="4" spans="2:2" ht="18" x14ac:dyDescent="0.3">
      <c r="B4" s="3" t="s">
        <v>3271</v>
      </c>
    </row>
    <row r="5" spans="2:2" ht="15.6" x14ac:dyDescent="0.3">
      <c r="B5" s="37" t="s">
        <v>3414</v>
      </c>
    </row>
  </sheetData>
  <sheetProtection algorithmName="SHA-512" hashValue="CWSx3j2EZv3H1nFNAnUS4UR8yiZW0NDlDxlQOi7ces8olRkuNE0HXU/vEmgOHllqECYKKdXBnC9xpIoAJcmSwQ==" saltValue="hmIbHr35VJrhXdGdBRVM0w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refreshBDD">
          <controlPr defaultSize="0" autoLine="0" r:id="rId5">
            <anchor moveWithCells="1">
              <from>
                <xdr:col>5</xdr:col>
                <xdr:colOff>22860</xdr:colOff>
                <xdr:row>3</xdr:row>
                <xdr:rowOff>76200</xdr:rowOff>
              </from>
              <to>
                <xdr:col>6</xdr:col>
                <xdr:colOff>205740</xdr:colOff>
                <xdr:row>4</xdr:row>
                <xdr:rowOff>99060</xdr:rowOff>
              </to>
            </anchor>
          </controlPr>
        </control>
      </mc:Choice>
      <mc:Fallback>
        <control shapeId="4103" r:id="rId4" name="refreshBDD"/>
      </mc:Fallback>
    </mc:AlternateContent>
    <mc:AlternateContent xmlns:mc="http://schemas.openxmlformats.org/markup-compatibility/2006">
      <mc:Choice Requires="x14">
        <control shapeId="4099" r:id="rId6" name="butConnexion">
          <controlPr locked="0" defaultSize="0" autoLine="0" r:id="rId7">
            <anchor moveWithCells="1">
              <from>
                <xdr:col>2</xdr:col>
                <xdr:colOff>45720</xdr:colOff>
                <xdr:row>0</xdr:row>
                <xdr:rowOff>91440</xdr:rowOff>
              </from>
              <to>
                <xdr:col>4</xdr:col>
                <xdr:colOff>60960</xdr:colOff>
                <xdr:row>2</xdr:row>
                <xdr:rowOff>22860</xdr:rowOff>
              </to>
            </anchor>
          </controlPr>
        </control>
      </mc:Choice>
      <mc:Fallback>
        <control shapeId="4099" r:id="rId6" name="butConnexion"/>
      </mc:Fallback>
    </mc:AlternateContent>
    <mc:AlternateContent xmlns:mc="http://schemas.openxmlformats.org/markup-compatibility/2006">
      <mc:Choice Requires="x14">
        <control shapeId="4100" r:id="rId8" name="butQuitter">
          <controlPr locked="0" defaultSize="0" autoLine="0" r:id="rId9">
            <anchor moveWithCells="1">
              <from>
                <xdr:col>2</xdr:col>
                <xdr:colOff>327660</xdr:colOff>
                <xdr:row>0</xdr:row>
                <xdr:rowOff>91440</xdr:rowOff>
              </from>
              <to>
                <xdr:col>3</xdr:col>
                <xdr:colOff>624840</xdr:colOff>
                <xdr:row>2</xdr:row>
                <xdr:rowOff>22860</xdr:rowOff>
              </to>
            </anchor>
          </controlPr>
        </control>
      </mc:Choice>
      <mc:Fallback>
        <control shapeId="4100" r:id="rId8" name="butQuitter"/>
      </mc:Fallback>
    </mc:AlternateContent>
    <mc:AlternateContent xmlns:mc="http://schemas.openxmlformats.org/markup-compatibility/2006">
      <mc:Choice Requires="x14">
        <control shapeId="4101" r:id="rId10" name="afficherBDD">
          <controlPr locked="0" defaultSize="0" autoLine="0" r:id="rId11">
            <anchor moveWithCells="1">
              <from>
                <xdr:col>5</xdr:col>
                <xdr:colOff>83820</xdr:colOff>
                <xdr:row>1</xdr:row>
                <xdr:rowOff>99060</xdr:rowOff>
              </from>
              <to>
                <xdr:col>6</xdr:col>
                <xdr:colOff>160020</xdr:colOff>
                <xdr:row>3</xdr:row>
                <xdr:rowOff>22860</xdr:rowOff>
              </to>
            </anchor>
          </controlPr>
        </control>
      </mc:Choice>
      <mc:Fallback>
        <control shapeId="4101" r:id="rId10" name="afficherBDD"/>
      </mc:Fallback>
    </mc:AlternateContent>
    <mc:AlternateContent xmlns:mc="http://schemas.openxmlformats.org/markup-compatibility/2006">
      <mc:Choice Requires="x14">
        <control shapeId="4102" r:id="rId12" name="cacherBDD">
          <controlPr locked="0" defaultSize="0" autoLine="0" r:id="rId13">
            <anchor moveWithCells="1">
              <from>
                <xdr:col>5</xdr:col>
                <xdr:colOff>114300</xdr:colOff>
                <xdr:row>0</xdr:row>
                <xdr:rowOff>129540</xdr:rowOff>
              </from>
              <to>
                <xdr:col>6</xdr:col>
                <xdr:colOff>129540</xdr:colOff>
                <xdr:row>1</xdr:row>
                <xdr:rowOff>76200</xdr:rowOff>
              </to>
            </anchor>
          </controlPr>
        </control>
      </mc:Choice>
      <mc:Fallback>
        <control shapeId="4102" r:id="rId12" name="cacherBDD"/>
      </mc:Fallback>
    </mc:AlternateContent>
    <mc:AlternateContent xmlns:mc="http://schemas.openxmlformats.org/markup-compatibility/2006">
      <mc:Choice Requires="x14">
        <control shapeId="4104" r:id="rId14" name="debug">
          <controlPr defaultSize="0" autoLine="0" r:id="rId15">
            <anchor moveWithCells="1">
              <from>
                <xdr:col>4</xdr:col>
                <xdr:colOff>160020</xdr:colOff>
                <xdr:row>0</xdr:row>
                <xdr:rowOff>91440</xdr:rowOff>
              </from>
              <to>
                <xdr:col>4</xdr:col>
                <xdr:colOff>632460</xdr:colOff>
                <xdr:row>1</xdr:row>
                <xdr:rowOff>45720</xdr:rowOff>
              </to>
            </anchor>
          </controlPr>
        </control>
      </mc:Choice>
      <mc:Fallback>
        <control shapeId="4104" r:id="rId14" name="debu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B3609-835D-4956-83DF-DE0EBCC05402}">
  <sheetPr codeName="Ajout_nouveau_depot"/>
  <dimension ref="A1:AQ89"/>
  <sheetViews>
    <sheetView showGridLines="0" topLeftCell="A72" zoomScaleNormal="100" workbookViewId="0">
      <selection activeCell="A89" sqref="A89"/>
    </sheetView>
  </sheetViews>
  <sheetFormatPr baseColWidth="10" defaultRowHeight="14.4" x14ac:dyDescent="0.3"/>
  <cols>
    <col min="1" max="1" width="37" style="6" customWidth="1"/>
    <col min="2" max="2" width="27.44140625" style="6" bestFit="1" customWidth="1"/>
    <col min="3" max="3" width="29" style="6" bestFit="1" customWidth="1"/>
    <col min="4" max="4" width="28.44140625" style="6" customWidth="1"/>
    <col min="5" max="5" width="24.5546875" style="6" bestFit="1" customWidth="1"/>
    <col min="6" max="6" width="24.6640625" style="6" bestFit="1" customWidth="1"/>
    <col min="7" max="7" width="26.77734375" style="6" bestFit="1" customWidth="1"/>
    <col min="8" max="8" width="26.88671875" style="6" bestFit="1" customWidth="1"/>
    <col min="9" max="9" width="27.21875" style="6" bestFit="1" customWidth="1"/>
    <col min="10" max="10" width="24.33203125" style="6" bestFit="1" customWidth="1"/>
    <col min="11" max="11" width="27.21875" style="6" bestFit="1" customWidth="1"/>
    <col min="12" max="12" width="18.88671875" style="6" customWidth="1"/>
    <col min="13" max="13" width="20.21875" style="6" customWidth="1"/>
    <col min="14" max="14" width="19.21875" style="6" customWidth="1"/>
    <col min="15" max="15" width="22.77734375" style="6" customWidth="1"/>
    <col min="16" max="16" width="19.33203125" style="6" customWidth="1"/>
    <col min="17" max="17" width="28.21875" style="6" bestFit="1" customWidth="1"/>
    <col min="18" max="18" width="20.21875" style="6" bestFit="1" customWidth="1"/>
    <col min="19" max="19" width="29.6640625" style="6" bestFit="1" customWidth="1"/>
    <col min="20" max="20" width="26.88671875" style="6" bestFit="1" customWidth="1"/>
    <col min="21" max="21" width="24" style="6" bestFit="1" customWidth="1"/>
    <col min="22" max="22" width="27.88671875" style="6" bestFit="1" customWidth="1"/>
    <col min="23" max="23" width="35.109375" style="6" bestFit="1" customWidth="1"/>
    <col min="24" max="24" width="25.6640625" style="6" bestFit="1" customWidth="1"/>
    <col min="25" max="25" width="29.6640625" style="6" bestFit="1" customWidth="1"/>
    <col min="26" max="27" width="23.33203125" style="6" bestFit="1" customWidth="1"/>
    <col min="28" max="28" width="25.44140625" style="6" bestFit="1" customWidth="1"/>
    <col min="29" max="29" width="21.6640625" style="6" bestFit="1" customWidth="1"/>
    <col min="30" max="30" width="22.44140625" style="6" bestFit="1" customWidth="1"/>
    <col min="31" max="31" width="33.21875" style="6" bestFit="1" customWidth="1"/>
    <col min="32" max="32" width="25.109375" style="6" bestFit="1" customWidth="1"/>
    <col min="33" max="33" width="23.5546875" style="6" bestFit="1" customWidth="1"/>
    <col min="34" max="34" width="19" style="6" bestFit="1" customWidth="1"/>
    <col min="35" max="35" width="13.21875" style="6" bestFit="1" customWidth="1"/>
    <col min="36" max="36" width="18.44140625" style="6" bestFit="1" customWidth="1"/>
    <col min="37" max="37" width="39.77734375" style="6" customWidth="1"/>
    <col min="38" max="38" width="22.77734375" style="6" bestFit="1" customWidth="1"/>
    <col min="39" max="39" width="27.6640625" style="6" bestFit="1" customWidth="1"/>
    <col min="40" max="40" width="26.6640625" style="6" bestFit="1" customWidth="1"/>
    <col min="41" max="41" width="18.33203125" style="6" bestFit="1" customWidth="1"/>
    <col min="42" max="42" width="22.88671875" style="6" bestFit="1" customWidth="1"/>
    <col min="43" max="43" width="23.33203125" style="6" bestFit="1" customWidth="1"/>
    <col min="44" max="44" width="19" style="6" bestFit="1" customWidth="1"/>
    <col min="45" max="45" width="18.88671875" style="6" bestFit="1" customWidth="1"/>
    <col min="46" max="46" width="23.44140625" style="6" bestFit="1" customWidth="1"/>
    <col min="47" max="47" width="11.88671875" style="6" bestFit="1" customWidth="1"/>
    <col min="48" max="48" width="25.44140625" style="6" bestFit="1" customWidth="1"/>
    <col min="49" max="49" width="9.109375" style="6" bestFit="1" customWidth="1"/>
    <col min="50" max="50" width="11.5546875" style="6" bestFit="1" customWidth="1"/>
    <col min="51" max="51" width="13.77734375" style="6" bestFit="1" customWidth="1"/>
    <col min="52" max="52" width="22.21875" style="6" bestFit="1" customWidth="1"/>
    <col min="53" max="53" width="26.77734375" style="6" bestFit="1" customWidth="1"/>
    <col min="54" max="54" width="24.44140625" style="6" bestFit="1" customWidth="1"/>
    <col min="55" max="55" width="16.5546875" style="6" bestFit="1" customWidth="1"/>
    <col min="56" max="56" width="18.33203125" style="6" bestFit="1" customWidth="1"/>
    <col min="57" max="57" width="21.109375" style="6" bestFit="1" customWidth="1"/>
    <col min="58" max="58" width="31.6640625" style="6" bestFit="1" customWidth="1"/>
    <col min="59" max="59" width="36.88671875" style="6" bestFit="1" customWidth="1"/>
    <col min="60" max="60" width="36.33203125" style="6" bestFit="1" customWidth="1"/>
    <col min="61" max="61" width="9.88671875" style="6" bestFit="1" customWidth="1"/>
    <col min="62" max="62" width="13.5546875" style="6" bestFit="1" customWidth="1"/>
    <col min="63" max="63" width="38.88671875" style="6" bestFit="1" customWidth="1"/>
    <col min="64" max="64" width="12.6640625" style="6" bestFit="1" customWidth="1"/>
    <col min="65" max="65" width="24.88671875" style="6" bestFit="1" customWidth="1"/>
    <col min="66" max="66" width="16.5546875" style="6" bestFit="1" customWidth="1"/>
    <col min="67" max="67" width="13.5546875" style="6" bestFit="1" customWidth="1"/>
    <col min="68" max="68" width="15.6640625" style="6" bestFit="1" customWidth="1"/>
    <col min="69" max="69" width="16.21875" style="6" bestFit="1" customWidth="1"/>
    <col min="70" max="70" width="36.88671875" style="6" bestFit="1" customWidth="1"/>
    <col min="71" max="71" width="18.5546875" style="6" bestFit="1" customWidth="1"/>
    <col min="72" max="72" width="17.109375" style="6" bestFit="1" customWidth="1"/>
    <col min="73" max="73" width="23.5546875" style="6" bestFit="1" customWidth="1"/>
    <col min="74" max="74" width="26.6640625" style="6" bestFit="1" customWidth="1"/>
    <col min="75" max="75" width="15.44140625" style="6" bestFit="1" customWidth="1"/>
    <col min="76" max="76" width="18.21875" style="6" bestFit="1" customWidth="1"/>
    <col min="77" max="77" width="12.33203125" style="6" bestFit="1" customWidth="1"/>
    <col min="78" max="78" width="22.109375" style="6" bestFit="1" customWidth="1"/>
    <col min="79" max="79" width="16.109375" style="6" bestFit="1" customWidth="1"/>
    <col min="80" max="80" width="32.21875" style="6" bestFit="1" customWidth="1"/>
    <col min="81" max="81" width="27.33203125" style="6" bestFit="1" customWidth="1"/>
    <col min="82" max="82" width="13.77734375" style="6" bestFit="1" customWidth="1"/>
    <col min="83" max="83" width="26.77734375" style="6" bestFit="1" customWidth="1"/>
    <col min="84" max="84" width="26.6640625" style="6" bestFit="1" customWidth="1"/>
    <col min="85" max="86" width="19" style="6" bestFit="1" customWidth="1"/>
    <col min="87" max="87" width="14" style="6" bestFit="1" customWidth="1"/>
    <col min="88" max="88" width="24" style="6" bestFit="1" customWidth="1"/>
    <col min="89" max="89" width="4.33203125" style="6" bestFit="1" customWidth="1"/>
    <col min="90" max="90" width="29" style="6" bestFit="1" customWidth="1"/>
    <col min="91" max="91" width="24.109375" style="6" bestFit="1" customWidth="1"/>
    <col min="92" max="92" width="31" style="6" bestFit="1" customWidth="1"/>
    <col min="93" max="93" width="18" style="6" bestFit="1" customWidth="1"/>
    <col min="94" max="94" width="39" style="6" bestFit="1" customWidth="1"/>
    <col min="95" max="95" width="22.6640625" style="6" bestFit="1" customWidth="1"/>
    <col min="96" max="96" width="24.6640625" style="6" bestFit="1" customWidth="1"/>
    <col min="97" max="97" width="30.6640625" style="6" bestFit="1" customWidth="1"/>
    <col min="98" max="98" width="17.77734375" style="6" bestFit="1" customWidth="1"/>
    <col min="99" max="99" width="12.109375" style="6" bestFit="1" customWidth="1"/>
    <col min="100" max="100" width="10.6640625" style="6" bestFit="1" customWidth="1"/>
    <col min="101" max="101" width="13.33203125" style="6" bestFit="1" customWidth="1"/>
    <col min="102" max="102" width="22.77734375" style="6" bestFit="1" customWidth="1"/>
    <col min="103" max="103" width="6.109375" style="6" bestFit="1" customWidth="1"/>
    <col min="104" max="104" width="10.44140625" style="6" bestFit="1" customWidth="1"/>
    <col min="105" max="105" width="7.21875" style="6" bestFit="1" customWidth="1"/>
    <col min="106" max="106" width="21.77734375" style="6" bestFit="1" customWidth="1"/>
    <col min="107" max="107" width="26.33203125" style="6" bestFit="1" customWidth="1"/>
    <col min="108" max="108" width="4.6640625" style="6" bestFit="1" customWidth="1"/>
    <col min="109" max="109" width="9.109375" style="6" bestFit="1" customWidth="1"/>
    <col min="110" max="110" width="12.44140625" style="6" bestFit="1" customWidth="1"/>
    <col min="111" max="111" width="22.109375" style="6" bestFit="1" customWidth="1"/>
    <col min="112" max="112" width="16.77734375" style="6" bestFit="1" customWidth="1"/>
    <col min="113" max="113" width="10.21875" style="6" bestFit="1" customWidth="1"/>
    <col min="114" max="114" width="16.33203125" style="6" bestFit="1" customWidth="1"/>
    <col min="115" max="115" width="7.109375" style="6" bestFit="1" customWidth="1"/>
    <col min="116" max="116" width="17.21875" style="6" bestFit="1" customWidth="1"/>
    <col min="117" max="117" width="16.33203125" style="6" bestFit="1" customWidth="1"/>
    <col min="118" max="118" width="15.6640625" style="6" bestFit="1" customWidth="1"/>
    <col min="119" max="119" width="10.5546875" style="6" bestFit="1" customWidth="1"/>
    <col min="120" max="120" width="18.44140625" style="6" bestFit="1" customWidth="1"/>
    <col min="121" max="121" width="7.6640625" style="6" bestFit="1" customWidth="1"/>
    <col min="122" max="122" width="12.6640625" style="6" bestFit="1" customWidth="1"/>
    <col min="123" max="123" width="18.21875" style="6" bestFit="1" customWidth="1"/>
    <col min="124" max="124" width="22.33203125" style="6" bestFit="1" customWidth="1"/>
    <col min="125" max="125" width="25.109375" style="6" bestFit="1" customWidth="1"/>
    <col min="126" max="126" width="20.109375" style="6" bestFit="1" customWidth="1"/>
    <col min="127" max="127" width="26.77734375" style="6" bestFit="1" customWidth="1"/>
    <col min="128" max="128" width="17.21875" style="6" bestFit="1" customWidth="1"/>
    <col min="129" max="129" width="22.77734375" style="6" bestFit="1" customWidth="1"/>
    <col min="130" max="130" width="27.33203125" style="6" bestFit="1" customWidth="1"/>
    <col min="131" max="131" width="13" style="6" bestFit="1" customWidth="1"/>
    <col min="132" max="132" width="18.77734375" style="6" bestFit="1" customWidth="1"/>
    <col min="133" max="133" width="16.6640625" style="6" bestFit="1" customWidth="1"/>
    <col min="134" max="134" width="13.44140625" style="6" bestFit="1" customWidth="1"/>
    <col min="135" max="135" width="65.109375" style="6" bestFit="1" customWidth="1"/>
    <col min="136" max="136" width="19.5546875" style="6" bestFit="1" customWidth="1"/>
    <col min="137" max="137" width="27.6640625" style="6" bestFit="1" customWidth="1"/>
    <col min="138" max="138" width="16.21875" style="6" bestFit="1" customWidth="1"/>
    <col min="139" max="139" width="28.44140625" style="6" bestFit="1" customWidth="1"/>
    <col min="140" max="140" width="6.88671875" style="6" bestFit="1" customWidth="1"/>
    <col min="141" max="141" width="14.44140625" style="6" bestFit="1" customWidth="1"/>
    <col min="142" max="142" width="19.6640625" style="6" bestFit="1" customWidth="1"/>
    <col min="143" max="143" width="18.33203125" style="6" bestFit="1" customWidth="1"/>
    <col min="144" max="144" width="12.33203125" style="6" bestFit="1" customWidth="1"/>
    <col min="145" max="145" width="19.44140625" style="6" bestFit="1" customWidth="1"/>
    <col min="146" max="146" width="35" style="6" bestFit="1" customWidth="1"/>
    <col min="147" max="147" width="15" style="6" bestFit="1" customWidth="1"/>
    <col min="148" max="148" width="17.44140625" style="6" bestFit="1" customWidth="1"/>
    <col min="149" max="149" width="12.33203125" style="6" bestFit="1" customWidth="1"/>
    <col min="150" max="156" width="13.44140625" style="6" bestFit="1" customWidth="1"/>
    <col min="157" max="157" width="16.21875" style="6" bestFit="1" customWidth="1"/>
    <col min="158" max="158" width="36.88671875" style="6" bestFit="1" customWidth="1"/>
    <col min="159" max="159" width="18.5546875" style="6" bestFit="1" customWidth="1"/>
    <col min="160" max="160" width="17.109375" style="6" bestFit="1" customWidth="1"/>
    <col min="161" max="161" width="23.5546875" style="6" bestFit="1" customWidth="1"/>
    <col min="162" max="162" width="26.6640625" style="6" bestFit="1" customWidth="1"/>
    <col min="163" max="163" width="15.44140625" style="6" bestFit="1" customWidth="1"/>
    <col min="164" max="164" width="18.21875" style="6" bestFit="1" customWidth="1"/>
    <col min="165" max="165" width="12.33203125" style="6" bestFit="1" customWidth="1"/>
    <col min="166" max="166" width="22.109375" style="6" bestFit="1" customWidth="1"/>
    <col min="167" max="167" width="16.109375" style="6" bestFit="1" customWidth="1"/>
    <col min="168" max="168" width="32.21875" style="6" bestFit="1" customWidth="1"/>
    <col min="169" max="169" width="27.33203125" style="6" bestFit="1" customWidth="1"/>
    <col min="170" max="170" width="13.77734375" style="6" bestFit="1" customWidth="1"/>
    <col min="171" max="171" width="26.77734375" style="6" bestFit="1" customWidth="1"/>
    <col min="172" max="172" width="26.6640625" style="6" bestFit="1" customWidth="1"/>
    <col min="173" max="174" width="19" style="6" bestFit="1" customWidth="1"/>
    <col min="175" max="175" width="14" style="6" bestFit="1" customWidth="1"/>
    <col min="176" max="176" width="24" style="6" bestFit="1" customWidth="1"/>
    <col min="177" max="177" width="4.33203125" style="6" bestFit="1" customWidth="1"/>
    <col min="178" max="178" width="29" style="6" bestFit="1" customWidth="1"/>
    <col min="179" max="179" width="24.109375" style="6" bestFit="1" customWidth="1"/>
    <col min="180" max="180" width="31" style="6" bestFit="1" customWidth="1"/>
    <col min="181" max="181" width="18" style="6" bestFit="1" customWidth="1"/>
    <col min="182" max="182" width="39" style="6" bestFit="1" customWidth="1"/>
    <col min="183" max="183" width="22.6640625" style="6" bestFit="1" customWidth="1"/>
    <col min="184" max="184" width="24.6640625" style="6" bestFit="1" customWidth="1"/>
    <col min="185" max="185" width="30.6640625" style="6" bestFit="1" customWidth="1"/>
    <col min="186" max="186" width="17.77734375" style="6" bestFit="1" customWidth="1"/>
    <col min="187" max="187" width="12.109375" style="6" bestFit="1" customWidth="1"/>
    <col min="188" max="188" width="10.6640625" style="6" bestFit="1" customWidth="1"/>
    <col min="189" max="189" width="13.33203125" style="6" bestFit="1" customWidth="1"/>
    <col min="190" max="190" width="22.77734375" style="6" bestFit="1" customWidth="1"/>
    <col min="191" max="191" width="6.109375" style="6" bestFit="1" customWidth="1"/>
    <col min="192" max="192" width="10.44140625" style="6" bestFit="1" customWidth="1"/>
    <col min="193" max="193" width="7.21875" style="6" bestFit="1" customWidth="1"/>
    <col min="194" max="194" width="21.77734375" style="6" bestFit="1" customWidth="1"/>
    <col min="195" max="195" width="26.33203125" style="6" bestFit="1" customWidth="1"/>
    <col min="196" max="196" width="4.6640625" style="6" bestFit="1" customWidth="1"/>
    <col min="197" max="197" width="9.109375" style="6" bestFit="1" customWidth="1"/>
    <col min="198" max="198" width="12.44140625" style="6" bestFit="1" customWidth="1"/>
    <col min="199" max="199" width="22.109375" style="6" bestFit="1" customWidth="1"/>
    <col min="200" max="200" width="16.77734375" style="6" bestFit="1" customWidth="1"/>
    <col min="201" max="201" width="10.21875" style="6" bestFit="1" customWidth="1"/>
    <col min="202" max="202" width="16.33203125" style="6" bestFit="1" customWidth="1"/>
    <col min="203" max="203" width="7.109375" style="6" bestFit="1" customWidth="1"/>
    <col min="204" max="204" width="17.21875" style="6" bestFit="1" customWidth="1"/>
    <col min="205" max="205" width="16.33203125" style="6" bestFit="1" customWidth="1"/>
    <col min="206" max="206" width="15.6640625" style="6" bestFit="1" customWidth="1"/>
    <col min="207" max="207" width="10.5546875" style="6" bestFit="1" customWidth="1"/>
    <col min="208" max="208" width="18.44140625" style="6" bestFit="1" customWidth="1"/>
    <col min="209" max="209" width="7.6640625" style="6" bestFit="1" customWidth="1"/>
    <col min="210" max="210" width="12.6640625" style="6" bestFit="1" customWidth="1"/>
    <col min="211" max="211" width="18.21875" style="6" bestFit="1" customWidth="1"/>
    <col min="212" max="212" width="22.33203125" style="6" bestFit="1" customWidth="1"/>
    <col min="213" max="213" width="25.109375" style="6" bestFit="1" customWidth="1"/>
    <col min="214" max="214" width="20.109375" style="6" bestFit="1" customWidth="1"/>
    <col min="215" max="215" width="26.77734375" style="6" bestFit="1" customWidth="1"/>
    <col min="216" max="216" width="17.21875" style="6" bestFit="1" customWidth="1"/>
    <col min="217" max="217" width="22.77734375" style="6" bestFit="1" customWidth="1"/>
    <col min="218" max="218" width="27.33203125" style="6" bestFit="1" customWidth="1"/>
    <col min="219" max="219" width="13" style="6" bestFit="1" customWidth="1"/>
    <col min="220" max="220" width="18.77734375" style="6" bestFit="1" customWidth="1"/>
    <col min="221" max="221" width="16.6640625" style="6" bestFit="1" customWidth="1"/>
    <col min="222" max="222" width="13.44140625" style="6" bestFit="1" customWidth="1"/>
    <col min="223" max="223" width="65.109375" style="6" bestFit="1" customWidth="1"/>
    <col min="224" max="224" width="19.5546875" style="6" bestFit="1" customWidth="1"/>
    <col min="225" max="225" width="27.6640625" style="6" bestFit="1" customWidth="1"/>
    <col min="226" max="226" width="16.21875" style="6" bestFit="1" customWidth="1"/>
    <col min="227" max="227" width="28.44140625" style="6" bestFit="1" customWidth="1"/>
    <col min="228" max="228" width="6.88671875" style="6" bestFit="1" customWidth="1"/>
    <col min="229" max="229" width="14.44140625" style="6" bestFit="1" customWidth="1"/>
    <col min="230" max="230" width="19.6640625" style="6" bestFit="1" customWidth="1"/>
    <col min="231" max="231" width="18.33203125" style="6" bestFit="1" customWidth="1"/>
    <col min="232" max="232" width="12.33203125" style="6" bestFit="1" customWidth="1"/>
    <col min="233" max="233" width="19.44140625" style="6" bestFit="1" customWidth="1"/>
    <col min="234" max="234" width="35" style="6" bestFit="1" customWidth="1"/>
    <col min="235" max="235" width="15" style="6" bestFit="1" customWidth="1"/>
    <col min="236" max="236" width="17.44140625" style="6" bestFit="1" customWidth="1"/>
    <col min="237" max="237" width="12.33203125" style="6" bestFit="1" customWidth="1"/>
    <col min="238" max="244" width="13.44140625" style="6" bestFit="1" customWidth="1"/>
    <col min="245" max="16384" width="11.5546875" style="6"/>
  </cols>
  <sheetData>
    <row r="1" spans="1:11" ht="23.4" x14ac:dyDescent="0.45">
      <c r="A1" s="75" t="s">
        <v>0</v>
      </c>
      <c r="B1" s="75"/>
      <c r="C1" s="75"/>
      <c r="D1" s="75"/>
      <c r="E1" s="75"/>
      <c r="F1" s="75"/>
      <c r="G1" s="75"/>
    </row>
    <row r="2" spans="1:11" ht="15" thickBot="1" x14ac:dyDescent="0.35"/>
    <row r="3" spans="1:11" ht="24" thickBot="1" x14ac:dyDescent="0.5">
      <c r="A3" s="79" t="s">
        <v>3276</v>
      </c>
      <c r="B3" s="80"/>
      <c r="C3" s="80"/>
      <c r="D3" s="80"/>
      <c r="E3" s="80"/>
      <c r="F3" s="81"/>
    </row>
    <row r="4" spans="1:11" ht="15.6" x14ac:dyDescent="0.3">
      <c r="A4" s="11" t="s">
        <v>1</v>
      </c>
      <c r="B4" s="11" t="s">
        <v>2</v>
      </c>
      <c r="C4" s="11" t="s">
        <v>3</v>
      </c>
      <c r="D4" s="11" t="s">
        <v>4</v>
      </c>
      <c r="E4" s="11" t="s">
        <v>5</v>
      </c>
      <c r="F4" s="12" t="s">
        <v>3274</v>
      </c>
      <c r="G4" s="8"/>
      <c r="H4" s="8"/>
      <c r="I4" s="8"/>
      <c r="J4" s="8"/>
      <c r="K4" s="8"/>
    </row>
    <row r="5" spans="1:11" ht="15.6" x14ac:dyDescent="0.3">
      <c r="A5" s="15"/>
      <c r="B5" s="15"/>
      <c r="C5" s="15"/>
      <c r="D5" s="15"/>
      <c r="E5" s="15"/>
      <c r="F5" s="15"/>
    </row>
    <row r="6" spans="1:11" ht="15" thickBot="1" x14ac:dyDescent="0.35"/>
    <row r="7" spans="1:11" ht="24" thickBot="1" x14ac:dyDescent="0.35">
      <c r="A7" s="94" t="s">
        <v>3273</v>
      </c>
      <c r="B7" s="95"/>
      <c r="C7" s="95"/>
      <c r="D7" s="95"/>
      <c r="E7" s="95"/>
      <c r="F7" s="96"/>
    </row>
    <row r="8" spans="1:11" x14ac:dyDescent="0.3">
      <c r="A8" s="9" t="s">
        <v>6</v>
      </c>
      <c r="B8" s="9" t="s">
        <v>7</v>
      </c>
      <c r="C8" s="9" t="s">
        <v>8</v>
      </c>
      <c r="D8" s="9" t="s">
        <v>9</v>
      </c>
      <c r="E8" s="9" t="s">
        <v>10</v>
      </c>
      <c r="F8" s="9" t="s">
        <v>11</v>
      </c>
    </row>
    <row r="9" spans="1:11" x14ac:dyDescent="0.3">
      <c r="A9" s="16"/>
      <c r="B9" s="17"/>
      <c r="C9" s="16"/>
      <c r="D9" s="16"/>
      <c r="E9" s="17"/>
      <c r="F9" s="18"/>
    </row>
    <row r="10" spans="1:11" ht="15" thickBot="1" x14ac:dyDescent="0.35">
      <c r="B10" s="14"/>
    </row>
    <row r="11" spans="1:11" ht="24" thickBot="1" x14ac:dyDescent="0.35">
      <c r="A11" s="97" t="s">
        <v>258</v>
      </c>
      <c r="B11" s="98"/>
      <c r="C11" s="98"/>
      <c r="D11" s="98"/>
      <c r="E11" s="98"/>
      <c r="F11" s="99"/>
    </row>
    <row r="12" spans="1:11" x14ac:dyDescent="0.3">
      <c r="A12" s="10" t="s">
        <v>12</v>
      </c>
      <c r="B12" s="10" t="s">
        <v>13</v>
      </c>
      <c r="C12" s="10" t="s">
        <v>14</v>
      </c>
      <c r="D12" s="10" t="s">
        <v>15</v>
      </c>
      <c r="E12" s="10" t="s">
        <v>16</v>
      </c>
      <c r="F12" s="10" t="s">
        <v>17</v>
      </c>
    </row>
    <row r="13" spans="1:11" x14ac:dyDescent="0.3">
      <c r="A13" s="16"/>
      <c r="B13" s="16"/>
      <c r="C13" s="17"/>
      <c r="D13" s="16"/>
      <c r="E13" s="16"/>
      <c r="F13" s="16"/>
    </row>
    <row r="14" spans="1:11" ht="15" thickBot="1" x14ac:dyDescent="0.35"/>
    <row r="15" spans="1:11" ht="24" thickBot="1" x14ac:dyDescent="0.5">
      <c r="A15" s="100" t="s">
        <v>259</v>
      </c>
      <c r="B15" s="101"/>
      <c r="C15" s="101"/>
      <c r="D15" s="101"/>
      <c r="E15" s="101"/>
      <c r="F15" s="102"/>
    </row>
    <row r="16" spans="1:11" x14ac:dyDescent="0.3">
      <c r="A16" s="10" t="s">
        <v>18</v>
      </c>
      <c r="B16" s="10" t="s">
        <v>19</v>
      </c>
      <c r="C16" s="10" t="s">
        <v>20</v>
      </c>
      <c r="D16" s="10" t="s">
        <v>21</v>
      </c>
      <c r="E16" s="10" t="s">
        <v>22</v>
      </c>
      <c r="F16" s="10" t="s">
        <v>23</v>
      </c>
    </row>
    <row r="17" spans="1:6" x14ac:dyDescent="0.3">
      <c r="A17" s="16"/>
      <c r="B17" s="16"/>
      <c r="C17" s="17"/>
      <c r="D17" s="16"/>
      <c r="E17" s="16"/>
      <c r="F17" s="16"/>
    </row>
    <row r="18" spans="1:6" ht="15" thickBot="1" x14ac:dyDescent="0.35"/>
    <row r="19" spans="1:6" ht="24" thickBot="1" x14ac:dyDescent="0.35">
      <c r="A19" s="103" t="s">
        <v>260</v>
      </c>
      <c r="B19" s="104"/>
      <c r="C19" s="104"/>
      <c r="D19" s="104"/>
      <c r="E19" s="105"/>
    </row>
    <row r="20" spans="1:6" x14ac:dyDescent="0.3">
      <c r="A20" s="7" t="s">
        <v>24</v>
      </c>
      <c r="B20" s="7" t="s">
        <v>25</v>
      </c>
      <c r="C20" s="7" t="s">
        <v>26</v>
      </c>
      <c r="D20" s="7" t="s">
        <v>27</v>
      </c>
      <c r="E20" s="7" t="s">
        <v>28</v>
      </c>
    </row>
    <row r="21" spans="1:6" x14ac:dyDescent="0.3">
      <c r="A21" s="16"/>
      <c r="B21" s="16"/>
      <c r="C21" s="17"/>
      <c r="D21" s="16"/>
      <c r="E21" s="16"/>
    </row>
    <row r="22" spans="1:6" ht="15" thickBot="1" x14ac:dyDescent="0.35"/>
    <row r="23" spans="1:6" ht="24" thickBot="1" x14ac:dyDescent="0.5">
      <c r="A23" s="106" t="s">
        <v>261</v>
      </c>
      <c r="B23" s="107"/>
      <c r="C23" s="107"/>
      <c r="D23" s="107"/>
      <c r="E23" s="108"/>
    </row>
    <row r="24" spans="1:6" x14ac:dyDescent="0.3">
      <c r="A24" s="10" t="s">
        <v>29</v>
      </c>
      <c r="B24" s="10" t="s">
        <v>30</v>
      </c>
      <c r="C24" s="10" t="s">
        <v>31</v>
      </c>
      <c r="D24" s="10" t="s">
        <v>32</v>
      </c>
      <c r="E24" s="10" t="s">
        <v>33</v>
      </c>
    </row>
    <row r="25" spans="1:6" x14ac:dyDescent="0.3">
      <c r="A25" s="16"/>
      <c r="B25" s="16"/>
      <c r="C25" s="17"/>
      <c r="D25" s="16"/>
      <c r="E25" s="16"/>
    </row>
    <row r="26" spans="1:6" ht="15" thickBot="1" x14ac:dyDescent="0.35"/>
    <row r="27" spans="1:6" ht="24" thickBot="1" x14ac:dyDescent="0.5">
      <c r="A27" s="82" t="s">
        <v>262</v>
      </c>
      <c r="B27" s="83"/>
      <c r="C27" s="83"/>
      <c r="D27" s="83"/>
      <c r="E27" s="84"/>
    </row>
    <row r="28" spans="1:6" x14ac:dyDescent="0.3">
      <c r="A28" s="9" t="s">
        <v>34</v>
      </c>
      <c r="B28" s="9" t="s">
        <v>35</v>
      </c>
      <c r="C28" s="9" t="s">
        <v>36</v>
      </c>
      <c r="D28" s="9" t="s">
        <v>37</v>
      </c>
      <c r="E28" s="9" t="s">
        <v>38</v>
      </c>
    </row>
    <row r="29" spans="1:6" x14ac:dyDescent="0.3">
      <c r="A29" s="16"/>
      <c r="B29" s="16"/>
      <c r="C29" s="17"/>
      <c r="D29" s="16"/>
      <c r="E29" s="16"/>
    </row>
    <row r="30" spans="1:6" ht="15" thickBot="1" x14ac:dyDescent="0.35"/>
    <row r="31" spans="1:6" ht="24" thickBot="1" x14ac:dyDescent="0.5">
      <c r="A31" s="85" t="s">
        <v>263</v>
      </c>
      <c r="B31" s="86"/>
      <c r="C31" s="86"/>
      <c r="D31" s="86"/>
      <c r="E31" s="87"/>
    </row>
    <row r="32" spans="1:6" x14ac:dyDescent="0.3">
      <c r="A32" s="9" t="s">
        <v>39</v>
      </c>
      <c r="B32" s="9" t="s">
        <v>40</v>
      </c>
      <c r="C32" s="9" t="s">
        <v>41</v>
      </c>
      <c r="D32" s="9" t="s">
        <v>42</v>
      </c>
      <c r="E32" s="9" t="s">
        <v>43</v>
      </c>
    </row>
    <row r="33" spans="1:43" x14ac:dyDescent="0.3">
      <c r="A33" s="16"/>
      <c r="B33" s="16"/>
      <c r="C33" s="17"/>
      <c r="D33" s="16"/>
      <c r="E33" s="16"/>
    </row>
    <row r="34" spans="1:43" ht="15" thickBot="1" x14ac:dyDescent="0.35"/>
    <row r="35" spans="1:43" ht="24" thickBot="1" x14ac:dyDescent="0.5">
      <c r="A35" s="88" t="s">
        <v>264</v>
      </c>
      <c r="B35" s="89"/>
      <c r="C35" s="89"/>
      <c r="D35" s="89"/>
      <c r="E35" s="90"/>
    </row>
    <row r="36" spans="1:43" x14ac:dyDescent="0.3">
      <c r="A36" s="9" t="s">
        <v>44</v>
      </c>
      <c r="B36" s="9" t="s">
        <v>45</v>
      </c>
      <c r="C36" s="9" t="s">
        <v>46</v>
      </c>
      <c r="D36" s="9" t="s">
        <v>47</v>
      </c>
      <c r="E36" s="9" t="s">
        <v>48</v>
      </c>
    </row>
    <row r="37" spans="1:43" x14ac:dyDescent="0.3">
      <c r="A37" s="16"/>
      <c r="B37" s="16"/>
      <c r="C37" s="17"/>
      <c r="D37" s="16"/>
      <c r="E37" s="16"/>
    </row>
    <row r="38" spans="1:43" ht="15" thickBot="1" x14ac:dyDescent="0.35"/>
    <row r="39" spans="1:43" ht="24" thickBot="1" x14ac:dyDescent="0.5">
      <c r="A39" s="91" t="s">
        <v>245</v>
      </c>
      <c r="B39" s="92"/>
      <c r="C39" s="92"/>
      <c r="D39" s="93"/>
    </row>
    <row r="40" spans="1:43" x14ac:dyDescent="0.3">
      <c r="A40" s="9" t="s">
        <v>49</v>
      </c>
      <c r="B40" s="9" t="s">
        <v>50</v>
      </c>
      <c r="C40" s="9" t="s">
        <v>51</v>
      </c>
      <c r="D40" s="9" t="s">
        <v>52</v>
      </c>
    </row>
    <row r="41" spans="1:43" x14ac:dyDescent="0.3">
      <c r="A41" s="16"/>
      <c r="B41" s="17"/>
      <c r="C41" s="16"/>
      <c r="D41" s="17"/>
    </row>
    <row r="42" spans="1:43" ht="15" thickBot="1" x14ac:dyDescent="0.35"/>
    <row r="43" spans="1:43" ht="24" thickBot="1" x14ac:dyDescent="0.5">
      <c r="A43" s="38" t="s">
        <v>246</v>
      </c>
      <c r="B43" s="39"/>
      <c r="C43" s="39"/>
      <c r="D43" s="39"/>
      <c r="E43" s="39"/>
      <c r="F43" s="40"/>
      <c r="G43" s="38" t="s">
        <v>246</v>
      </c>
      <c r="H43" s="39"/>
      <c r="I43" s="39"/>
      <c r="J43" s="39"/>
      <c r="K43" s="39"/>
      <c r="L43" s="40"/>
      <c r="M43" s="38" t="s">
        <v>246</v>
      </c>
      <c r="N43" s="39"/>
      <c r="O43" s="39"/>
      <c r="P43" s="39"/>
      <c r="Q43" s="39"/>
      <c r="R43" s="40"/>
      <c r="S43" s="38" t="s">
        <v>246</v>
      </c>
      <c r="T43" s="39"/>
      <c r="U43" s="39"/>
      <c r="V43" s="39"/>
      <c r="W43" s="39"/>
      <c r="X43" s="40"/>
      <c r="Y43" s="38" t="s">
        <v>246</v>
      </c>
      <c r="Z43" s="39"/>
      <c r="AA43" s="39"/>
      <c r="AB43" s="39"/>
      <c r="AC43" s="39"/>
      <c r="AD43" s="40"/>
      <c r="AE43" s="38" t="s">
        <v>246</v>
      </c>
      <c r="AF43" s="39"/>
      <c r="AG43" s="39"/>
      <c r="AH43" s="39"/>
      <c r="AI43" s="39"/>
      <c r="AJ43" s="40"/>
      <c r="AK43" s="73" t="s">
        <v>246</v>
      </c>
      <c r="AL43" s="74"/>
      <c r="AM43" s="74"/>
      <c r="AN43" s="74"/>
      <c r="AO43" s="74"/>
      <c r="AP43" s="74"/>
      <c r="AQ43" s="74"/>
    </row>
    <row r="44" spans="1:43" ht="28.8" x14ac:dyDescent="0.3">
      <c r="A44" s="9" t="s">
        <v>53</v>
      </c>
      <c r="B44" s="9" t="s">
        <v>54</v>
      </c>
      <c r="C44" s="9" t="s">
        <v>55</v>
      </c>
      <c r="D44" s="9" t="s">
        <v>56</v>
      </c>
      <c r="E44" s="9" t="s">
        <v>57</v>
      </c>
      <c r="F44" s="9" t="s">
        <v>58</v>
      </c>
      <c r="G44" s="5" t="s">
        <v>59</v>
      </c>
      <c r="H44" s="5" t="s">
        <v>60</v>
      </c>
      <c r="I44" s="5" t="s">
        <v>61</v>
      </c>
      <c r="J44" s="5" t="s">
        <v>62</v>
      </c>
      <c r="K44" s="5" t="s">
        <v>63</v>
      </c>
      <c r="L44" s="5" t="s">
        <v>64</v>
      </c>
      <c r="M44" s="5" t="s">
        <v>65</v>
      </c>
      <c r="N44" s="5" t="s">
        <v>66</v>
      </c>
      <c r="O44" s="5" t="s">
        <v>67</v>
      </c>
      <c r="P44" s="5" t="s">
        <v>68</v>
      </c>
      <c r="Q44" s="5" t="s">
        <v>69</v>
      </c>
      <c r="R44" s="5" t="s">
        <v>70</v>
      </c>
      <c r="S44" s="5" t="s">
        <v>71</v>
      </c>
      <c r="T44" s="5" t="s">
        <v>72</v>
      </c>
      <c r="U44" s="5" t="s">
        <v>73</v>
      </c>
      <c r="V44" s="5" t="s">
        <v>74</v>
      </c>
      <c r="W44" s="5" t="s">
        <v>75</v>
      </c>
      <c r="X44" s="5" t="s">
        <v>76</v>
      </c>
      <c r="Y44" s="5" t="s">
        <v>77</v>
      </c>
      <c r="Z44" s="5" t="s">
        <v>78</v>
      </c>
      <c r="AA44" s="5" t="s">
        <v>79</v>
      </c>
      <c r="AB44" s="5" t="s">
        <v>80</v>
      </c>
      <c r="AC44" s="5" t="s">
        <v>81</v>
      </c>
      <c r="AD44" s="5" t="s">
        <v>82</v>
      </c>
      <c r="AE44" s="5" t="s">
        <v>83</v>
      </c>
      <c r="AF44" s="5" t="s">
        <v>84</v>
      </c>
      <c r="AG44" s="5" t="s">
        <v>85</v>
      </c>
      <c r="AH44" s="5" t="s">
        <v>86</v>
      </c>
      <c r="AI44" s="5" t="s">
        <v>87</v>
      </c>
      <c r="AJ44" s="5" t="s">
        <v>88</v>
      </c>
      <c r="AK44" s="5" t="s">
        <v>89</v>
      </c>
      <c r="AL44" s="5" t="s">
        <v>90</v>
      </c>
      <c r="AM44" s="5" t="s">
        <v>91</v>
      </c>
      <c r="AN44" s="5" t="s">
        <v>92</v>
      </c>
      <c r="AO44" s="5" t="s">
        <v>93</v>
      </c>
      <c r="AP44" s="5" t="s">
        <v>94</v>
      </c>
      <c r="AQ44" s="5" t="s">
        <v>95</v>
      </c>
    </row>
    <row r="45" spans="1:43" x14ac:dyDescent="0.3">
      <c r="A45" s="16"/>
      <c r="B45" s="16"/>
      <c r="C45" s="16"/>
      <c r="D45" s="17"/>
      <c r="E45" s="19"/>
      <c r="F45" s="19"/>
      <c r="G45" s="16"/>
      <c r="H45" s="16"/>
      <c r="I45" s="18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</row>
    <row r="46" spans="1:43" ht="15" thickBot="1" x14ac:dyDescent="0.35"/>
    <row r="47" spans="1:43" ht="24" thickBot="1" x14ac:dyDescent="0.5">
      <c r="A47" s="76" t="s">
        <v>247</v>
      </c>
      <c r="B47" s="77"/>
      <c r="C47" s="77"/>
      <c r="D47" s="77"/>
      <c r="E47" s="77"/>
      <c r="F47" s="78"/>
      <c r="G47" s="76" t="s">
        <v>247</v>
      </c>
      <c r="H47" s="77"/>
      <c r="I47" s="77"/>
      <c r="J47" s="77"/>
      <c r="K47" s="77"/>
      <c r="L47" s="78"/>
      <c r="M47" s="76" t="s">
        <v>247</v>
      </c>
      <c r="N47" s="77"/>
      <c r="O47" s="77"/>
      <c r="P47" s="77"/>
      <c r="Q47" s="77"/>
      <c r="R47" s="78"/>
      <c r="S47" s="76" t="s">
        <v>247</v>
      </c>
      <c r="T47" s="77"/>
      <c r="U47" s="77"/>
      <c r="V47" s="77"/>
      <c r="W47" s="77"/>
      <c r="X47" s="78"/>
      <c r="Y47" s="76" t="s">
        <v>247</v>
      </c>
      <c r="Z47" s="77"/>
      <c r="AA47" s="77"/>
      <c r="AB47" s="77"/>
      <c r="AC47" s="77"/>
      <c r="AD47" s="78"/>
    </row>
    <row r="48" spans="1:43" ht="28.8" x14ac:dyDescent="0.3">
      <c r="A48" s="9" t="s">
        <v>96</v>
      </c>
      <c r="B48" s="9" t="s">
        <v>97</v>
      </c>
      <c r="C48" s="9" t="s">
        <v>98</v>
      </c>
      <c r="D48" s="9" t="s">
        <v>99</v>
      </c>
      <c r="E48" s="9" t="s">
        <v>100</v>
      </c>
      <c r="F48" s="9" t="s">
        <v>101</v>
      </c>
      <c r="G48" s="5" t="s">
        <v>102</v>
      </c>
      <c r="H48" s="5" t="s">
        <v>103</v>
      </c>
      <c r="I48" s="5" t="s">
        <v>104</v>
      </c>
      <c r="J48" s="5" t="s">
        <v>105</v>
      </c>
      <c r="K48" s="5" t="s">
        <v>106</v>
      </c>
      <c r="L48" s="5" t="s">
        <v>107</v>
      </c>
      <c r="M48" s="5" t="s">
        <v>108</v>
      </c>
      <c r="N48" s="5" t="s">
        <v>109</v>
      </c>
      <c r="O48" s="5" t="s">
        <v>110</v>
      </c>
      <c r="P48" s="5" t="s">
        <v>111</v>
      </c>
      <c r="Q48" s="5" t="s">
        <v>112</v>
      </c>
      <c r="R48" s="5" t="s">
        <v>113</v>
      </c>
      <c r="S48" s="5" t="s">
        <v>114</v>
      </c>
      <c r="T48" s="5" t="s">
        <v>115</v>
      </c>
      <c r="U48" s="5" t="s">
        <v>116</v>
      </c>
      <c r="V48" s="5" t="s">
        <v>117</v>
      </c>
      <c r="W48" s="5" t="s">
        <v>118</v>
      </c>
      <c r="X48" s="5" t="s">
        <v>119</v>
      </c>
      <c r="Y48" s="5" t="s">
        <v>120</v>
      </c>
      <c r="Z48" s="5" t="s">
        <v>121</v>
      </c>
      <c r="AA48" s="5" t="s">
        <v>122</v>
      </c>
      <c r="AB48" s="5" t="s">
        <v>123</v>
      </c>
      <c r="AC48" s="5" t="s">
        <v>124</v>
      </c>
      <c r="AD48" s="5" t="s">
        <v>125</v>
      </c>
    </row>
    <row r="49" spans="1:30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</row>
    <row r="50" spans="1:30" ht="15" thickBot="1" x14ac:dyDescent="0.35"/>
    <row r="51" spans="1:30" ht="24" thickBot="1" x14ac:dyDescent="0.5">
      <c r="A51" s="52" t="s">
        <v>248</v>
      </c>
      <c r="B51" s="53"/>
      <c r="C51" s="54"/>
    </row>
    <row r="52" spans="1:30" x14ac:dyDescent="0.3">
      <c r="A52" s="9" t="s">
        <v>126</v>
      </c>
      <c r="B52" s="9" t="s">
        <v>127</v>
      </c>
      <c r="C52" s="9" t="s">
        <v>128</v>
      </c>
    </row>
    <row r="53" spans="1:30" x14ac:dyDescent="0.3">
      <c r="A53" s="16"/>
      <c r="B53" s="16"/>
      <c r="C53" s="16"/>
    </row>
    <row r="54" spans="1:30" ht="15" thickBot="1" x14ac:dyDescent="0.35"/>
    <row r="55" spans="1:30" ht="24" thickBot="1" x14ac:dyDescent="0.5">
      <c r="A55" s="55" t="s">
        <v>249</v>
      </c>
      <c r="B55" s="56"/>
      <c r="C55" s="56"/>
      <c r="D55" s="56"/>
      <c r="E55" s="56"/>
      <c r="F55" s="57"/>
      <c r="G55" s="55" t="s">
        <v>249</v>
      </c>
      <c r="H55" s="56"/>
      <c r="I55" s="56"/>
      <c r="J55" s="56"/>
      <c r="K55" s="56"/>
      <c r="L55" s="57"/>
    </row>
    <row r="56" spans="1:30" ht="28.8" x14ac:dyDescent="0.3">
      <c r="A56" s="9" t="s">
        <v>129</v>
      </c>
      <c r="B56" s="9" t="s">
        <v>130</v>
      </c>
      <c r="C56" s="9" t="s">
        <v>131</v>
      </c>
      <c r="D56" s="9" t="s">
        <v>132</v>
      </c>
      <c r="E56" s="9" t="s">
        <v>133</v>
      </c>
      <c r="F56" s="9" t="s">
        <v>134</v>
      </c>
      <c r="G56" s="5" t="s">
        <v>135</v>
      </c>
      <c r="H56" s="5" t="s">
        <v>136</v>
      </c>
      <c r="I56" s="5" t="s">
        <v>137</v>
      </c>
      <c r="J56" s="5" t="s">
        <v>138</v>
      </c>
      <c r="K56" s="5" t="s">
        <v>139</v>
      </c>
      <c r="L56" s="5" t="s">
        <v>140</v>
      </c>
    </row>
    <row r="57" spans="1:30" x14ac:dyDescent="0.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 t="s">
        <v>313</v>
      </c>
      <c r="L57" s="16" t="s">
        <v>314</v>
      </c>
    </row>
    <row r="58" spans="1:30" ht="15" thickBot="1" x14ac:dyDescent="0.35"/>
    <row r="59" spans="1:30" ht="24" thickBot="1" x14ac:dyDescent="0.5">
      <c r="A59" s="58" t="s">
        <v>250</v>
      </c>
      <c r="B59" s="59"/>
      <c r="C59" s="59"/>
      <c r="D59" s="59"/>
      <c r="E59" s="60"/>
    </row>
    <row r="60" spans="1:30" x14ac:dyDescent="0.3">
      <c r="A60" s="9" t="s">
        <v>141</v>
      </c>
      <c r="B60" s="9" t="s">
        <v>142</v>
      </c>
      <c r="C60" s="9" t="s">
        <v>143</v>
      </c>
      <c r="D60" s="9" t="s">
        <v>144</v>
      </c>
      <c r="E60" s="9" t="s">
        <v>145</v>
      </c>
    </row>
    <row r="61" spans="1:30" x14ac:dyDescent="0.3">
      <c r="A61" s="16"/>
      <c r="B61" s="21"/>
      <c r="C61" s="16"/>
      <c r="D61" s="16"/>
      <c r="E61" s="16"/>
    </row>
    <row r="62" spans="1:30" ht="15" thickBot="1" x14ac:dyDescent="0.35"/>
    <row r="63" spans="1:30" ht="24" thickBot="1" x14ac:dyDescent="0.5">
      <c r="A63" s="61" t="s">
        <v>251</v>
      </c>
      <c r="B63" s="62"/>
      <c r="C63" s="62"/>
      <c r="D63" s="62"/>
      <c r="E63" s="62"/>
      <c r="F63" s="63"/>
      <c r="G63" s="70" t="s">
        <v>251</v>
      </c>
      <c r="H63" s="71"/>
      <c r="I63" s="72"/>
      <c r="J63"/>
      <c r="K63"/>
      <c r="L63"/>
    </row>
    <row r="64" spans="1:30" ht="28.8" x14ac:dyDescent="0.3">
      <c r="A64" s="9" t="s">
        <v>146</v>
      </c>
      <c r="B64" s="9" t="s">
        <v>147</v>
      </c>
      <c r="C64" s="9" t="s">
        <v>148</v>
      </c>
      <c r="D64" s="9" t="s">
        <v>149</v>
      </c>
      <c r="E64" s="9" t="s">
        <v>150</v>
      </c>
      <c r="F64" s="9" t="s">
        <v>151</v>
      </c>
      <c r="G64" s="5" t="s">
        <v>152</v>
      </c>
      <c r="H64" s="5" t="s">
        <v>153</v>
      </c>
      <c r="I64" s="5" t="s">
        <v>154</v>
      </c>
    </row>
    <row r="65" spans="1:37" x14ac:dyDescent="0.3">
      <c r="A65" s="22"/>
      <c r="B65" s="16"/>
      <c r="C65" s="22"/>
      <c r="D65" s="16"/>
      <c r="E65" s="16"/>
      <c r="F65" s="22"/>
      <c r="G65" s="16"/>
      <c r="H65" s="16"/>
      <c r="I65" s="16"/>
    </row>
    <row r="66" spans="1:37" ht="15" thickBot="1" x14ac:dyDescent="0.35"/>
    <row r="67" spans="1:37" ht="24" thickBot="1" x14ac:dyDescent="0.5">
      <c r="A67" s="64" t="s">
        <v>252</v>
      </c>
      <c r="B67" s="65"/>
      <c r="C67" s="65"/>
      <c r="D67" s="65"/>
      <c r="E67" s="65"/>
      <c r="F67" s="66"/>
      <c r="G67" s="64" t="s">
        <v>252</v>
      </c>
      <c r="H67" s="65"/>
      <c r="I67" s="65"/>
      <c r="J67" s="65"/>
      <c r="K67" s="65"/>
      <c r="L67" s="66"/>
      <c r="M67" s="64" t="s">
        <v>252</v>
      </c>
      <c r="N67" s="65"/>
      <c r="O67" s="65"/>
      <c r="P67" s="65"/>
      <c r="Q67" s="65"/>
      <c r="R67" s="66"/>
      <c r="S67" s="112" t="s">
        <v>252</v>
      </c>
      <c r="T67" s="113"/>
      <c r="U67" s="113"/>
      <c r="V67" s="113"/>
      <c r="W67" s="113"/>
      <c r="X67" s="113"/>
      <c r="Y67" s="114"/>
      <c r="Z67" s="64" t="s">
        <v>252</v>
      </c>
      <c r="AA67" s="65"/>
      <c r="AB67" s="65"/>
      <c r="AC67" s="65"/>
      <c r="AD67" s="65"/>
      <c r="AE67" s="66"/>
      <c r="AF67" s="112" t="s">
        <v>252</v>
      </c>
      <c r="AG67" s="113"/>
      <c r="AH67" s="114"/>
      <c r="AI67"/>
      <c r="AJ67"/>
      <c r="AK67"/>
    </row>
    <row r="68" spans="1:37" ht="28.8" x14ac:dyDescent="0.3">
      <c r="A68" s="9" t="s">
        <v>155</v>
      </c>
      <c r="B68" s="9" t="s">
        <v>156</v>
      </c>
      <c r="C68" s="9" t="s">
        <v>157</v>
      </c>
      <c r="D68" s="9" t="s">
        <v>158</v>
      </c>
      <c r="E68" s="9" t="s">
        <v>159</v>
      </c>
      <c r="F68" s="9" t="s">
        <v>160</v>
      </c>
      <c r="G68" s="5" t="s">
        <v>161</v>
      </c>
      <c r="H68" s="5" t="s">
        <v>162</v>
      </c>
      <c r="I68" s="5" t="s">
        <v>163</v>
      </c>
      <c r="J68" s="5" t="s">
        <v>164</v>
      </c>
      <c r="K68" s="5" t="s">
        <v>165</v>
      </c>
      <c r="L68" s="5" t="s">
        <v>166</v>
      </c>
      <c r="M68" s="5" t="s">
        <v>167</v>
      </c>
      <c r="N68" s="5" t="s">
        <v>168</v>
      </c>
      <c r="O68" s="5" t="s">
        <v>169</v>
      </c>
      <c r="P68" s="5" t="s">
        <v>170</v>
      </c>
      <c r="Q68" s="5" t="s">
        <v>171</v>
      </c>
      <c r="R68" s="5" t="s">
        <v>172</v>
      </c>
      <c r="S68" s="9" t="s">
        <v>173</v>
      </c>
      <c r="T68" s="9" t="s">
        <v>174</v>
      </c>
      <c r="U68" s="9" t="s">
        <v>175</v>
      </c>
      <c r="V68" s="9" t="s">
        <v>176</v>
      </c>
      <c r="W68" s="9" t="s">
        <v>177</v>
      </c>
      <c r="X68" s="9" t="s">
        <v>178</v>
      </c>
      <c r="Y68" s="9" t="s">
        <v>179</v>
      </c>
      <c r="Z68" s="5" t="s">
        <v>180</v>
      </c>
      <c r="AA68" s="5" t="s">
        <v>181</v>
      </c>
      <c r="AB68" s="5" t="s">
        <v>182</v>
      </c>
      <c r="AC68" s="5" t="s">
        <v>183</v>
      </c>
      <c r="AD68" s="5" t="s">
        <v>184</v>
      </c>
      <c r="AE68" s="5" t="s">
        <v>185</v>
      </c>
      <c r="AF68" s="5" t="s">
        <v>186</v>
      </c>
      <c r="AG68" s="5" t="s">
        <v>187</v>
      </c>
      <c r="AH68" s="5" t="s">
        <v>188</v>
      </c>
    </row>
    <row r="69" spans="1:37" x14ac:dyDescent="0.3">
      <c r="A69" s="16"/>
      <c r="B69" s="18"/>
      <c r="C69" s="16"/>
      <c r="D69" s="16"/>
      <c r="E69" s="16"/>
      <c r="F69" s="18"/>
      <c r="G69" s="16"/>
      <c r="H69" s="16" t="s">
        <v>319</v>
      </c>
      <c r="I69" s="16" t="s">
        <v>319</v>
      </c>
      <c r="J69" s="16" t="s">
        <v>319</v>
      </c>
      <c r="K69" s="16" t="s">
        <v>319</v>
      </c>
      <c r="L69" s="16" t="s">
        <v>320</v>
      </c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</row>
    <row r="70" spans="1:37" ht="15" thickBot="1" x14ac:dyDescent="0.35"/>
    <row r="71" spans="1:37" ht="24" thickBot="1" x14ac:dyDescent="0.5">
      <c r="A71" s="67" t="s">
        <v>253</v>
      </c>
      <c r="B71" s="68"/>
      <c r="C71" s="68"/>
      <c r="D71" s="68"/>
      <c r="E71" s="68"/>
      <c r="F71" s="69"/>
      <c r="G71" s="67" t="s">
        <v>253</v>
      </c>
      <c r="H71" s="68"/>
      <c r="I71" s="68"/>
      <c r="J71" s="68"/>
      <c r="K71" s="68"/>
      <c r="L71" s="69"/>
      <c r="M71" s="67" t="s">
        <v>253</v>
      </c>
      <c r="N71" s="68"/>
      <c r="O71" s="68"/>
      <c r="P71" s="68"/>
      <c r="Q71" s="68"/>
      <c r="R71" s="69"/>
      <c r="S71" s="67" t="s">
        <v>253</v>
      </c>
      <c r="T71" s="68"/>
      <c r="U71" s="68"/>
      <c r="V71" s="68"/>
      <c r="W71" s="68"/>
      <c r="X71" s="69"/>
      <c r="Y71" s="67" t="s">
        <v>253</v>
      </c>
      <c r="Z71" s="68"/>
      <c r="AA71" s="68"/>
      <c r="AB71" s="68"/>
      <c r="AC71" s="68"/>
      <c r="AD71" s="69"/>
      <c r="AE71" s="109" t="s">
        <v>253</v>
      </c>
      <c r="AF71" s="110"/>
      <c r="AG71" s="110"/>
      <c r="AH71" s="111"/>
      <c r="AI71"/>
      <c r="AJ71"/>
    </row>
    <row r="72" spans="1:37" ht="28.8" x14ac:dyDescent="0.3">
      <c r="A72" s="9" t="s">
        <v>189</v>
      </c>
      <c r="B72" s="9" t="s">
        <v>190</v>
      </c>
      <c r="C72" s="9" t="s">
        <v>191</v>
      </c>
      <c r="D72" s="9" t="s">
        <v>192</v>
      </c>
      <c r="E72" s="9" t="s">
        <v>193</v>
      </c>
      <c r="F72" s="9" t="s">
        <v>194</v>
      </c>
      <c r="G72" s="5" t="s">
        <v>195</v>
      </c>
      <c r="H72" s="5" t="s">
        <v>196</v>
      </c>
      <c r="I72" s="5" t="s">
        <v>197</v>
      </c>
      <c r="J72" s="5" t="s">
        <v>198</v>
      </c>
      <c r="K72" s="5" t="s">
        <v>199</v>
      </c>
      <c r="L72" s="5" t="s">
        <v>200</v>
      </c>
      <c r="M72" s="5" t="s">
        <v>201</v>
      </c>
      <c r="N72" s="5" t="s">
        <v>202</v>
      </c>
      <c r="O72" s="5" t="s">
        <v>203</v>
      </c>
      <c r="P72" s="5" t="s">
        <v>204</v>
      </c>
      <c r="Q72" s="5" t="s">
        <v>205</v>
      </c>
      <c r="R72" s="5" t="s">
        <v>206</v>
      </c>
      <c r="S72" s="5" t="s">
        <v>207</v>
      </c>
      <c r="T72" s="5" t="s">
        <v>208</v>
      </c>
      <c r="U72" s="5" t="s">
        <v>209</v>
      </c>
      <c r="V72" s="5" t="s">
        <v>210</v>
      </c>
      <c r="W72" s="5" t="s">
        <v>211</v>
      </c>
      <c r="X72" s="5" t="s">
        <v>212</v>
      </c>
      <c r="Y72" s="5" t="s">
        <v>213</v>
      </c>
      <c r="Z72" s="5" t="s">
        <v>214</v>
      </c>
      <c r="AA72" s="5" t="s">
        <v>215</v>
      </c>
      <c r="AB72" s="5" t="s">
        <v>216</v>
      </c>
      <c r="AC72" s="5" t="s">
        <v>217</v>
      </c>
      <c r="AD72" s="5" t="s">
        <v>218</v>
      </c>
      <c r="AE72" s="5" t="s">
        <v>219</v>
      </c>
      <c r="AF72" s="5" t="s">
        <v>220</v>
      </c>
      <c r="AG72" s="5" t="s">
        <v>221</v>
      </c>
      <c r="AH72" s="5" t="s">
        <v>222</v>
      </c>
    </row>
    <row r="73" spans="1:37" x14ac:dyDescent="0.3">
      <c r="A73" s="16"/>
      <c r="B73" s="16"/>
      <c r="C73" s="18"/>
      <c r="D73" s="18"/>
      <c r="E73" s="16"/>
      <c r="F73" s="16"/>
      <c r="G73" s="18"/>
      <c r="H73" s="16" t="s">
        <v>319</v>
      </c>
      <c r="I73" s="18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</row>
    <row r="74" spans="1:37" ht="15" thickBot="1" x14ac:dyDescent="0.35"/>
    <row r="75" spans="1:37" ht="24" thickBot="1" x14ac:dyDescent="0.5">
      <c r="A75" s="41" t="s">
        <v>254</v>
      </c>
      <c r="B75" s="42"/>
      <c r="C75" s="42"/>
      <c r="D75" s="42"/>
      <c r="E75" s="43"/>
    </row>
    <row r="76" spans="1:37" ht="28.8" x14ac:dyDescent="0.3">
      <c r="A76" s="9" t="s">
        <v>223</v>
      </c>
      <c r="B76" s="9" t="s">
        <v>224</v>
      </c>
      <c r="C76" s="9" t="s">
        <v>225</v>
      </c>
      <c r="D76" s="9" t="s">
        <v>226</v>
      </c>
      <c r="E76" s="9" t="s">
        <v>227</v>
      </c>
    </row>
    <row r="77" spans="1:37" x14ac:dyDescent="0.3">
      <c r="A77" s="16"/>
      <c r="B77" s="16"/>
      <c r="C77" s="16"/>
      <c r="D77" s="16"/>
      <c r="E77" s="16"/>
    </row>
    <row r="78" spans="1:37" ht="15" thickBot="1" x14ac:dyDescent="0.35"/>
    <row r="79" spans="1:37" ht="24" thickBot="1" x14ac:dyDescent="0.5">
      <c r="A79" s="49" t="s">
        <v>255</v>
      </c>
      <c r="B79" s="50"/>
      <c r="C79" s="50"/>
      <c r="D79" s="50"/>
      <c r="E79" s="50"/>
      <c r="F79" s="50"/>
      <c r="G79" s="50"/>
      <c r="H79" s="51"/>
    </row>
    <row r="80" spans="1:37" ht="28.8" x14ac:dyDescent="0.3">
      <c r="A80" s="9" t="s">
        <v>228</v>
      </c>
      <c r="B80" s="9" t="s">
        <v>229</v>
      </c>
      <c r="C80" s="9" t="s">
        <v>230</v>
      </c>
      <c r="D80" s="9" t="s">
        <v>231</v>
      </c>
      <c r="E80" s="9" t="s">
        <v>232</v>
      </c>
      <c r="F80" s="9" t="s">
        <v>233</v>
      </c>
      <c r="G80" s="9" t="s">
        <v>234</v>
      </c>
      <c r="H80" s="9" t="s">
        <v>235</v>
      </c>
    </row>
    <row r="81" spans="1:8" x14ac:dyDescent="0.3">
      <c r="A81" s="16"/>
      <c r="B81" s="16"/>
      <c r="C81" s="16"/>
      <c r="D81" s="16"/>
      <c r="E81" s="16"/>
      <c r="F81" s="16"/>
      <c r="G81" s="16"/>
      <c r="H81" s="16"/>
    </row>
    <row r="82" spans="1:8" ht="15" thickBot="1" x14ac:dyDescent="0.35"/>
    <row r="83" spans="1:8" ht="24" thickBot="1" x14ac:dyDescent="0.5">
      <c r="A83" s="44" t="s">
        <v>256</v>
      </c>
      <c r="B83" s="45"/>
    </row>
    <row r="84" spans="1:8" x14ac:dyDescent="0.3">
      <c r="A84" s="9" t="s">
        <v>236</v>
      </c>
      <c r="B84" s="9" t="s">
        <v>237</v>
      </c>
    </row>
    <row r="85" spans="1:8" x14ac:dyDescent="0.3">
      <c r="A85" s="16"/>
      <c r="B85" s="16"/>
    </row>
    <row r="86" spans="1:8" ht="15" thickBot="1" x14ac:dyDescent="0.35"/>
    <row r="87" spans="1:8" ht="24" thickBot="1" x14ac:dyDescent="0.5">
      <c r="A87" s="46" t="s">
        <v>257</v>
      </c>
      <c r="B87" s="47"/>
      <c r="C87" s="47"/>
      <c r="D87" s="47"/>
      <c r="E87" s="47"/>
      <c r="F87" s="47"/>
      <c r="G87" s="48"/>
    </row>
    <row r="88" spans="1:8" x14ac:dyDescent="0.3">
      <c r="A88" s="9" t="s">
        <v>238</v>
      </c>
      <c r="B88" s="9" t="s">
        <v>239</v>
      </c>
      <c r="C88" s="9" t="s">
        <v>240</v>
      </c>
      <c r="D88" s="9" t="s">
        <v>241</v>
      </c>
      <c r="E88" s="9" t="s">
        <v>242</v>
      </c>
      <c r="F88" s="9" t="s">
        <v>243</v>
      </c>
      <c r="G88" s="9" t="s">
        <v>244</v>
      </c>
    </row>
    <row r="89" spans="1:8" x14ac:dyDescent="0.3">
      <c r="A89" s="16"/>
      <c r="B89" s="16"/>
      <c r="C89" s="16"/>
      <c r="D89" s="16"/>
      <c r="E89" s="16"/>
      <c r="F89" s="16"/>
      <c r="G89" s="16"/>
    </row>
  </sheetData>
  <sheetProtection algorithmName="SHA-512" hashValue="ttV1F8aVksQTae+/r/8XBnhVgCKsMNapFk0XnZ9qM4VJntamyXgd9ZNbp5Mrbt9npa+hEPGQ33ILHyd3YZc1MQ==" saltValue="agS17ixMT1rp5ZS3MmrYBw==" spinCount="100000" sheet="1" objects="1" scenarios="1"/>
  <mergeCells count="45">
    <mergeCell ref="M71:R71"/>
    <mergeCell ref="S71:X71"/>
    <mergeCell ref="Y71:AD71"/>
    <mergeCell ref="AE71:AH71"/>
    <mergeCell ref="M67:R67"/>
    <mergeCell ref="Z67:AE67"/>
    <mergeCell ref="AF67:AH67"/>
    <mergeCell ref="S67:Y67"/>
    <mergeCell ref="A1:G1"/>
    <mergeCell ref="G47:L47"/>
    <mergeCell ref="M47:R47"/>
    <mergeCell ref="S47:X47"/>
    <mergeCell ref="Y47:AD47"/>
    <mergeCell ref="A3:F3"/>
    <mergeCell ref="A27:E27"/>
    <mergeCell ref="A31:E31"/>
    <mergeCell ref="A35:E35"/>
    <mergeCell ref="A39:D39"/>
    <mergeCell ref="A47:F47"/>
    <mergeCell ref="A7:F7"/>
    <mergeCell ref="A11:F11"/>
    <mergeCell ref="A15:F15"/>
    <mergeCell ref="A19:E19"/>
    <mergeCell ref="A23:E23"/>
    <mergeCell ref="AK43:AQ43"/>
    <mergeCell ref="G43:L43"/>
    <mergeCell ref="M43:R43"/>
    <mergeCell ref="S43:X43"/>
    <mergeCell ref="Y43:AD43"/>
    <mergeCell ref="AE43:AJ43"/>
    <mergeCell ref="A43:F43"/>
    <mergeCell ref="A75:E75"/>
    <mergeCell ref="A83:B83"/>
    <mergeCell ref="A87:G87"/>
    <mergeCell ref="A79:H79"/>
    <mergeCell ref="A51:C51"/>
    <mergeCell ref="A55:F55"/>
    <mergeCell ref="A59:E59"/>
    <mergeCell ref="A63:F63"/>
    <mergeCell ref="A67:F67"/>
    <mergeCell ref="A71:F71"/>
    <mergeCell ref="G55:L55"/>
    <mergeCell ref="G63:I63"/>
    <mergeCell ref="G67:L67"/>
    <mergeCell ref="G71:L71"/>
  </mergeCells>
  <dataValidations count="1">
    <dataValidation type="textLength" allowBlank="1" showInputMessage="1" showErrorMessage="1" sqref="B9 C13 C17 C21 C25 C29 C33 B41 C37 D45 D41" xr:uid="{4680570F-1D2E-4393-BCB7-8FC46EBDABE9}">
      <formula1>9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utAjoutDepot">
          <controlPr locked="0" defaultSize="0" autoLine="0" r:id="rId5">
            <anchor moveWithCells="1">
              <from>
                <xdr:col>1</xdr:col>
                <xdr:colOff>1744980</xdr:colOff>
                <xdr:row>0</xdr:row>
                <xdr:rowOff>83820</xdr:rowOff>
              </from>
              <to>
                <xdr:col>2</xdr:col>
                <xdr:colOff>1043940</xdr:colOff>
                <xdr:row>1</xdr:row>
                <xdr:rowOff>68580</xdr:rowOff>
              </to>
            </anchor>
          </controlPr>
        </control>
      </mc:Choice>
      <mc:Fallback>
        <control shapeId="1035" r:id="rId4" name="butAjoutDepot"/>
      </mc:Fallback>
    </mc:AlternateContent>
    <mc:AlternateContent xmlns:mc="http://schemas.openxmlformats.org/markup-compatibility/2006">
      <mc:Choice Requires="x14">
        <control shapeId="1034" r:id="rId6" name="lbl_dir">
          <controlPr locked="0" defaultSize="0" autoLine="0" r:id="rId7">
            <anchor moveWithCells="1">
              <from>
                <xdr:col>0</xdr:col>
                <xdr:colOff>60960</xdr:colOff>
                <xdr:row>71</xdr:row>
                <xdr:rowOff>0</xdr:rowOff>
              </from>
              <to>
                <xdr:col>0</xdr:col>
                <xdr:colOff>1181100</xdr:colOff>
                <xdr:row>71</xdr:row>
                <xdr:rowOff>266700</xdr:rowOff>
              </to>
            </anchor>
          </controlPr>
        </control>
      </mc:Choice>
      <mc:Fallback>
        <control shapeId="1034" r:id="rId6" name="lbl_dir"/>
      </mc:Fallback>
    </mc:AlternateContent>
    <mc:AlternateContent xmlns:mc="http://schemas.openxmlformats.org/markup-compatibility/2006">
      <mc:Choice Requires="x14">
        <control shapeId="1033" r:id="rId8" name="but_goAllRight">
          <controlPr locked="0" defaultSize="0" autoLine="0" r:id="rId9">
            <anchor moveWithCells="1">
              <from>
                <xdr:col>1</xdr:col>
                <xdr:colOff>68580</xdr:colOff>
                <xdr:row>72</xdr:row>
                <xdr:rowOff>15240</xdr:rowOff>
              </from>
              <to>
                <xdr:col>1</xdr:col>
                <xdr:colOff>1272540</xdr:colOff>
                <xdr:row>73</xdr:row>
                <xdr:rowOff>114300</xdr:rowOff>
              </to>
            </anchor>
          </controlPr>
        </control>
      </mc:Choice>
      <mc:Fallback>
        <control shapeId="1033" r:id="rId8" name="but_goAllRight"/>
      </mc:Fallback>
    </mc:AlternateContent>
    <mc:AlternateContent xmlns:mc="http://schemas.openxmlformats.org/markup-compatibility/2006">
      <mc:Choice Requires="x14">
        <control shapeId="1032" r:id="rId10" name="but_goAllLeft">
          <controlPr locked="0" defaultSize="0" autoLine="0" r:id="rId11">
            <anchor moveWithCells="1">
              <from>
                <xdr:col>0</xdr:col>
                <xdr:colOff>1394460</xdr:colOff>
                <xdr:row>72</xdr:row>
                <xdr:rowOff>15240</xdr:rowOff>
              </from>
              <to>
                <xdr:col>1</xdr:col>
                <xdr:colOff>60960</xdr:colOff>
                <xdr:row>73</xdr:row>
                <xdr:rowOff>114300</xdr:rowOff>
              </to>
            </anchor>
          </controlPr>
        </control>
      </mc:Choice>
      <mc:Fallback>
        <control shapeId="1032" r:id="rId10" name="but_goAllLeft"/>
      </mc:Fallback>
    </mc:AlternateContent>
    <mc:AlternateContent xmlns:mc="http://schemas.openxmlformats.org/markup-compatibility/2006">
      <mc:Choice Requires="x14">
        <control shapeId="1031" r:id="rId12" name="but_goTop">
          <controlPr locked="0" defaultSize="0" autoLine="0" r:id="rId13">
            <anchor moveWithCells="1">
              <from>
                <xdr:col>0</xdr:col>
                <xdr:colOff>1272540</xdr:colOff>
                <xdr:row>71</xdr:row>
                <xdr:rowOff>60960</xdr:rowOff>
              </from>
              <to>
                <xdr:col>0</xdr:col>
                <xdr:colOff>2156460</xdr:colOff>
                <xdr:row>71</xdr:row>
                <xdr:rowOff>335280</xdr:rowOff>
              </to>
            </anchor>
          </controlPr>
        </control>
      </mc:Choice>
      <mc:Fallback>
        <control shapeId="1031" r:id="rId12" name="but_goTop"/>
      </mc:Fallback>
    </mc:AlternateContent>
    <mc:AlternateContent xmlns:mc="http://schemas.openxmlformats.org/markup-compatibility/2006">
      <mc:Choice Requires="x14">
        <control shapeId="1030" r:id="rId14" name="but_goLeft">
          <controlPr locked="0" defaultSize="0" autoLine="0" r:id="rId15">
            <anchor moveWithCells="1">
              <from>
                <xdr:col>0</xdr:col>
                <xdr:colOff>2156460</xdr:colOff>
                <xdr:row>71</xdr:row>
                <xdr:rowOff>60960</xdr:rowOff>
              </from>
              <to>
                <xdr:col>1</xdr:col>
                <xdr:colOff>502920</xdr:colOff>
                <xdr:row>71</xdr:row>
                <xdr:rowOff>335280</xdr:rowOff>
              </to>
            </anchor>
          </controlPr>
        </control>
      </mc:Choice>
      <mc:Fallback>
        <control shapeId="1030" r:id="rId14" name="but_goLeft"/>
      </mc:Fallback>
    </mc:AlternateContent>
    <mc:AlternateContent xmlns:mc="http://schemas.openxmlformats.org/markup-compatibility/2006">
      <mc:Choice Requires="x14">
        <control shapeId="1029" r:id="rId16" name="but_goRight">
          <controlPr locked="0" defaultSize="0" autoLine="0" r:id="rId17">
            <anchor moveWithCells="1">
              <from>
                <xdr:col>1</xdr:col>
                <xdr:colOff>510540</xdr:colOff>
                <xdr:row>71</xdr:row>
                <xdr:rowOff>60960</xdr:rowOff>
              </from>
              <to>
                <xdr:col>1</xdr:col>
                <xdr:colOff>1386840</xdr:colOff>
                <xdr:row>71</xdr:row>
                <xdr:rowOff>335280</xdr:rowOff>
              </to>
            </anchor>
          </controlPr>
        </control>
      </mc:Choice>
      <mc:Fallback>
        <control shapeId="1029" r:id="rId16" name="but_goRigh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A24A9-7E2C-47DD-8CC7-34F30F4E06C1}">
  <sheetPr codeName="Modifier_depot"/>
  <dimension ref="A1:HB877"/>
  <sheetViews>
    <sheetView showGridLines="0" zoomScaleNormal="100" workbookViewId="0">
      <selection activeCell="F12" sqref="A11:F12"/>
    </sheetView>
  </sheetViews>
  <sheetFormatPr baseColWidth="10" defaultRowHeight="14.4" x14ac:dyDescent="0.3"/>
  <cols>
    <col min="1" max="1" width="37" style="6" customWidth="1"/>
    <col min="2" max="2" width="27.44140625" style="6" bestFit="1" customWidth="1"/>
    <col min="3" max="3" width="29" style="6" bestFit="1" customWidth="1"/>
    <col min="4" max="4" width="28.44140625" style="6" customWidth="1"/>
    <col min="5" max="5" width="24.5546875" style="6" bestFit="1" customWidth="1"/>
    <col min="6" max="6" width="27.33203125" style="6" customWidth="1"/>
    <col min="7" max="7" width="26.77734375" style="6" bestFit="1" customWidth="1"/>
    <col min="8" max="8" width="26.88671875" style="6" bestFit="1" customWidth="1"/>
    <col min="9" max="9" width="27.21875" style="6" bestFit="1" customWidth="1"/>
    <col min="10" max="10" width="24.33203125" style="6" bestFit="1" customWidth="1"/>
    <col min="11" max="11" width="27.21875" style="6" bestFit="1" customWidth="1"/>
    <col min="12" max="12" width="18.88671875" style="6" customWidth="1"/>
    <col min="13" max="13" width="20.21875" style="6" customWidth="1"/>
    <col min="14" max="14" width="19.21875" style="6" customWidth="1"/>
    <col min="15" max="15" width="22.77734375" style="6" customWidth="1"/>
    <col min="16" max="16" width="19.33203125" style="6" customWidth="1"/>
    <col min="17" max="17" width="28.21875" style="6" bestFit="1" customWidth="1"/>
    <col min="18" max="18" width="20.21875" style="6" bestFit="1" customWidth="1"/>
    <col min="19" max="19" width="29.6640625" style="6" bestFit="1" customWidth="1"/>
    <col min="20" max="20" width="26.88671875" style="6" bestFit="1" customWidth="1"/>
    <col min="21" max="21" width="24" style="6" bestFit="1" customWidth="1"/>
    <col min="22" max="22" width="27.88671875" style="6" bestFit="1" customWidth="1"/>
    <col min="23" max="23" width="35.109375" style="6" bestFit="1" customWidth="1"/>
    <col min="24" max="24" width="25.6640625" style="6" bestFit="1" customWidth="1"/>
    <col min="25" max="25" width="29.6640625" style="6" bestFit="1" customWidth="1"/>
    <col min="26" max="27" width="23.33203125" style="6" bestFit="1" customWidth="1"/>
    <col min="28" max="28" width="25.44140625" style="6" bestFit="1" customWidth="1"/>
    <col min="29" max="29" width="21.6640625" style="6" bestFit="1" customWidth="1"/>
    <col min="30" max="30" width="22.44140625" style="6" bestFit="1" customWidth="1"/>
    <col min="31" max="31" width="33.21875" style="6" bestFit="1" customWidth="1"/>
    <col min="32" max="32" width="25.109375" style="6" bestFit="1" customWidth="1"/>
    <col min="33" max="33" width="23.5546875" style="6" bestFit="1" customWidth="1"/>
    <col min="34" max="34" width="19" style="6" bestFit="1" customWidth="1"/>
    <col min="35" max="35" width="13.21875" style="6" bestFit="1" customWidth="1"/>
    <col min="36" max="36" width="18.44140625" style="6" bestFit="1" customWidth="1"/>
    <col min="37" max="37" width="39.77734375" style="6" customWidth="1"/>
    <col min="38" max="38" width="22.77734375" style="6" bestFit="1" customWidth="1"/>
    <col min="39" max="39" width="27.6640625" style="6" bestFit="1" customWidth="1"/>
    <col min="40" max="40" width="26.6640625" style="6" bestFit="1" customWidth="1"/>
    <col min="41" max="41" width="18.33203125" style="6" bestFit="1" customWidth="1"/>
    <col min="42" max="42" width="22.88671875" style="6" bestFit="1" customWidth="1"/>
    <col min="43" max="43" width="23.33203125" style="6" bestFit="1" customWidth="1"/>
    <col min="44" max="44" width="19" style="6" bestFit="1" customWidth="1"/>
    <col min="45" max="45" width="18.88671875" style="6" bestFit="1" customWidth="1"/>
    <col min="46" max="46" width="23.44140625" style="6" bestFit="1" customWidth="1"/>
    <col min="47" max="47" width="11.88671875" style="6" bestFit="1" customWidth="1"/>
    <col min="48" max="48" width="25.44140625" style="6" bestFit="1" customWidth="1"/>
    <col min="49" max="49" width="9.109375" style="6" bestFit="1" customWidth="1"/>
    <col min="50" max="50" width="11.5546875" style="6" bestFit="1" customWidth="1"/>
    <col min="51" max="51" width="13.77734375" style="6" bestFit="1" customWidth="1"/>
    <col min="52" max="52" width="22.21875" style="6" bestFit="1" customWidth="1"/>
    <col min="53" max="53" width="26.77734375" style="6" bestFit="1" customWidth="1"/>
    <col min="54" max="54" width="24.44140625" style="6" bestFit="1" customWidth="1"/>
    <col min="55" max="55" width="16.5546875" style="6" bestFit="1" customWidth="1"/>
    <col min="56" max="56" width="18.33203125" style="6" bestFit="1" customWidth="1"/>
    <col min="57" max="57" width="21.109375" style="6" bestFit="1" customWidth="1"/>
    <col min="58" max="58" width="31.6640625" style="6" bestFit="1" customWidth="1"/>
    <col min="59" max="59" width="36.88671875" style="6" bestFit="1" customWidth="1"/>
    <col min="60" max="60" width="36.33203125" style="6" bestFit="1" customWidth="1"/>
    <col min="61" max="61" width="9.88671875" style="6" bestFit="1" customWidth="1"/>
    <col min="62" max="62" width="13.5546875" style="6" bestFit="1" customWidth="1"/>
    <col min="63" max="63" width="38.88671875" style="6" bestFit="1" customWidth="1"/>
    <col min="64" max="64" width="12.6640625" style="6" bestFit="1" customWidth="1"/>
    <col min="65" max="65" width="24.88671875" style="6" bestFit="1" customWidth="1"/>
    <col min="66" max="66" width="16.5546875" style="6" bestFit="1" customWidth="1"/>
    <col min="67" max="67" width="13.5546875" style="6" bestFit="1" customWidth="1"/>
    <col min="68" max="68" width="15.6640625" style="6" bestFit="1" customWidth="1"/>
    <col min="69" max="69" width="16.21875" style="6" bestFit="1" customWidth="1"/>
    <col min="70" max="70" width="36.88671875" style="6" bestFit="1" customWidth="1"/>
    <col min="71" max="71" width="18.5546875" style="6" bestFit="1" customWidth="1"/>
    <col min="72" max="72" width="17.109375" style="6" bestFit="1" customWidth="1"/>
    <col min="73" max="73" width="23.5546875" style="6" bestFit="1" customWidth="1"/>
    <col min="74" max="74" width="26.6640625" style="6" bestFit="1" customWidth="1"/>
    <col min="75" max="75" width="15.44140625" style="6" bestFit="1" customWidth="1"/>
    <col min="76" max="76" width="18.21875" style="6" bestFit="1" customWidth="1"/>
    <col min="77" max="77" width="12.33203125" style="6" bestFit="1" customWidth="1"/>
    <col min="78" max="78" width="22.109375" style="6" bestFit="1" customWidth="1"/>
    <col min="79" max="79" width="16.109375" style="6" bestFit="1" customWidth="1"/>
    <col min="80" max="80" width="32.21875" style="6" bestFit="1" customWidth="1"/>
    <col min="81" max="81" width="27.33203125" style="6" bestFit="1" customWidth="1"/>
    <col min="82" max="82" width="13.77734375" style="6" bestFit="1" customWidth="1"/>
    <col min="83" max="83" width="26.77734375" style="6" bestFit="1" customWidth="1"/>
    <col min="84" max="84" width="26.6640625" style="6" bestFit="1" customWidth="1"/>
    <col min="85" max="86" width="19" style="6" bestFit="1" customWidth="1"/>
    <col min="87" max="87" width="14" style="6" bestFit="1" customWidth="1"/>
    <col min="88" max="88" width="24" style="6" bestFit="1" customWidth="1"/>
    <col min="89" max="89" width="4.33203125" style="6" bestFit="1" customWidth="1"/>
    <col min="90" max="90" width="29" style="6" bestFit="1" customWidth="1"/>
    <col min="91" max="91" width="24.109375" style="6" bestFit="1" customWidth="1"/>
    <col min="92" max="92" width="31" style="6" bestFit="1" customWidth="1"/>
    <col min="93" max="93" width="18" style="6" bestFit="1" customWidth="1"/>
    <col min="94" max="94" width="39" style="6" bestFit="1" customWidth="1"/>
    <col min="95" max="95" width="22.6640625" style="6" bestFit="1" customWidth="1"/>
    <col min="96" max="96" width="24.6640625" style="6" bestFit="1" customWidth="1"/>
    <col min="97" max="97" width="30.6640625" style="6" bestFit="1" customWidth="1"/>
    <col min="98" max="98" width="17.77734375" style="6" bestFit="1" customWidth="1"/>
    <col min="99" max="99" width="12.109375" style="6" bestFit="1" customWidth="1"/>
    <col min="100" max="100" width="10.6640625" style="6" bestFit="1" customWidth="1"/>
    <col min="101" max="101" width="13.33203125" style="6" bestFit="1" customWidth="1"/>
    <col min="102" max="102" width="22.77734375" style="6" bestFit="1" customWidth="1"/>
    <col min="103" max="103" width="6.109375" style="6" bestFit="1" customWidth="1"/>
    <col min="104" max="104" width="10.44140625" style="6" bestFit="1" customWidth="1"/>
    <col min="105" max="105" width="7.21875" style="6" bestFit="1" customWidth="1"/>
    <col min="106" max="106" width="21.77734375" style="6" bestFit="1" customWidth="1"/>
    <col min="107" max="107" width="26.33203125" style="6" bestFit="1" customWidth="1"/>
    <col min="108" max="108" width="4.6640625" style="6" bestFit="1" customWidth="1"/>
    <col min="109" max="109" width="9.109375" style="6" bestFit="1" customWidth="1"/>
    <col min="110" max="110" width="12.44140625" style="6" bestFit="1" customWidth="1"/>
    <col min="111" max="111" width="22.109375" style="6" bestFit="1" customWidth="1"/>
    <col min="112" max="112" width="16.77734375" style="6" bestFit="1" customWidth="1"/>
    <col min="113" max="113" width="10.21875" style="6" bestFit="1" customWidth="1"/>
    <col min="114" max="114" width="16.33203125" style="6" bestFit="1" customWidth="1"/>
    <col min="115" max="115" width="7.109375" style="6" bestFit="1" customWidth="1"/>
    <col min="116" max="116" width="17.21875" style="6" bestFit="1" customWidth="1"/>
    <col min="117" max="117" width="16.33203125" style="6" bestFit="1" customWidth="1"/>
    <col min="118" max="118" width="15.6640625" style="6" bestFit="1" customWidth="1"/>
    <col min="119" max="119" width="10.5546875" style="6" bestFit="1" customWidth="1"/>
    <col min="120" max="120" width="18.44140625" style="6" bestFit="1" customWidth="1"/>
    <col min="121" max="121" width="7.6640625" style="6" bestFit="1" customWidth="1"/>
    <col min="122" max="122" width="12.6640625" style="6" bestFit="1" customWidth="1"/>
    <col min="123" max="123" width="18.21875" style="6" bestFit="1" customWidth="1"/>
    <col min="124" max="124" width="22.33203125" style="6" bestFit="1" customWidth="1"/>
    <col min="125" max="125" width="25.109375" style="6" bestFit="1" customWidth="1"/>
    <col min="126" max="126" width="20.109375" style="6" bestFit="1" customWidth="1"/>
    <col min="127" max="127" width="26.77734375" style="6" bestFit="1" customWidth="1"/>
    <col min="128" max="128" width="17.21875" style="6" bestFit="1" customWidth="1"/>
    <col min="129" max="129" width="22.77734375" style="6" bestFit="1" customWidth="1"/>
    <col min="130" max="130" width="27.33203125" style="6" bestFit="1" customWidth="1"/>
    <col min="131" max="131" width="13" style="6" bestFit="1" customWidth="1"/>
    <col min="132" max="132" width="18.77734375" style="6" bestFit="1" customWidth="1"/>
    <col min="133" max="133" width="16.6640625" style="6" bestFit="1" customWidth="1"/>
    <col min="134" max="134" width="13.44140625" style="6" bestFit="1" customWidth="1"/>
    <col min="135" max="135" width="65.109375" style="6" bestFit="1" customWidth="1"/>
    <col min="136" max="136" width="19.5546875" style="6" bestFit="1" customWidth="1"/>
    <col min="137" max="137" width="27.6640625" style="6" bestFit="1" customWidth="1"/>
    <col min="138" max="138" width="16.21875" style="6" bestFit="1" customWidth="1"/>
    <col min="139" max="139" width="28.44140625" style="6" bestFit="1" customWidth="1"/>
    <col min="140" max="140" width="6.88671875" style="6" bestFit="1" customWidth="1"/>
    <col min="141" max="141" width="14.44140625" style="6" bestFit="1" customWidth="1"/>
    <col min="142" max="142" width="19.6640625" style="6" bestFit="1" customWidth="1"/>
    <col min="143" max="143" width="18.33203125" style="6" bestFit="1" customWidth="1"/>
    <col min="144" max="144" width="12.33203125" style="6" bestFit="1" customWidth="1"/>
    <col min="145" max="145" width="19.44140625" style="6" bestFit="1" customWidth="1"/>
    <col min="146" max="146" width="35" style="6" bestFit="1" customWidth="1"/>
    <col min="147" max="147" width="15" style="6" bestFit="1" customWidth="1"/>
    <col min="148" max="148" width="17.44140625" style="6" bestFit="1" customWidth="1"/>
    <col min="149" max="149" width="12.33203125" style="6" bestFit="1" customWidth="1"/>
    <col min="150" max="156" width="13.44140625" style="6" bestFit="1" customWidth="1"/>
    <col min="157" max="157" width="16.21875" style="6" bestFit="1" customWidth="1"/>
    <col min="158" max="158" width="36.88671875" style="6" bestFit="1" customWidth="1"/>
    <col min="159" max="159" width="18.5546875" style="6" bestFit="1" customWidth="1"/>
    <col min="160" max="160" width="17.109375" style="6" bestFit="1" customWidth="1"/>
    <col min="161" max="161" width="23.5546875" style="6" bestFit="1" customWidth="1"/>
    <col min="162" max="162" width="26.6640625" style="6" bestFit="1" customWidth="1"/>
    <col min="163" max="163" width="15.44140625" style="6" bestFit="1" customWidth="1"/>
    <col min="164" max="164" width="18.21875" style="6" bestFit="1" customWidth="1"/>
    <col min="165" max="165" width="12.33203125" style="6" bestFit="1" customWidth="1"/>
    <col min="166" max="166" width="22.109375" style="6" bestFit="1" customWidth="1"/>
    <col min="167" max="167" width="16.109375" style="6" bestFit="1" customWidth="1"/>
    <col min="168" max="168" width="32.21875" style="6" bestFit="1" customWidth="1"/>
    <col min="169" max="169" width="27.33203125" style="6" bestFit="1" customWidth="1"/>
    <col min="170" max="170" width="13.77734375" style="6" bestFit="1" customWidth="1"/>
    <col min="171" max="171" width="26.77734375" style="6" bestFit="1" customWidth="1"/>
    <col min="172" max="172" width="26.6640625" style="6" bestFit="1" customWidth="1"/>
    <col min="173" max="174" width="19" style="6" bestFit="1" customWidth="1"/>
    <col min="175" max="175" width="14" style="6" bestFit="1" customWidth="1"/>
    <col min="176" max="176" width="24" style="6" bestFit="1" customWidth="1"/>
    <col min="177" max="177" width="4.33203125" style="6" bestFit="1" customWidth="1"/>
    <col min="178" max="178" width="29" style="6" bestFit="1" customWidth="1"/>
    <col min="179" max="179" width="24.109375" style="6" bestFit="1" customWidth="1"/>
    <col min="180" max="180" width="31" style="6" bestFit="1" customWidth="1"/>
    <col min="181" max="181" width="18" style="6" bestFit="1" customWidth="1"/>
    <col min="182" max="182" width="39" style="6" bestFit="1" customWidth="1"/>
    <col min="183" max="183" width="22.6640625" style="6" bestFit="1" customWidth="1"/>
    <col min="184" max="184" width="24.6640625" style="6" bestFit="1" customWidth="1"/>
    <col min="185" max="185" width="30.6640625" style="6" bestFit="1" customWidth="1"/>
    <col min="186" max="186" width="17.77734375" style="6" bestFit="1" customWidth="1"/>
    <col min="187" max="187" width="12.109375" style="6" bestFit="1" customWidth="1"/>
    <col min="188" max="188" width="10.6640625" style="6" bestFit="1" customWidth="1"/>
    <col min="189" max="189" width="13.33203125" style="6" bestFit="1" customWidth="1"/>
    <col min="190" max="190" width="22.77734375" style="6" bestFit="1" customWidth="1"/>
    <col min="191" max="191" width="6.109375" style="6" bestFit="1" customWidth="1"/>
    <col min="192" max="192" width="10.44140625" style="6" bestFit="1" customWidth="1"/>
    <col min="193" max="193" width="7.21875" style="6" bestFit="1" customWidth="1"/>
    <col min="194" max="194" width="21.77734375" style="6" bestFit="1" customWidth="1"/>
    <col min="195" max="195" width="26.33203125" style="6" bestFit="1" customWidth="1"/>
    <col min="196" max="196" width="4.6640625" style="6" bestFit="1" customWidth="1"/>
    <col min="197" max="197" width="9.109375" style="6" bestFit="1" customWidth="1"/>
    <col min="198" max="198" width="12.44140625" style="6" bestFit="1" customWidth="1"/>
    <col min="199" max="199" width="22.109375" style="6" bestFit="1" customWidth="1"/>
    <col min="200" max="200" width="16.77734375" style="6" bestFit="1" customWidth="1"/>
    <col min="201" max="201" width="10.21875" style="6" bestFit="1" customWidth="1"/>
    <col min="202" max="202" width="16.33203125" style="6" bestFit="1" customWidth="1"/>
    <col min="203" max="203" width="7.109375" style="6" bestFit="1" customWidth="1"/>
    <col min="204" max="204" width="17.21875" style="6" bestFit="1" customWidth="1"/>
    <col min="205" max="205" width="16.33203125" style="6" bestFit="1" customWidth="1"/>
    <col min="206" max="206" width="15.6640625" style="6" bestFit="1" customWidth="1"/>
    <col min="207" max="207" width="10.5546875" style="6" bestFit="1" customWidth="1"/>
    <col min="208" max="208" width="18.44140625" style="6" bestFit="1" customWidth="1"/>
    <col min="209" max="209" width="7.6640625" style="6" bestFit="1" customWidth="1"/>
    <col min="210" max="210" width="12.6640625" style="6" bestFit="1" customWidth="1"/>
    <col min="211" max="211" width="18.21875" style="6" bestFit="1" customWidth="1"/>
    <col min="212" max="212" width="22.33203125" style="6" bestFit="1" customWidth="1"/>
    <col min="213" max="213" width="25.109375" style="6" bestFit="1" customWidth="1"/>
    <col min="214" max="214" width="20.109375" style="6" bestFit="1" customWidth="1"/>
    <col min="215" max="215" width="26.77734375" style="6" bestFit="1" customWidth="1"/>
    <col min="216" max="216" width="17.21875" style="6" bestFit="1" customWidth="1"/>
    <col min="217" max="217" width="22.77734375" style="6" bestFit="1" customWidth="1"/>
    <col min="218" max="218" width="27.33203125" style="6" bestFit="1" customWidth="1"/>
    <col min="219" max="219" width="13" style="6" bestFit="1" customWidth="1"/>
    <col min="220" max="220" width="18.77734375" style="6" bestFit="1" customWidth="1"/>
    <col min="221" max="221" width="16.6640625" style="6" bestFit="1" customWidth="1"/>
    <col min="222" max="222" width="13.44140625" style="6" bestFit="1" customWidth="1"/>
    <col min="223" max="223" width="65.109375" style="6" bestFit="1" customWidth="1"/>
    <col min="224" max="224" width="19.5546875" style="6" bestFit="1" customWidth="1"/>
    <col min="225" max="225" width="27.6640625" style="6" bestFit="1" customWidth="1"/>
    <col min="226" max="226" width="16.21875" style="6" bestFit="1" customWidth="1"/>
    <col min="227" max="227" width="28.44140625" style="6" bestFit="1" customWidth="1"/>
    <col min="228" max="228" width="6.88671875" style="6" bestFit="1" customWidth="1"/>
    <col min="229" max="229" width="14.44140625" style="6" bestFit="1" customWidth="1"/>
    <col min="230" max="230" width="19.6640625" style="6" bestFit="1" customWidth="1"/>
    <col min="231" max="231" width="18.33203125" style="6" bestFit="1" customWidth="1"/>
    <col min="232" max="232" width="12.33203125" style="6" bestFit="1" customWidth="1"/>
    <col min="233" max="233" width="19.44140625" style="6" bestFit="1" customWidth="1"/>
    <col min="234" max="234" width="35" style="6" bestFit="1" customWidth="1"/>
    <col min="235" max="235" width="15" style="6" bestFit="1" customWidth="1"/>
    <col min="236" max="236" width="17.44140625" style="6" bestFit="1" customWidth="1"/>
    <col min="237" max="237" width="12.33203125" style="6" bestFit="1" customWidth="1"/>
    <col min="238" max="244" width="13.44140625" style="6" bestFit="1" customWidth="1"/>
    <col min="245" max="16384" width="11.5546875" style="6"/>
  </cols>
  <sheetData>
    <row r="1" spans="1:210" ht="23.4" x14ac:dyDescent="0.45">
      <c r="A1" s="75" t="s">
        <v>3279</v>
      </c>
      <c r="B1" s="75"/>
      <c r="C1" s="75"/>
      <c r="D1" s="75"/>
      <c r="E1" s="75"/>
      <c r="F1" s="75"/>
      <c r="G1" s="75"/>
    </row>
    <row r="2" spans="1:210" ht="15" thickBot="1" x14ac:dyDescent="0.35"/>
    <row r="3" spans="1:210" ht="24" thickBot="1" x14ac:dyDescent="0.5">
      <c r="A3" s="79" t="s">
        <v>3276</v>
      </c>
      <c r="B3" s="80"/>
      <c r="C3" s="80"/>
      <c r="D3" s="80"/>
      <c r="E3" s="80"/>
      <c r="F3" s="81"/>
    </row>
    <row r="4" spans="1:210" ht="15.6" x14ac:dyDescent="0.3">
      <c r="A4" s="11" t="s">
        <v>1</v>
      </c>
      <c r="B4" s="11" t="s">
        <v>2</v>
      </c>
      <c r="C4" s="11" t="s">
        <v>3</v>
      </c>
      <c r="D4" s="11" t="s">
        <v>4</v>
      </c>
      <c r="E4" s="12" t="s">
        <v>3274</v>
      </c>
      <c r="F4" s="11" t="s">
        <v>5</v>
      </c>
      <c r="H4" s="8"/>
      <c r="I4" s="8"/>
      <c r="J4" s="8"/>
      <c r="K4" s="8"/>
    </row>
    <row r="5" spans="1:210" ht="15.6" x14ac:dyDescent="0.3">
      <c r="A5" s="25">
        <v>1951</v>
      </c>
      <c r="B5" s="25">
        <v>2452</v>
      </c>
      <c r="C5" s="25" t="s">
        <v>2657</v>
      </c>
      <c r="D5" s="25" t="s">
        <v>1103</v>
      </c>
      <c r="E5" s="25" t="s">
        <v>3275</v>
      </c>
      <c r="F5" s="26" t="s">
        <v>2504</v>
      </c>
      <c r="BJ5" s="13"/>
      <c r="FA5" s="13"/>
      <c r="GK5" s="13"/>
      <c r="HA5" s="13"/>
      <c r="HB5" s="13"/>
    </row>
    <row r="6" spans="1:210" ht="15" thickBot="1" x14ac:dyDescent="0.35"/>
    <row r="7" spans="1:210" ht="24" thickBot="1" x14ac:dyDescent="0.35">
      <c r="A7" s="94" t="s">
        <v>3273</v>
      </c>
      <c r="B7" s="95"/>
      <c r="C7" s="95"/>
      <c r="D7" s="95"/>
      <c r="E7" s="95"/>
      <c r="F7" s="96"/>
    </row>
    <row r="8" spans="1:210" x14ac:dyDescent="0.3">
      <c r="A8" s="9" t="s">
        <v>6</v>
      </c>
      <c r="B8" s="9" t="s">
        <v>7</v>
      </c>
      <c r="C8" s="9" t="s">
        <v>8</v>
      </c>
      <c r="D8" s="9" t="s">
        <v>9</v>
      </c>
      <c r="E8" s="9" t="s">
        <v>10</v>
      </c>
      <c r="F8" s="9" t="s">
        <v>11</v>
      </c>
    </row>
    <row r="9" spans="1:210" x14ac:dyDescent="0.3">
      <c r="A9" s="16" t="s">
        <v>2505</v>
      </c>
      <c r="B9" s="17">
        <v>610925352</v>
      </c>
      <c r="C9" s="16" t="s">
        <v>2658</v>
      </c>
      <c r="D9" s="16" t="s">
        <v>2659</v>
      </c>
      <c r="E9" s="17"/>
      <c r="F9" s="18">
        <v>44396</v>
      </c>
    </row>
    <row r="10" spans="1:210" ht="15" thickBot="1" x14ac:dyDescent="0.35"/>
    <row r="11" spans="1:210" ht="24" thickBot="1" x14ac:dyDescent="0.35">
      <c r="A11" s="97" t="s">
        <v>258</v>
      </c>
      <c r="B11" s="98"/>
      <c r="C11" s="98"/>
      <c r="D11" s="98"/>
      <c r="E11" s="98"/>
      <c r="F11" s="99"/>
    </row>
    <row r="12" spans="1:210" x14ac:dyDescent="0.3">
      <c r="A12" s="10" t="s">
        <v>12</v>
      </c>
      <c r="B12" s="10" t="s">
        <v>13</v>
      </c>
      <c r="C12" s="10" t="s">
        <v>14</v>
      </c>
      <c r="D12" s="10" t="s">
        <v>15</v>
      </c>
      <c r="E12" s="10" t="s">
        <v>16</v>
      </c>
      <c r="F12" s="10" t="s">
        <v>17</v>
      </c>
    </row>
    <row r="13" spans="1:210" x14ac:dyDescent="0.3">
      <c r="A13" s="16" t="s">
        <v>524</v>
      </c>
      <c r="B13" s="16"/>
      <c r="C13" s="17"/>
      <c r="D13" s="16"/>
      <c r="E13" s="16" t="s">
        <v>2658</v>
      </c>
      <c r="F13" s="16" t="s">
        <v>2729</v>
      </c>
    </row>
    <row r="14" spans="1:210" ht="15" thickBot="1" x14ac:dyDescent="0.35"/>
    <row r="15" spans="1:210" ht="24" thickBot="1" x14ac:dyDescent="0.5">
      <c r="A15" s="100" t="s">
        <v>259</v>
      </c>
      <c r="B15" s="101"/>
      <c r="C15" s="101"/>
      <c r="D15" s="101"/>
      <c r="E15" s="101"/>
      <c r="F15" s="102"/>
    </row>
    <row r="16" spans="1:210" x14ac:dyDescent="0.3">
      <c r="A16" s="10" t="s">
        <v>18</v>
      </c>
      <c r="B16" s="10" t="s">
        <v>19</v>
      </c>
      <c r="C16" s="10" t="s">
        <v>20</v>
      </c>
      <c r="D16" s="10" t="s">
        <v>21</v>
      </c>
      <c r="E16" s="10" t="s">
        <v>22</v>
      </c>
      <c r="F16" s="10" t="s">
        <v>23</v>
      </c>
    </row>
    <row r="17" spans="1:6" x14ac:dyDescent="0.3">
      <c r="A17" s="16" t="s">
        <v>2660</v>
      </c>
      <c r="B17" s="16" t="s">
        <v>2661</v>
      </c>
      <c r="C17" s="17">
        <v>479315208</v>
      </c>
      <c r="D17" s="16"/>
      <c r="E17" s="16" t="s">
        <v>2840</v>
      </c>
      <c r="F17" s="16" t="s">
        <v>2796</v>
      </c>
    </row>
    <row r="18" spans="1:6" ht="15" thickBot="1" x14ac:dyDescent="0.35"/>
    <row r="19" spans="1:6" ht="24" thickBot="1" x14ac:dyDescent="0.35">
      <c r="A19" s="103" t="s">
        <v>260</v>
      </c>
      <c r="B19" s="104"/>
      <c r="C19" s="104"/>
      <c r="D19" s="104"/>
      <c r="E19" s="105"/>
    </row>
    <row r="20" spans="1:6" x14ac:dyDescent="0.3">
      <c r="A20" s="7" t="s">
        <v>24</v>
      </c>
      <c r="B20" s="7" t="s">
        <v>25</v>
      </c>
      <c r="C20" s="7" t="s">
        <v>26</v>
      </c>
      <c r="D20" s="7" t="s">
        <v>27</v>
      </c>
      <c r="E20" s="7" t="s">
        <v>28</v>
      </c>
    </row>
    <row r="21" spans="1:6" x14ac:dyDescent="0.3">
      <c r="A21" s="16" t="s">
        <v>2662</v>
      </c>
      <c r="B21" s="16" t="s">
        <v>2663</v>
      </c>
      <c r="C21" s="17">
        <v>479315204</v>
      </c>
      <c r="D21" s="16" t="s">
        <v>2751</v>
      </c>
      <c r="E21" s="16" t="s">
        <v>2707</v>
      </c>
    </row>
    <row r="22" spans="1:6" ht="15" thickBot="1" x14ac:dyDescent="0.35"/>
    <row r="23" spans="1:6" ht="24" thickBot="1" x14ac:dyDescent="0.5">
      <c r="A23" s="106" t="s">
        <v>261</v>
      </c>
      <c r="B23" s="107"/>
      <c r="C23" s="107"/>
      <c r="D23" s="107"/>
      <c r="E23" s="108"/>
    </row>
    <row r="24" spans="1:6" x14ac:dyDescent="0.3">
      <c r="A24" s="10" t="s">
        <v>29</v>
      </c>
      <c r="B24" s="10" t="s">
        <v>30</v>
      </c>
      <c r="C24" s="10" t="s">
        <v>31</v>
      </c>
      <c r="D24" s="10" t="s">
        <v>32</v>
      </c>
      <c r="E24" s="10" t="s">
        <v>33</v>
      </c>
    </row>
    <row r="25" spans="1:6" x14ac:dyDescent="0.3">
      <c r="A25" s="16" t="s">
        <v>2664</v>
      </c>
      <c r="B25" s="16" t="s">
        <v>2665</v>
      </c>
      <c r="C25" s="17">
        <v>479315205</v>
      </c>
      <c r="D25" s="16" t="s">
        <v>2701</v>
      </c>
      <c r="E25" s="16" t="s">
        <v>2736</v>
      </c>
    </row>
    <row r="26" spans="1:6" ht="15" thickBot="1" x14ac:dyDescent="0.35"/>
    <row r="27" spans="1:6" ht="24" thickBot="1" x14ac:dyDescent="0.5">
      <c r="A27" s="82" t="s">
        <v>262</v>
      </c>
      <c r="B27" s="83"/>
      <c r="C27" s="83"/>
      <c r="D27" s="83"/>
      <c r="E27" s="84"/>
    </row>
    <row r="28" spans="1:6" x14ac:dyDescent="0.3">
      <c r="A28" s="9" t="s">
        <v>34</v>
      </c>
      <c r="B28" s="9" t="s">
        <v>35</v>
      </c>
      <c r="C28" s="9" t="s">
        <v>36</v>
      </c>
      <c r="D28" s="9" t="s">
        <v>37</v>
      </c>
      <c r="E28" s="9" t="s">
        <v>38</v>
      </c>
    </row>
    <row r="29" spans="1:6" x14ac:dyDescent="0.3">
      <c r="A29" s="16" t="s">
        <v>2666</v>
      </c>
      <c r="B29" s="16" t="s">
        <v>2661</v>
      </c>
      <c r="C29" s="17">
        <v>479315208</v>
      </c>
      <c r="D29" s="16" t="s">
        <v>2804</v>
      </c>
      <c r="E29" s="16" t="s">
        <v>2514</v>
      </c>
    </row>
    <row r="30" spans="1:6" ht="15" thickBot="1" x14ac:dyDescent="0.35"/>
    <row r="31" spans="1:6" ht="24" thickBot="1" x14ac:dyDescent="0.5">
      <c r="A31" s="85" t="s">
        <v>263</v>
      </c>
      <c r="B31" s="86"/>
      <c r="C31" s="86"/>
      <c r="D31" s="86"/>
      <c r="E31" s="87"/>
    </row>
    <row r="32" spans="1:6" x14ac:dyDescent="0.3">
      <c r="A32" s="9" t="s">
        <v>39</v>
      </c>
      <c r="B32" s="9" t="s">
        <v>40</v>
      </c>
      <c r="C32" s="9" t="s">
        <v>41</v>
      </c>
      <c r="D32" s="9" t="s">
        <v>42</v>
      </c>
      <c r="E32" s="9" t="s">
        <v>43</v>
      </c>
    </row>
    <row r="33" spans="1:43" x14ac:dyDescent="0.3">
      <c r="A33" s="16" t="s">
        <v>2667</v>
      </c>
      <c r="B33" s="16" t="s">
        <v>2668</v>
      </c>
      <c r="C33" s="17">
        <v>479315202</v>
      </c>
      <c r="D33" s="16" t="s">
        <v>2725</v>
      </c>
      <c r="E33" s="16" t="s">
        <v>2829</v>
      </c>
    </row>
    <row r="34" spans="1:43" ht="15" thickBot="1" x14ac:dyDescent="0.35"/>
    <row r="35" spans="1:43" ht="24" thickBot="1" x14ac:dyDescent="0.5">
      <c r="A35" s="88" t="s">
        <v>264</v>
      </c>
      <c r="B35" s="89"/>
      <c r="C35" s="89"/>
      <c r="D35" s="89"/>
      <c r="E35" s="90"/>
    </row>
    <row r="36" spans="1:43" x14ac:dyDescent="0.3">
      <c r="A36" s="9" t="s">
        <v>44</v>
      </c>
      <c r="B36" s="9" t="s">
        <v>45</v>
      </c>
      <c r="C36" s="9" t="s">
        <v>46</v>
      </c>
      <c r="D36" s="9" t="s">
        <v>47</v>
      </c>
      <c r="E36" s="9" t="s">
        <v>48</v>
      </c>
    </row>
    <row r="37" spans="1:43" x14ac:dyDescent="0.3">
      <c r="A37" s="16" t="s">
        <v>2669</v>
      </c>
      <c r="B37" s="16" t="s">
        <v>2670</v>
      </c>
      <c r="C37" s="17">
        <v>479315207</v>
      </c>
      <c r="D37" s="16" t="s">
        <v>2725</v>
      </c>
      <c r="E37" s="16" t="s">
        <v>2741</v>
      </c>
    </row>
    <row r="38" spans="1:43" ht="15" thickBot="1" x14ac:dyDescent="0.35"/>
    <row r="39" spans="1:43" ht="24" thickBot="1" x14ac:dyDescent="0.5">
      <c r="A39" s="91" t="s">
        <v>245</v>
      </c>
      <c r="B39" s="92"/>
      <c r="C39" s="92"/>
      <c r="D39" s="93"/>
    </row>
    <row r="40" spans="1:43" x14ac:dyDescent="0.3">
      <c r="A40" s="9" t="s">
        <v>49</v>
      </c>
      <c r="B40" s="9" t="s">
        <v>50</v>
      </c>
      <c r="C40" s="9" t="s">
        <v>51</v>
      </c>
      <c r="D40" s="9" t="s">
        <v>52</v>
      </c>
    </row>
    <row r="41" spans="1:43" x14ac:dyDescent="0.3">
      <c r="A41" s="16" t="s">
        <v>2520</v>
      </c>
      <c r="B41" s="17">
        <v>789331665</v>
      </c>
      <c r="C41" s="16" t="s">
        <v>2430</v>
      </c>
      <c r="D41" s="17"/>
    </row>
    <row r="42" spans="1:43" ht="15" thickBot="1" x14ac:dyDescent="0.35"/>
    <row r="43" spans="1:43" ht="24" thickBot="1" x14ac:dyDescent="0.5">
      <c r="A43" s="38" t="s">
        <v>246</v>
      </c>
      <c r="B43" s="39"/>
      <c r="C43" s="39"/>
      <c r="D43" s="39"/>
      <c r="E43" s="39"/>
      <c r="F43" s="40"/>
      <c r="G43" s="38" t="s">
        <v>246</v>
      </c>
      <c r="H43" s="39"/>
      <c r="I43" s="39"/>
      <c r="J43" s="39"/>
      <c r="K43" s="39"/>
      <c r="L43" s="40"/>
      <c r="M43" s="38" t="s">
        <v>246</v>
      </c>
      <c r="N43" s="39"/>
      <c r="O43" s="39"/>
      <c r="P43" s="39"/>
      <c r="Q43" s="39"/>
      <c r="R43" s="40"/>
      <c r="S43" s="38" t="s">
        <v>246</v>
      </c>
      <c r="T43" s="39"/>
      <c r="U43" s="39"/>
      <c r="V43" s="39"/>
      <c r="W43" s="39"/>
      <c r="X43" s="40"/>
      <c r="Y43" s="38" t="s">
        <v>246</v>
      </c>
      <c r="Z43" s="39"/>
      <c r="AA43" s="39"/>
      <c r="AB43" s="39"/>
      <c r="AC43" s="39"/>
      <c r="AD43" s="40"/>
      <c r="AE43" s="38" t="s">
        <v>246</v>
      </c>
      <c r="AF43" s="39"/>
      <c r="AG43" s="39"/>
      <c r="AH43" s="39"/>
      <c r="AI43" s="39"/>
      <c r="AJ43" s="40"/>
      <c r="AK43" s="73" t="s">
        <v>246</v>
      </c>
      <c r="AL43" s="74"/>
      <c r="AM43" s="74"/>
      <c r="AN43" s="74"/>
      <c r="AO43" s="74"/>
      <c r="AP43" s="74"/>
      <c r="AQ43" s="74"/>
    </row>
    <row r="44" spans="1:43" ht="28.8" x14ac:dyDescent="0.3">
      <c r="A44" s="9" t="s">
        <v>53</v>
      </c>
      <c r="B44" s="9" t="s">
        <v>54</v>
      </c>
      <c r="C44" s="9" t="s">
        <v>55</v>
      </c>
      <c r="D44" s="9" t="s">
        <v>56</v>
      </c>
      <c r="E44" s="9" t="s">
        <v>57</v>
      </c>
      <c r="F44" s="9" t="s">
        <v>58</v>
      </c>
      <c r="G44" s="5" t="s">
        <v>59</v>
      </c>
      <c r="H44" s="5" t="s">
        <v>60</v>
      </c>
      <c r="I44" s="5" t="s">
        <v>61</v>
      </c>
      <c r="J44" s="5" t="s">
        <v>62</v>
      </c>
      <c r="K44" s="5" t="s">
        <v>63</v>
      </c>
      <c r="L44" s="5" t="s">
        <v>64</v>
      </c>
      <c r="M44" s="5" t="s">
        <v>65</v>
      </c>
      <c r="N44" s="5" t="s">
        <v>66</v>
      </c>
      <c r="O44" s="5" t="s">
        <v>67</v>
      </c>
      <c r="P44" s="5" t="s">
        <v>68</v>
      </c>
      <c r="Q44" s="5" t="s">
        <v>69</v>
      </c>
      <c r="R44" s="5" t="s">
        <v>70</v>
      </c>
      <c r="S44" s="5" t="s">
        <v>71</v>
      </c>
      <c r="T44" s="5" t="s">
        <v>72</v>
      </c>
      <c r="U44" s="5" t="s">
        <v>73</v>
      </c>
      <c r="V44" s="5" t="s">
        <v>74</v>
      </c>
      <c r="W44" s="5" t="s">
        <v>75</v>
      </c>
      <c r="X44" s="5" t="s">
        <v>76</v>
      </c>
      <c r="Y44" s="5" t="s">
        <v>77</v>
      </c>
      <c r="Z44" s="5" t="s">
        <v>78</v>
      </c>
      <c r="AA44" s="5" t="s">
        <v>79</v>
      </c>
      <c r="AB44" s="5" t="s">
        <v>80</v>
      </c>
      <c r="AC44" s="5" t="s">
        <v>81</v>
      </c>
      <c r="AD44" s="5" t="s">
        <v>82</v>
      </c>
      <c r="AE44" s="5" t="s">
        <v>83</v>
      </c>
      <c r="AF44" s="5" t="s">
        <v>84</v>
      </c>
      <c r="AG44" s="5" t="s">
        <v>85</v>
      </c>
      <c r="AH44" s="5" t="s">
        <v>86</v>
      </c>
      <c r="AI44" s="5" t="s">
        <v>87</v>
      </c>
      <c r="AJ44" s="5" t="s">
        <v>88</v>
      </c>
      <c r="AK44" s="5" t="s">
        <v>89</v>
      </c>
      <c r="AL44" s="5" t="s">
        <v>90</v>
      </c>
      <c r="AM44" s="5" t="s">
        <v>91</v>
      </c>
      <c r="AN44" s="5" t="s">
        <v>92</v>
      </c>
      <c r="AO44" s="5" t="s">
        <v>93</v>
      </c>
      <c r="AP44" s="5" t="s">
        <v>94</v>
      </c>
      <c r="AQ44" s="5" t="s">
        <v>95</v>
      </c>
    </row>
    <row r="45" spans="1:43" ht="28.8" x14ac:dyDescent="0.3">
      <c r="A45" s="16" t="s">
        <v>2671</v>
      </c>
      <c r="B45" s="16" t="s">
        <v>2672</v>
      </c>
      <c r="C45" s="16">
        <v>73</v>
      </c>
      <c r="D45" s="17">
        <v>479315208</v>
      </c>
      <c r="E45" s="19">
        <v>48.793170000000003</v>
      </c>
      <c r="F45" s="19">
        <v>2.625702</v>
      </c>
      <c r="G45" s="16">
        <v>451647903</v>
      </c>
      <c r="H45" s="16">
        <v>1445</v>
      </c>
      <c r="I45" s="18">
        <v>43278</v>
      </c>
      <c r="J45" s="16" t="s">
        <v>3319</v>
      </c>
      <c r="K45" s="16" t="s">
        <v>290</v>
      </c>
      <c r="L45" s="16" t="s">
        <v>291</v>
      </c>
      <c r="M45" s="16" t="s">
        <v>292</v>
      </c>
      <c r="N45" s="16" t="s">
        <v>291</v>
      </c>
      <c r="O45" s="16" t="s">
        <v>293</v>
      </c>
      <c r="P45" s="16" t="s">
        <v>294</v>
      </c>
      <c r="Q45" s="16">
        <v>80</v>
      </c>
      <c r="R45" s="23">
        <v>14483424.640000001</v>
      </c>
      <c r="S45" s="16" t="s">
        <v>295</v>
      </c>
      <c r="T45" s="16" t="s">
        <v>663</v>
      </c>
      <c r="U45" s="16">
        <v>205262</v>
      </c>
      <c r="V45" s="16">
        <v>1.3507184640838318E-2</v>
      </c>
      <c r="W45" s="16">
        <v>43.542691369420503</v>
      </c>
      <c r="X45" s="16">
        <v>3.0785422298411</v>
      </c>
      <c r="Y45" s="16">
        <v>1.4677518076525793</v>
      </c>
      <c r="Z45" s="16">
        <v>48.088985406914176</v>
      </c>
      <c r="AA45" s="16"/>
      <c r="AB45" s="16"/>
      <c r="AC45" s="16" t="s">
        <v>402</v>
      </c>
      <c r="AD45" s="16" t="s">
        <v>361</v>
      </c>
      <c r="AE45" s="16">
        <v>1106</v>
      </c>
      <c r="AF45" s="16" t="s">
        <v>362</v>
      </c>
      <c r="AG45" s="16" t="s">
        <v>363</v>
      </c>
      <c r="AH45" s="16" t="s">
        <v>364</v>
      </c>
      <c r="AI45" s="16" t="s">
        <v>363</v>
      </c>
      <c r="AJ45" s="16" t="s">
        <v>364</v>
      </c>
      <c r="AK45" s="16" t="s">
        <v>2673</v>
      </c>
      <c r="AL45" s="21">
        <v>3601651111007</v>
      </c>
      <c r="AM45" s="16"/>
      <c r="AN45" s="16"/>
      <c r="AO45" s="16" t="s">
        <v>444</v>
      </c>
      <c r="AP45" s="16" t="s">
        <v>367</v>
      </c>
      <c r="AQ45" s="16" t="s">
        <v>306</v>
      </c>
    </row>
    <row r="46" spans="1:43" ht="15" thickBot="1" x14ac:dyDescent="0.35"/>
    <row r="47" spans="1:43" ht="24" thickBot="1" x14ac:dyDescent="0.5">
      <c r="A47" s="76" t="s">
        <v>247</v>
      </c>
      <c r="B47" s="77"/>
      <c r="C47" s="77"/>
      <c r="D47" s="77"/>
      <c r="E47" s="77"/>
      <c r="F47" s="78"/>
      <c r="G47" s="76" t="s">
        <v>247</v>
      </c>
      <c r="H47" s="77"/>
      <c r="I47" s="77"/>
      <c r="J47" s="77"/>
      <c r="K47" s="77"/>
      <c r="L47" s="78"/>
      <c r="M47" s="76" t="s">
        <v>247</v>
      </c>
      <c r="N47" s="77"/>
      <c r="O47" s="77"/>
      <c r="P47" s="77"/>
      <c r="Q47" s="77"/>
      <c r="R47" s="78"/>
      <c r="S47" s="76" t="s">
        <v>247</v>
      </c>
      <c r="T47" s="77"/>
      <c r="U47" s="77"/>
      <c r="V47" s="77"/>
      <c r="W47" s="77"/>
      <c r="X47" s="78"/>
      <c r="Y47" s="76" t="s">
        <v>247</v>
      </c>
      <c r="Z47" s="77"/>
      <c r="AA47" s="77"/>
      <c r="AB47" s="77"/>
      <c r="AC47" s="77"/>
      <c r="AD47" s="78"/>
    </row>
    <row r="48" spans="1:43" ht="28.8" x14ac:dyDescent="0.3">
      <c r="A48" s="9" t="s">
        <v>96</v>
      </c>
      <c r="B48" s="9" t="s">
        <v>97</v>
      </c>
      <c r="C48" s="9" t="s">
        <v>98</v>
      </c>
      <c r="D48" s="9" t="s">
        <v>99</v>
      </c>
      <c r="E48" s="9" t="s">
        <v>100</v>
      </c>
      <c r="F48" s="9" t="s">
        <v>101</v>
      </c>
      <c r="G48" s="5" t="s">
        <v>102</v>
      </c>
      <c r="H48" s="5" t="s">
        <v>103</v>
      </c>
      <c r="I48" s="5" t="s">
        <v>104</v>
      </c>
      <c r="J48" s="5" t="s">
        <v>105</v>
      </c>
      <c r="K48" s="5" t="s">
        <v>106</v>
      </c>
      <c r="L48" s="5" t="s">
        <v>107</v>
      </c>
      <c r="M48" s="5" t="s">
        <v>108</v>
      </c>
      <c r="N48" s="5" t="s">
        <v>109</v>
      </c>
      <c r="O48" s="5" t="s">
        <v>110</v>
      </c>
      <c r="P48" s="5" t="s">
        <v>111</v>
      </c>
      <c r="Q48" s="5" t="s">
        <v>112</v>
      </c>
      <c r="R48" s="5" t="s">
        <v>113</v>
      </c>
      <c r="S48" s="5" t="s">
        <v>114</v>
      </c>
      <c r="T48" s="5" t="s">
        <v>115</v>
      </c>
      <c r="U48" s="5" t="s">
        <v>116</v>
      </c>
      <c r="V48" s="5" t="s">
        <v>117</v>
      </c>
      <c r="W48" s="5" t="s">
        <v>118</v>
      </c>
      <c r="X48" s="5" t="s">
        <v>119</v>
      </c>
      <c r="Y48" s="5" t="s">
        <v>120</v>
      </c>
      <c r="Z48" s="5" t="s">
        <v>121</v>
      </c>
      <c r="AA48" s="5" t="s">
        <v>122</v>
      </c>
      <c r="AB48" s="5" t="s">
        <v>123</v>
      </c>
      <c r="AC48" s="5" t="s">
        <v>124</v>
      </c>
      <c r="AD48" s="5" t="s">
        <v>125</v>
      </c>
    </row>
    <row r="49" spans="1:30" x14ac:dyDescent="0.3">
      <c r="A49" s="20">
        <v>7250</v>
      </c>
      <c r="B49" s="20">
        <v>3125</v>
      </c>
      <c r="C49" s="20">
        <v>3000</v>
      </c>
      <c r="D49" s="20" t="s">
        <v>309</v>
      </c>
      <c r="E49" s="20" t="s">
        <v>308</v>
      </c>
      <c r="F49" s="20"/>
      <c r="G49" s="20">
        <v>3619</v>
      </c>
      <c r="H49" s="20">
        <v>3500</v>
      </c>
      <c r="I49" s="20" t="s">
        <v>307</v>
      </c>
      <c r="J49" s="20">
        <v>3619</v>
      </c>
      <c r="K49" s="20">
        <v>3619</v>
      </c>
      <c r="L49" s="20">
        <v>0</v>
      </c>
      <c r="M49" s="20">
        <v>0</v>
      </c>
      <c r="N49" s="20">
        <v>1400</v>
      </c>
      <c r="O49" s="20">
        <v>2219</v>
      </c>
      <c r="P49" s="20">
        <v>0</v>
      </c>
      <c r="Q49" s="20">
        <v>0</v>
      </c>
      <c r="R49" s="20">
        <v>0</v>
      </c>
      <c r="S49" s="20" t="s">
        <v>409</v>
      </c>
      <c r="T49" s="20" t="s">
        <v>2674</v>
      </c>
      <c r="U49" s="20"/>
      <c r="V49" s="20"/>
      <c r="W49" s="20">
        <v>685</v>
      </c>
      <c r="X49" s="20">
        <v>0</v>
      </c>
      <c r="Y49" s="20">
        <v>0</v>
      </c>
      <c r="Z49" s="20" t="s">
        <v>479</v>
      </c>
      <c r="AA49" s="20">
        <v>643</v>
      </c>
      <c r="AB49" s="20">
        <v>91</v>
      </c>
      <c r="AC49" s="20">
        <v>130</v>
      </c>
      <c r="AD49" s="16">
        <v>200</v>
      </c>
    </row>
    <row r="50" spans="1:30" ht="15" thickBot="1" x14ac:dyDescent="0.35"/>
    <row r="51" spans="1:30" ht="24" thickBot="1" x14ac:dyDescent="0.5">
      <c r="A51" s="52" t="s">
        <v>248</v>
      </c>
      <c r="B51" s="53"/>
      <c r="C51" s="54"/>
    </row>
    <row r="52" spans="1:30" x14ac:dyDescent="0.3">
      <c r="A52" s="9" t="s">
        <v>126</v>
      </c>
      <c r="B52" s="9" t="s">
        <v>127</v>
      </c>
      <c r="C52" s="9" t="s">
        <v>128</v>
      </c>
    </row>
    <row r="53" spans="1:30" x14ac:dyDescent="0.3">
      <c r="A53" s="16" t="s">
        <v>371</v>
      </c>
      <c r="B53" s="16"/>
      <c r="C53" s="16">
        <v>2018</v>
      </c>
    </row>
    <row r="54" spans="1:30" ht="15" thickBot="1" x14ac:dyDescent="0.35"/>
    <row r="55" spans="1:30" ht="24" thickBot="1" x14ac:dyDescent="0.5">
      <c r="A55" s="55" t="s">
        <v>249</v>
      </c>
      <c r="B55" s="56"/>
      <c r="C55" s="56"/>
      <c r="D55" s="56"/>
      <c r="E55" s="56"/>
      <c r="F55" s="57"/>
      <c r="G55" s="55" t="s">
        <v>249</v>
      </c>
      <c r="H55" s="56"/>
      <c r="I55" s="56"/>
      <c r="J55" s="56"/>
      <c r="K55" s="56"/>
      <c r="L55" s="57"/>
    </row>
    <row r="56" spans="1:30" ht="28.8" x14ac:dyDescent="0.3">
      <c r="A56" s="9" t="s">
        <v>129</v>
      </c>
      <c r="B56" s="9" t="s">
        <v>130</v>
      </c>
      <c r="C56" s="9" t="s">
        <v>131</v>
      </c>
      <c r="D56" s="9" t="s">
        <v>132</v>
      </c>
      <c r="E56" s="9" t="s">
        <v>133</v>
      </c>
      <c r="F56" s="9" t="s">
        <v>134</v>
      </c>
      <c r="G56" s="5" t="s">
        <v>135</v>
      </c>
      <c r="H56" s="5" t="s">
        <v>136</v>
      </c>
      <c r="I56" s="5" t="s">
        <v>137</v>
      </c>
      <c r="J56" s="5" t="s">
        <v>138</v>
      </c>
      <c r="K56" s="5" t="s">
        <v>139</v>
      </c>
      <c r="L56" s="5" t="s">
        <v>140</v>
      </c>
    </row>
    <row r="57" spans="1:30" x14ac:dyDescent="0.3">
      <c r="A57" s="16">
        <v>2</v>
      </c>
      <c r="B57" s="16">
        <v>2</v>
      </c>
      <c r="C57" s="16">
        <v>6</v>
      </c>
      <c r="D57" s="16">
        <v>2</v>
      </c>
      <c r="E57" s="16">
        <v>0</v>
      </c>
      <c r="F57" s="16">
        <v>0</v>
      </c>
      <c r="G57" s="16">
        <v>10</v>
      </c>
      <c r="H57" s="16">
        <v>2018</v>
      </c>
      <c r="I57" s="16"/>
      <c r="J57" s="16"/>
      <c r="K57" s="16" t="s">
        <v>313</v>
      </c>
      <c r="L57" s="16" t="s">
        <v>314</v>
      </c>
    </row>
    <row r="58" spans="1:30" ht="15" thickBot="1" x14ac:dyDescent="0.35"/>
    <row r="59" spans="1:30" ht="24" thickBot="1" x14ac:dyDescent="0.5">
      <c r="A59" s="58" t="s">
        <v>250</v>
      </c>
      <c r="B59" s="59"/>
      <c r="C59" s="59"/>
      <c r="D59" s="59"/>
      <c r="E59" s="60"/>
    </row>
    <row r="60" spans="1:30" x14ac:dyDescent="0.3">
      <c r="A60" s="9" t="s">
        <v>141</v>
      </c>
      <c r="B60" s="9" t="s">
        <v>142</v>
      </c>
      <c r="C60" s="9" t="s">
        <v>143</v>
      </c>
      <c r="D60" s="9" t="s">
        <v>144</v>
      </c>
      <c r="E60" s="9" t="s">
        <v>145</v>
      </c>
    </row>
    <row r="61" spans="1:30" x14ac:dyDescent="0.3">
      <c r="A61" s="16">
        <v>32</v>
      </c>
      <c r="B61" s="21">
        <v>32</v>
      </c>
      <c r="C61" s="16">
        <v>12</v>
      </c>
      <c r="D61" s="16" t="s">
        <v>315</v>
      </c>
      <c r="E61" s="16">
        <v>23</v>
      </c>
    </row>
    <row r="62" spans="1:30" ht="15" thickBot="1" x14ac:dyDescent="0.35"/>
    <row r="63" spans="1:30" ht="24" thickBot="1" x14ac:dyDescent="0.5">
      <c r="A63" s="61" t="s">
        <v>251</v>
      </c>
      <c r="B63" s="62"/>
      <c r="C63" s="62"/>
      <c r="D63" s="62"/>
      <c r="E63" s="62"/>
      <c r="F63" s="63"/>
      <c r="G63" s="70" t="s">
        <v>251</v>
      </c>
      <c r="H63" s="71"/>
      <c r="I63" s="72"/>
      <c r="J63"/>
      <c r="K63"/>
      <c r="L63"/>
    </row>
    <row r="64" spans="1:30" ht="28.8" x14ac:dyDescent="0.3">
      <c r="A64" s="9" t="s">
        <v>146</v>
      </c>
      <c r="B64" s="9" t="s">
        <v>147</v>
      </c>
      <c r="C64" s="9" t="s">
        <v>148</v>
      </c>
      <c r="D64" s="9" t="s">
        <v>149</v>
      </c>
      <c r="E64" s="9" t="s">
        <v>150</v>
      </c>
      <c r="F64" s="9" t="s">
        <v>151</v>
      </c>
      <c r="G64" s="5" t="s">
        <v>152</v>
      </c>
      <c r="H64" s="5" t="s">
        <v>153</v>
      </c>
      <c r="I64" s="5" t="s">
        <v>154</v>
      </c>
    </row>
    <row r="65" spans="1:37" x14ac:dyDescent="0.3">
      <c r="A65" s="22">
        <v>75</v>
      </c>
      <c r="B65" s="16" t="s">
        <v>316</v>
      </c>
      <c r="C65" s="22">
        <v>4</v>
      </c>
      <c r="D65" s="16">
        <v>0</v>
      </c>
      <c r="E65" s="16"/>
      <c r="F65" s="22">
        <v>152</v>
      </c>
      <c r="G65" s="16">
        <v>0</v>
      </c>
      <c r="H65" s="16" t="s">
        <v>316</v>
      </c>
      <c r="I65" s="16">
        <v>0</v>
      </c>
    </row>
    <row r="66" spans="1:37" ht="15" thickBot="1" x14ac:dyDescent="0.35"/>
    <row r="67" spans="1:37" ht="24" thickBot="1" x14ac:dyDescent="0.5">
      <c r="A67" s="64" t="s">
        <v>252</v>
      </c>
      <c r="B67" s="65"/>
      <c r="C67" s="65"/>
      <c r="D67" s="65"/>
      <c r="E67" s="65"/>
      <c r="F67" s="66"/>
      <c r="G67" s="64" t="s">
        <v>252</v>
      </c>
      <c r="H67" s="65"/>
      <c r="I67" s="65"/>
      <c r="J67" s="65"/>
      <c r="K67" s="65"/>
      <c r="L67" s="66"/>
      <c r="M67" s="64" t="s">
        <v>252</v>
      </c>
      <c r="N67" s="65"/>
      <c r="O67" s="65"/>
      <c r="P67" s="65"/>
      <c r="Q67" s="65"/>
      <c r="R67" s="66"/>
      <c r="S67" s="112" t="s">
        <v>252</v>
      </c>
      <c r="T67" s="113"/>
      <c r="U67" s="113"/>
      <c r="V67" s="113"/>
      <c r="W67" s="113"/>
      <c r="X67" s="113"/>
      <c r="Y67" s="114"/>
      <c r="Z67" s="64" t="s">
        <v>252</v>
      </c>
      <c r="AA67" s="65"/>
      <c r="AB67" s="65"/>
      <c r="AC67" s="65"/>
      <c r="AD67" s="65"/>
      <c r="AE67" s="66"/>
      <c r="AF67" s="112" t="s">
        <v>252</v>
      </c>
      <c r="AG67" s="113"/>
      <c r="AH67" s="114"/>
      <c r="AI67"/>
      <c r="AJ67"/>
      <c r="AK67"/>
    </row>
    <row r="68" spans="1:37" ht="28.8" x14ac:dyDescent="0.3">
      <c r="A68" s="9" t="s">
        <v>155</v>
      </c>
      <c r="B68" s="9" t="s">
        <v>156</v>
      </c>
      <c r="C68" s="9" t="s">
        <v>157</v>
      </c>
      <c r="D68" s="9" t="s">
        <v>158</v>
      </c>
      <c r="E68" s="9" t="s">
        <v>159</v>
      </c>
      <c r="F68" s="9" t="s">
        <v>160</v>
      </c>
      <c r="G68" s="5" t="s">
        <v>161</v>
      </c>
      <c r="H68" s="5" t="s">
        <v>162</v>
      </c>
      <c r="I68" s="5" t="s">
        <v>163</v>
      </c>
      <c r="J68" s="5" t="s">
        <v>164</v>
      </c>
      <c r="K68" s="5" t="s">
        <v>165</v>
      </c>
      <c r="L68" s="5" t="s">
        <v>166</v>
      </c>
      <c r="M68" s="5" t="s">
        <v>167</v>
      </c>
      <c r="N68" s="5" t="s">
        <v>168</v>
      </c>
      <c r="O68" s="5" t="s">
        <v>169</v>
      </c>
      <c r="P68" s="5" t="s">
        <v>170</v>
      </c>
      <c r="Q68" s="5" t="s">
        <v>171</v>
      </c>
      <c r="R68" s="5" t="s">
        <v>172</v>
      </c>
      <c r="S68" s="9" t="s">
        <v>173</v>
      </c>
      <c r="T68" s="9" t="s">
        <v>174</v>
      </c>
      <c r="U68" s="9" t="s">
        <v>175</v>
      </c>
      <c r="V68" s="9" t="s">
        <v>176</v>
      </c>
      <c r="W68" s="9" t="s">
        <v>177</v>
      </c>
      <c r="X68" s="9" t="s">
        <v>178</v>
      </c>
      <c r="Y68" s="9" t="s">
        <v>179</v>
      </c>
      <c r="Z68" s="5" t="s">
        <v>180</v>
      </c>
      <c r="AA68" s="5" t="s">
        <v>181</v>
      </c>
      <c r="AB68" s="5" t="s">
        <v>182</v>
      </c>
      <c r="AC68" s="5" t="s">
        <v>183</v>
      </c>
      <c r="AD68" s="5" t="s">
        <v>184</v>
      </c>
      <c r="AE68" s="5" t="s">
        <v>185</v>
      </c>
      <c r="AF68" s="5" t="s">
        <v>186</v>
      </c>
      <c r="AG68" s="5" t="s">
        <v>187</v>
      </c>
      <c r="AH68" s="5" t="s">
        <v>188</v>
      </c>
    </row>
    <row r="69" spans="1:37" x14ac:dyDescent="0.3">
      <c r="A69" s="16" t="s">
        <v>412</v>
      </c>
      <c r="B69" s="18">
        <v>43278</v>
      </c>
      <c r="C69" s="16" t="s">
        <v>413</v>
      </c>
      <c r="D69" s="16">
        <v>1</v>
      </c>
      <c r="E69" s="16"/>
      <c r="F69" s="18"/>
      <c r="G69" s="16"/>
      <c r="H69" s="16" t="s">
        <v>322</v>
      </c>
      <c r="I69" s="16" t="s">
        <v>319</v>
      </c>
      <c r="J69" s="16" t="s">
        <v>319</v>
      </c>
      <c r="K69" s="16" t="s">
        <v>319</v>
      </c>
      <c r="L69" s="16" t="s">
        <v>1143</v>
      </c>
      <c r="M69" s="22">
        <v>18.97</v>
      </c>
      <c r="N69" s="22"/>
      <c r="O69" s="16"/>
      <c r="P69" s="16" t="s">
        <v>322</v>
      </c>
      <c r="Q69" s="16" t="s">
        <v>323</v>
      </c>
      <c r="R69" s="16" t="s">
        <v>324</v>
      </c>
      <c r="S69" s="16" t="s">
        <v>325</v>
      </c>
      <c r="T69" s="16"/>
      <c r="U69" s="16"/>
      <c r="V69" s="17"/>
      <c r="W69" s="16" t="s">
        <v>322</v>
      </c>
      <c r="X69" s="16" t="s">
        <v>322</v>
      </c>
      <c r="Y69" s="16" t="s">
        <v>322</v>
      </c>
      <c r="Z69" s="16"/>
      <c r="AA69" s="16" t="s">
        <v>319</v>
      </c>
      <c r="AB69" s="16" t="s">
        <v>322</v>
      </c>
      <c r="AC69" s="16" t="s">
        <v>322</v>
      </c>
      <c r="AD69" s="16" t="s">
        <v>322</v>
      </c>
      <c r="AE69" s="16" t="s">
        <v>319</v>
      </c>
      <c r="AF69" s="16" t="s">
        <v>322</v>
      </c>
      <c r="AG69" s="16" t="s">
        <v>667</v>
      </c>
      <c r="AH69" s="16"/>
    </row>
    <row r="70" spans="1:37" ht="15" thickBot="1" x14ac:dyDescent="0.35"/>
    <row r="71" spans="1:37" ht="24" thickBot="1" x14ac:dyDescent="0.5">
      <c r="A71" s="67" t="s">
        <v>253</v>
      </c>
      <c r="B71" s="68"/>
      <c r="C71" s="68"/>
      <c r="D71" s="68"/>
      <c r="E71" s="68"/>
      <c r="F71" s="69"/>
      <c r="G71" s="67" t="s">
        <v>253</v>
      </c>
      <c r="H71" s="68"/>
      <c r="I71" s="68"/>
      <c r="J71" s="68"/>
      <c r="K71" s="68"/>
      <c r="L71" s="69"/>
      <c r="M71" s="67" t="s">
        <v>253</v>
      </c>
      <c r="N71" s="68"/>
      <c r="O71" s="68"/>
      <c r="P71" s="68"/>
      <c r="Q71" s="68"/>
      <c r="R71" s="69"/>
      <c r="S71" s="67" t="s">
        <v>253</v>
      </c>
      <c r="T71" s="68"/>
      <c r="U71" s="68"/>
      <c r="V71" s="68"/>
      <c r="W71" s="68"/>
      <c r="X71" s="69"/>
      <c r="Y71" s="67" t="s">
        <v>253</v>
      </c>
      <c r="Z71" s="68"/>
      <c r="AA71" s="68"/>
      <c r="AB71" s="68"/>
      <c r="AC71" s="68"/>
      <c r="AD71" s="69"/>
      <c r="AE71" s="109" t="s">
        <v>253</v>
      </c>
      <c r="AF71" s="110"/>
      <c r="AG71" s="110"/>
      <c r="AH71" s="111"/>
      <c r="AI71"/>
      <c r="AJ71"/>
    </row>
    <row r="72" spans="1:37" ht="28.8" x14ac:dyDescent="0.3">
      <c r="A72" s="9" t="s">
        <v>189</v>
      </c>
      <c r="B72" s="9" t="s">
        <v>190</v>
      </c>
      <c r="C72" s="9" t="s">
        <v>191</v>
      </c>
      <c r="D72" s="9" t="s">
        <v>192</v>
      </c>
      <c r="E72" s="9" t="s">
        <v>193</v>
      </c>
      <c r="F72" s="9" t="s">
        <v>194</v>
      </c>
      <c r="G72" s="5" t="s">
        <v>195</v>
      </c>
      <c r="H72" s="5" t="s">
        <v>196</v>
      </c>
      <c r="I72" s="5" t="s">
        <v>197</v>
      </c>
      <c r="J72" s="5" t="s">
        <v>198</v>
      </c>
      <c r="K72" s="5" t="s">
        <v>199</v>
      </c>
      <c r="L72" s="5" t="s">
        <v>200</v>
      </c>
      <c r="M72" s="5" t="s">
        <v>201</v>
      </c>
      <c r="N72" s="5" t="s">
        <v>202</v>
      </c>
      <c r="O72" s="5" t="s">
        <v>203</v>
      </c>
      <c r="P72" s="5" t="s">
        <v>204</v>
      </c>
      <c r="Q72" s="5" t="s">
        <v>205</v>
      </c>
      <c r="R72" s="5" t="s">
        <v>206</v>
      </c>
      <c r="S72" s="5" t="s">
        <v>207</v>
      </c>
      <c r="T72" s="5" t="s">
        <v>208</v>
      </c>
      <c r="U72" s="5" t="s">
        <v>209</v>
      </c>
      <c r="V72" s="5" t="s">
        <v>210</v>
      </c>
      <c r="W72" s="5" t="s">
        <v>211</v>
      </c>
      <c r="X72" s="5" t="s">
        <v>212</v>
      </c>
      <c r="Y72" s="5" t="s">
        <v>213</v>
      </c>
      <c r="Z72" s="5" t="s">
        <v>214</v>
      </c>
      <c r="AA72" s="5" t="s">
        <v>215</v>
      </c>
      <c r="AB72" s="5" t="s">
        <v>216</v>
      </c>
      <c r="AC72" s="5" t="s">
        <v>217</v>
      </c>
      <c r="AD72" s="5" t="s">
        <v>218</v>
      </c>
      <c r="AE72" s="5" t="s">
        <v>219</v>
      </c>
      <c r="AF72" s="5" t="s">
        <v>220</v>
      </c>
      <c r="AG72" s="5" t="s">
        <v>221</v>
      </c>
      <c r="AH72" s="5" t="s">
        <v>222</v>
      </c>
    </row>
    <row r="73" spans="1:37" ht="28.8" x14ac:dyDescent="0.3">
      <c r="A73" s="16" t="s">
        <v>322</v>
      </c>
      <c r="B73" s="16"/>
      <c r="C73" s="18" t="s">
        <v>322</v>
      </c>
      <c r="D73" s="18">
        <v>43101</v>
      </c>
      <c r="E73" s="16" t="s">
        <v>322</v>
      </c>
      <c r="F73" s="16" t="s">
        <v>322</v>
      </c>
      <c r="G73" s="18">
        <v>43272</v>
      </c>
      <c r="H73" s="16" t="s">
        <v>319</v>
      </c>
      <c r="I73" s="18" t="s">
        <v>2675</v>
      </c>
      <c r="J73" s="16" t="s">
        <v>2676</v>
      </c>
      <c r="K73" s="16" t="s">
        <v>319</v>
      </c>
      <c r="L73" s="16" t="s">
        <v>448</v>
      </c>
      <c r="M73" s="18" t="s">
        <v>319</v>
      </c>
      <c r="N73" s="16" t="s">
        <v>319</v>
      </c>
      <c r="O73" s="16" t="s">
        <v>319</v>
      </c>
      <c r="P73" s="16" t="s">
        <v>319</v>
      </c>
      <c r="Q73" s="16" t="s">
        <v>319</v>
      </c>
      <c r="R73" s="16" t="s">
        <v>319</v>
      </c>
      <c r="S73" s="16" t="s">
        <v>319</v>
      </c>
      <c r="T73" s="18">
        <v>44085</v>
      </c>
      <c r="U73" s="18">
        <v>43278</v>
      </c>
      <c r="V73" s="16"/>
      <c r="W73" s="16"/>
      <c r="X73" s="16"/>
      <c r="Y73" s="16"/>
      <c r="Z73" s="16"/>
      <c r="AA73" s="16" t="s">
        <v>322</v>
      </c>
      <c r="AB73" s="16"/>
      <c r="AC73" s="16" t="s">
        <v>794</v>
      </c>
      <c r="AD73" s="18">
        <v>43101</v>
      </c>
      <c r="AE73" s="16"/>
      <c r="AF73" s="16" t="s">
        <v>319</v>
      </c>
      <c r="AG73" s="16" t="s">
        <v>322</v>
      </c>
      <c r="AH73" s="16"/>
    </row>
    <row r="74" spans="1:37" ht="15" thickBot="1" x14ac:dyDescent="0.35"/>
    <row r="75" spans="1:37" ht="24" thickBot="1" x14ac:dyDescent="0.5">
      <c r="A75" s="41" t="s">
        <v>254</v>
      </c>
      <c r="B75" s="42"/>
      <c r="C75" s="42"/>
      <c r="D75" s="42"/>
      <c r="E75" s="43"/>
    </row>
    <row r="76" spans="1:37" ht="28.8" x14ac:dyDescent="0.3">
      <c r="A76" s="9" t="s">
        <v>223</v>
      </c>
      <c r="B76" s="9" t="s">
        <v>224</v>
      </c>
      <c r="C76" s="9" t="s">
        <v>225</v>
      </c>
      <c r="D76" s="9" t="s">
        <v>226</v>
      </c>
      <c r="E76" s="9" t="s">
        <v>227</v>
      </c>
    </row>
    <row r="77" spans="1:37" x14ac:dyDescent="0.3">
      <c r="A77" s="16"/>
      <c r="B77" s="16"/>
      <c r="C77" s="16"/>
      <c r="D77" s="16"/>
      <c r="E77" s="16"/>
    </row>
    <row r="78" spans="1:37" ht="15" thickBot="1" x14ac:dyDescent="0.35"/>
    <row r="79" spans="1:37" ht="24" thickBot="1" x14ac:dyDescent="0.5">
      <c r="A79" s="49" t="s">
        <v>255</v>
      </c>
      <c r="B79" s="50"/>
      <c r="C79" s="50"/>
      <c r="D79" s="50"/>
      <c r="E79" s="50"/>
      <c r="F79" s="50"/>
      <c r="G79" s="50"/>
      <c r="H79" s="51"/>
    </row>
    <row r="80" spans="1:37" ht="28.8" x14ac:dyDescent="0.3">
      <c r="A80" s="9" t="s">
        <v>228</v>
      </c>
      <c r="B80" s="9" t="s">
        <v>229</v>
      </c>
      <c r="C80" s="9" t="s">
        <v>230</v>
      </c>
      <c r="D80" s="9" t="s">
        <v>231</v>
      </c>
      <c r="E80" s="9" t="s">
        <v>232</v>
      </c>
      <c r="F80" s="9" t="s">
        <v>233</v>
      </c>
      <c r="G80" s="9" t="s">
        <v>234</v>
      </c>
      <c r="H80" s="9" t="s">
        <v>235</v>
      </c>
    </row>
    <row r="81" spans="1:8" ht="28.8" x14ac:dyDescent="0.3">
      <c r="A81" s="16" t="s">
        <v>331</v>
      </c>
      <c r="B81" s="16"/>
      <c r="C81" s="16">
        <v>40638920</v>
      </c>
      <c r="D81" s="16">
        <v>99102570675</v>
      </c>
      <c r="E81" s="16" t="s">
        <v>2677</v>
      </c>
      <c r="F81" s="16"/>
      <c r="G81" s="16"/>
      <c r="H81" s="16" t="s">
        <v>2678</v>
      </c>
    </row>
    <row r="82" spans="1:8" ht="15" thickBot="1" x14ac:dyDescent="0.35"/>
    <row r="83" spans="1:8" ht="24" thickBot="1" x14ac:dyDescent="0.5">
      <c r="A83" s="44" t="s">
        <v>256</v>
      </c>
      <c r="B83" s="45"/>
    </row>
    <row r="84" spans="1:8" x14ac:dyDescent="0.3">
      <c r="A84" s="9" t="s">
        <v>236</v>
      </c>
      <c r="B84" s="9" t="s">
        <v>237</v>
      </c>
    </row>
    <row r="85" spans="1:8" x14ac:dyDescent="0.3">
      <c r="A85" s="16">
        <v>903585</v>
      </c>
      <c r="B85" s="16" t="s">
        <v>2679</v>
      </c>
    </row>
    <row r="86" spans="1:8" ht="15" thickBot="1" x14ac:dyDescent="0.35"/>
    <row r="87" spans="1:8" ht="24" thickBot="1" x14ac:dyDescent="0.5">
      <c r="A87" s="46" t="s">
        <v>257</v>
      </c>
      <c r="B87" s="47"/>
      <c r="C87" s="47"/>
      <c r="D87" s="47"/>
      <c r="E87" s="47"/>
      <c r="F87" s="47"/>
      <c r="G87" s="48"/>
    </row>
    <row r="88" spans="1:8" x14ac:dyDescent="0.3">
      <c r="A88" s="9" t="s">
        <v>238</v>
      </c>
      <c r="B88" s="9" t="s">
        <v>239</v>
      </c>
      <c r="C88" s="9" t="s">
        <v>240</v>
      </c>
      <c r="D88" s="9" t="s">
        <v>241</v>
      </c>
      <c r="E88" s="9" t="s">
        <v>242</v>
      </c>
      <c r="F88" s="9" t="s">
        <v>243</v>
      </c>
      <c r="G88" s="9" t="s">
        <v>244</v>
      </c>
    </row>
    <row r="89" spans="1:8" x14ac:dyDescent="0.3">
      <c r="A89" s="16">
        <v>0</v>
      </c>
      <c r="B89" s="16">
        <v>0</v>
      </c>
      <c r="C89" s="16">
        <v>0</v>
      </c>
      <c r="D89" s="16">
        <v>2.8</v>
      </c>
      <c r="E89" s="16">
        <v>2.8</v>
      </c>
      <c r="F89" s="16">
        <v>2</v>
      </c>
      <c r="G89" s="16">
        <v>2</v>
      </c>
    </row>
    <row r="93" spans="1:8" x14ac:dyDescent="0.3">
      <c r="A93" s="24"/>
    </row>
    <row r="249" spans="1:1" x14ac:dyDescent="0.3">
      <c r="A249" s="13"/>
    </row>
    <row r="629" spans="1:1" x14ac:dyDescent="0.3">
      <c r="A629" s="13"/>
    </row>
    <row r="645" spans="1:1" x14ac:dyDescent="0.3">
      <c r="A645" s="13"/>
    </row>
    <row r="773" spans="1:1" x14ac:dyDescent="0.3">
      <c r="A773" s="13"/>
    </row>
    <row r="837" spans="1:1" x14ac:dyDescent="0.3">
      <c r="A837" s="13"/>
    </row>
    <row r="841" spans="1:1" x14ac:dyDescent="0.3">
      <c r="A841" s="13"/>
    </row>
    <row r="877" spans="1:1" x14ac:dyDescent="0.3">
      <c r="A877" s="13"/>
    </row>
  </sheetData>
  <sheetProtection algorithmName="SHA-512" hashValue="iPD3js+16BvIZw5+QL8DqndbplkQXG5g6t5B4vjhcGAnRwOavhPmtKXI/b1g9kxp8q5vnwAOFRmJXkNzkNnItw==" saltValue="JjChOJCXhj8UcMZHT7lJfw==" spinCount="100000" sheet="1" objects="1" scenarios="1"/>
  <mergeCells count="45">
    <mergeCell ref="A75:E75"/>
    <mergeCell ref="A79:H79"/>
    <mergeCell ref="A83:B83"/>
    <mergeCell ref="A87:G87"/>
    <mergeCell ref="M67:R67"/>
    <mergeCell ref="S67:Y67"/>
    <mergeCell ref="Z67:AE67"/>
    <mergeCell ref="AF67:AH67"/>
    <mergeCell ref="A71:F71"/>
    <mergeCell ref="G71:L71"/>
    <mergeCell ref="M71:R71"/>
    <mergeCell ref="S71:X71"/>
    <mergeCell ref="Y71:AD71"/>
    <mergeCell ref="AE71:AH71"/>
    <mergeCell ref="A67:F67"/>
    <mergeCell ref="G67:L67"/>
    <mergeCell ref="A55:F55"/>
    <mergeCell ref="G55:L55"/>
    <mergeCell ref="A59:E59"/>
    <mergeCell ref="A63:F63"/>
    <mergeCell ref="G63:I63"/>
    <mergeCell ref="A51:C51"/>
    <mergeCell ref="G43:L43"/>
    <mergeCell ref="M43:R43"/>
    <mergeCell ref="S43:X43"/>
    <mergeCell ref="Y43:AD43"/>
    <mergeCell ref="A47:F47"/>
    <mergeCell ref="G47:L47"/>
    <mergeCell ref="M47:R47"/>
    <mergeCell ref="S47:X47"/>
    <mergeCell ref="Y47:AD47"/>
    <mergeCell ref="AE43:AJ43"/>
    <mergeCell ref="AK43:AQ43"/>
    <mergeCell ref="A23:E23"/>
    <mergeCell ref="A27:E27"/>
    <mergeCell ref="A31:E31"/>
    <mergeCell ref="A35:E35"/>
    <mergeCell ref="A39:D39"/>
    <mergeCell ref="A43:F43"/>
    <mergeCell ref="A19:E19"/>
    <mergeCell ref="A1:G1"/>
    <mergeCell ref="A3:F3"/>
    <mergeCell ref="A7:F7"/>
    <mergeCell ref="A11:F11"/>
    <mergeCell ref="A15:F15"/>
  </mergeCells>
  <dataValidations count="1">
    <dataValidation type="textLength" allowBlank="1" showInputMessage="1" showErrorMessage="1" sqref="B9 C13 C17 C21 E9 C25 C29 C33 C37 B41 D41 D45" xr:uid="{563B8D8E-EF1A-4C5D-8F8B-CD869E5CAB47}">
      <formula1>9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4" r:id="rId4" name="but_modif">
          <controlPr locked="0" defaultSize="0" autoLine="0" r:id="rId5">
            <anchor moveWithCells="1">
              <from>
                <xdr:col>2</xdr:col>
                <xdr:colOff>251460</xdr:colOff>
                <xdr:row>0</xdr:row>
                <xdr:rowOff>91440</xdr:rowOff>
              </from>
              <to>
                <xdr:col>2</xdr:col>
                <xdr:colOff>1508760</xdr:colOff>
                <xdr:row>1</xdr:row>
                <xdr:rowOff>76200</xdr:rowOff>
              </to>
            </anchor>
          </controlPr>
        </control>
      </mc:Choice>
      <mc:Fallback>
        <control shapeId="8204" r:id="rId4" name="but_modif"/>
      </mc:Fallback>
    </mc:AlternateContent>
    <mc:AlternateContent xmlns:mc="http://schemas.openxmlformats.org/markup-compatibility/2006">
      <mc:Choice Requires="x14">
        <control shapeId="8203" r:id="rId6" name="MajLstDepot">
          <controlPr locked="0" defaultSize="0" autoLine="0" r:id="rId7">
            <anchor moveWithCells="1">
              <from>
                <xdr:col>5</xdr:col>
                <xdr:colOff>198120</xdr:colOff>
                <xdr:row>0</xdr:row>
                <xdr:rowOff>45720</xdr:rowOff>
              </from>
              <to>
                <xdr:col>5</xdr:col>
                <xdr:colOff>1524000</xdr:colOff>
                <xdr:row>1</xdr:row>
                <xdr:rowOff>60960</xdr:rowOff>
              </to>
            </anchor>
          </controlPr>
        </control>
      </mc:Choice>
      <mc:Fallback>
        <control shapeId="8203" r:id="rId6" name="MajLstDepot"/>
      </mc:Fallback>
    </mc:AlternateContent>
    <mc:AlternateContent xmlns:mc="http://schemas.openxmlformats.org/markup-compatibility/2006">
      <mc:Choice Requires="x14">
        <control shapeId="8201" r:id="rId8" name="lst_ModifDepot">
          <controlPr locked="0" defaultSize="0" autoLine="0" autoPict="0" r:id="rId9">
            <anchor moveWithCells="1">
              <from>
                <xdr:col>3</xdr:col>
                <xdr:colOff>1539240</xdr:colOff>
                <xdr:row>0</xdr:row>
                <xdr:rowOff>76200</xdr:rowOff>
              </from>
              <to>
                <xdr:col>4</xdr:col>
                <xdr:colOff>1516380</xdr:colOff>
                <xdr:row>1</xdr:row>
                <xdr:rowOff>38100</xdr:rowOff>
              </to>
            </anchor>
          </controlPr>
        </control>
      </mc:Choice>
      <mc:Fallback>
        <control shapeId="8201" r:id="rId8" name="lst_ModifDepot"/>
      </mc:Fallback>
    </mc:AlternateContent>
    <mc:AlternateContent xmlns:mc="http://schemas.openxmlformats.org/markup-compatibility/2006">
      <mc:Choice Requires="x14">
        <control shapeId="8199" r:id="rId10" name="lbl_dir">
          <controlPr locked="0" defaultSize="0" autoLine="0" r:id="rId11">
            <anchor moveWithCells="1">
              <from>
                <xdr:col>0</xdr:col>
                <xdr:colOff>60960</xdr:colOff>
                <xdr:row>0</xdr:row>
                <xdr:rowOff>0</xdr:rowOff>
              </from>
              <to>
                <xdr:col>0</xdr:col>
                <xdr:colOff>1181100</xdr:colOff>
                <xdr:row>0</xdr:row>
                <xdr:rowOff>266700</xdr:rowOff>
              </to>
            </anchor>
          </controlPr>
        </control>
      </mc:Choice>
      <mc:Fallback>
        <control shapeId="8199" r:id="rId10" name="lbl_dir"/>
      </mc:Fallback>
    </mc:AlternateContent>
    <mc:AlternateContent xmlns:mc="http://schemas.openxmlformats.org/markup-compatibility/2006">
      <mc:Choice Requires="x14">
        <control shapeId="8198" r:id="rId12" name="but_goAllRight">
          <controlPr locked="0" defaultSize="0" autoLine="0" r:id="rId13">
            <anchor moveWithCells="1">
              <from>
                <xdr:col>1</xdr:col>
                <xdr:colOff>68580</xdr:colOff>
                <xdr:row>1</xdr:row>
                <xdr:rowOff>83820</xdr:rowOff>
              </from>
              <to>
                <xdr:col>1</xdr:col>
                <xdr:colOff>1272540</xdr:colOff>
                <xdr:row>2</xdr:row>
                <xdr:rowOff>175260</xdr:rowOff>
              </to>
            </anchor>
          </controlPr>
        </control>
      </mc:Choice>
      <mc:Fallback>
        <control shapeId="8198" r:id="rId12" name="but_goAllRight"/>
      </mc:Fallback>
    </mc:AlternateContent>
    <mc:AlternateContent xmlns:mc="http://schemas.openxmlformats.org/markup-compatibility/2006">
      <mc:Choice Requires="x14">
        <control shapeId="8197" r:id="rId14" name="but_goAllLeft">
          <controlPr locked="0" defaultSize="0" autoLine="0" r:id="rId15">
            <anchor moveWithCells="1">
              <from>
                <xdr:col>0</xdr:col>
                <xdr:colOff>1394460</xdr:colOff>
                <xdr:row>1</xdr:row>
                <xdr:rowOff>83820</xdr:rowOff>
              </from>
              <to>
                <xdr:col>1</xdr:col>
                <xdr:colOff>60960</xdr:colOff>
                <xdr:row>2</xdr:row>
                <xdr:rowOff>175260</xdr:rowOff>
              </to>
            </anchor>
          </controlPr>
        </control>
      </mc:Choice>
      <mc:Fallback>
        <control shapeId="8197" r:id="rId14" name="but_goAllLeft"/>
      </mc:Fallback>
    </mc:AlternateContent>
    <mc:AlternateContent xmlns:mc="http://schemas.openxmlformats.org/markup-compatibility/2006">
      <mc:Choice Requires="x14">
        <control shapeId="8196" r:id="rId16" name="but_goTop">
          <controlPr locked="0" defaultSize="0" autoLine="0" r:id="rId17">
            <anchor moveWithCells="1">
              <from>
                <xdr:col>0</xdr:col>
                <xdr:colOff>1272540</xdr:colOff>
                <xdr:row>0</xdr:row>
                <xdr:rowOff>60960</xdr:rowOff>
              </from>
              <to>
                <xdr:col>0</xdr:col>
                <xdr:colOff>2156460</xdr:colOff>
                <xdr:row>1</xdr:row>
                <xdr:rowOff>38100</xdr:rowOff>
              </to>
            </anchor>
          </controlPr>
        </control>
      </mc:Choice>
      <mc:Fallback>
        <control shapeId="8196" r:id="rId16" name="but_goTop"/>
      </mc:Fallback>
    </mc:AlternateContent>
    <mc:AlternateContent xmlns:mc="http://schemas.openxmlformats.org/markup-compatibility/2006">
      <mc:Choice Requires="x14">
        <control shapeId="8195" r:id="rId18" name="but_goLeft">
          <controlPr locked="0" defaultSize="0" autoLine="0" r:id="rId19">
            <anchor moveWithCells="1">
              <from>
                <xdr:col>0</xdr:col>
                <xdr:colOff>2156460</xdr:colOff>
                <xdr:row>0</xdr:row>
                <xdr:rowOff>60960</xdr:rowOff>
              </from>
              <to>
                <xdr:col>1</xdr:col>
                <xdr:colOff>502920</xdr:colOff>
                <xdr:row>1</xdr:row>
                <xdr:rowOff>38100</xdr:rowOff>
              </to>
            </anchor>
          </controlPr>
        </control>
      </mc:Choice>
      <mc:Fallback>
        <control shapeId="8195" r:id="rId18" name="but_goLeft"/>
      </mc:Fallback>
    </mc:AlternateContent>
    <mc:AlternateContent xmlns:mc="http://schemas.openxmlformats.org/markup-compatibility/2006">
      <mc:Choice Requires="x14">
        <control shapeId="8194" r:id="rId20" name="but_goRight">
          <controlPr locked="0" defaultSize="0" autoLine="0" r:id="rId21">
            <anchor moveWithCells="1">
              <from>
                <xdr:col>1</xdr:col>
                <xdr:colOff>510540</xdr:colOff>
                <xdr:row>0</xdr:row>
                <xdr:rowOff>60960</xdr:rowOff>
              </from>
              <to>
                <xdr:col>1</xdr:col>
                <xdr:colOff>1386840</xdr:colOff>
                <xdr:row>1</xdr:row>
                <xdr:rowOff>38100</xdr:rowOff>
              </to>
            </anchor>
          </controlPr>
        </control>
      </mc:Choice>
      <mc:Fallback>
        <control shapeId="8194" r:id="rId20" name="but_goRigh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A1AED-EAE6-4718-BBE6-6FC6ECFE577D}">
  <sheetPr codeName="Fermeture_depot"/>
  <dimension ref="A1:HB877"/>
  <sheetViews>
    <sheetView showGridLines="0" zoomScaleNormal="100" workbookViewId="0">
      <selection activeCell="C7" sqref="C6:C7"/>
    </sheetView>
  </sheetViews>
  <sheetFormatPr baseColWidth="10" defaultRowHeight="14.4" x14ac:dyDescent="0.3"/>
  <cols>
    <col min="1" max="1" width="37" style="6" customWidth="1"/>
    <col min="2" max="2" width="27.44140625" style="6" bestFit="1" customWidth="1"/>
    <col min="3" max="3" width="29" style="6" bestFit="1" customWidth="1"/>
    <col min="4" max="4" width="28.44140625" style="6" customWidth="1"/>
    <col min="5" max="5" width="24.5546875" style="6" bestFit="1" customWidth="1"/>
    <col min="6" max="6" width="27.33203125" style="6" customWidth="1"/>
    <col min="7" max="7" width="26.77734375" style="6" bestFit="1" customWidth="1"/>
    <col min="8" max="8" width="26.88671875" style="6" bestFit="1" customWidth="1"/>
    <col min="9" max="9" width="27.21875" style="6" bestFit="1" customWidth="1"/>
    <col min="10" max="10" width="24.33203125" style="6" bestFit="1" customWidth="1"/>
    <col min="11" max="11" width="27.21875" style="6" bestFit="1" customWidth="1"/>
    <col min="12" max="12" width="18.88671875" style="6" customWidth="1"/>
    <col min="13" max="13" width="20.21875" style="6" customWidth="1"/>
    <col min="14" max="14" width="19.21875" style="6" customWidth="1"/>
    <col min="15" max="15" width="22.77734375" style="6" customWidth="1"/>
    <col min="16" max="16" width="19.33203125" style="6" customWidth="1"/>
    <col min="17" max="17" width="28.21875" style="6" bestFit="1" customWidth="1"/>
    <col min="18" max="18" width="20.21875" style="6" bestFit="1" customWidth="1"/>
    <col min="19" max="19" width="29.6640625" style="6" bestFit="1" customWidth="1"/>
    <col min="20" max="20" width="26.88671875" style="6" bestFit="1" customWidth="1"/>
    <col min="21" max="21" width="24" style="6" bestFit="1" customWidth="1"/>
    <col min="22" max="22" width="27.88671875" style="6" bestFit="1" customWidth="1"/>
    <col min="23" max="23" width="35.109375" style="6" bestFit="1" customWidth="1"/>
    <col min="24" max="24" width="25.6640625" style="6" bestFit="1" customWidth="1"/>
    <col min="25" max="25" width="29.6640625" style="6" bestFit="1" customWidth="1"/>
    <col min="26" max="27" width="23.33203125" style="6" bestFit="1" customWidth="1"/>
    <col min="28" max="28" width="25.44140625" style="6" bestFit="1" customWidth="1"/>
    <col min="29" max="29" width="21.6640625" style="6" bestFit="1" customWidth="1"/>
    <col min="30" max="30" width="22.44140625" style="6" bestFit="1" customWidth="1"/>
    <col min="31" max="31" width="33.21875" style="6" bestFit="1" customWidth="1"/>
    <col min="32" max="32" width="25.109375" style="6" bestFit="1" customWidth="1"/>
    <col min="33" max="33" width="23.5546875" style="6" bestFit="1" customWidth="1"/>
    <col min="34" max="34" width="19" style="6" bestFit="1" customWidth="1"/>
    <col min="35" max="35" width="13.21875" style="6" bestFit="1" customWidth="1"/>
    <col min="36" max="36" width="18.44140625" style="6" bestFit="1" customWidth="1"/>
    <col min="37" max="37" width="39.77734375" style="6" customWidth="1"/>
    <col min="38" max="38" width="22.77734375" style="6" bestFit="1" customWidth="1"/>
    <col min="39" max="39" width="27.6640625" style="6" bestFit="1" customWidth="1"/>
    <col min="40" max="40" width="26.6640625" style="6" bestFit="1" customWidth="1"/>
    <col min="41" max="41" width="18.33203125" style="6" bestFit="1" customWidth="1"/>
    <col min="42" max="42" width="22.88671875" style="6" bestFit="1" customWidth="1"/>
    <col min="43" max="43" width="23.33203125" style="6" bestFit="1" customWidth="1"/>
    <col min="44" max="44" width="19" style="6" bestFit="1" customWidth="1"/>
    <col min="45" max="45" width="18.88671875" style="6" bestFit="1" customWidth="1"/>
    <col min="46" max="46" width="23.44140625" style="6" bestFit="1" customWidth="1"/>
    <col min="47" max="47" width="11.88671875" style="6" bestFit="1" customWidth="1"/>
    <col min="48" max="48" width="25.44140625" style="6" bestFit="1" customWidth="1"/>
    <col min="49" max="49" width="9.109375" style="6" bestFit="1" customWidth="1"/>
    <col min="50" max="50" width="11.5546875" style="6" bestFit="1" customWidth="1"/>
    <col min="51" max="51" width="13.77734375" style="6" bestFit="1" customWidth="1"/>
    <col min="52" max="52" width="22.21875" style="6" bestFit="1" customWidth="1"/>
    <col min="53" max="53" width="26.77734375" style="6" bestFit="1" customWidth="1"/>
    <col min="54" max="54" width="24.44140625" style="6" bestFit="1" customWidth="1"/>
    <col min="55" max="55" width="16.5546875" style="6" bestFit="1" customWidth="1"/>
    <col min="56" max="56" width="18.33203125" style="6" bestFit="1" customWidth="1"/>
    <col min="57" max="57" width="21.109375" style="6" bestFit="1" customWidth="1"/>
    <col min="58" max="58" width="31.6640625" style="6" bestFit="1" customWidth="1"/>
    <col min="59" max="59" width="36.88671875" style="6" bestFit="1" customWidth="1"/>
    <col min="60" max="60" width="36.33203125" style="6" bestFit="1" customWidth="1"/>
    <col min="61" max="61" width="9.88671875" style="6" bestFit="1" customWidth="1"/>
    <col min="62" max="62" width="13.5546875" style="6" bestFit="1" customWidth="1"/>
    <col min="63" max="63" width="38.88671875" style="6" bestFit="1" customWidth="1"/>
    <col min="64" max="64" width="12.6640625" style="6" bestFit="1" customWidth="1"/>
    <col min="65" max="65" width="24.88671875" style="6" bestFit="1" customWidth="1"/>
    <col min="66" max="66" width="16.5546875" style="6" bestFit="1" customWidth="1"/>
    <col min="67" max="67" width="13.5546875" style="6" bestFit="1" customWidth="1"/>
    <col min="68" max="68" width="15.6640625" style="6" bestFit="1" customWidth="1"/>
    <col min="69" max="69" width="16.21875" style="6" bestFit="1" customWidth="1"/>
    <col min="70" max="70" width="36.88671875" style="6" bestFit="1" customWidth="1"/>
    <col min="71" max="71" width="18.5546875" style="6" bestFit="1" customWidth="1"/>
    <col min="72" max="72" width="17.109375" style="6" bestFit="1" customWidth="1"/>
    <col min="73" max="73" width="23.5546875" style="6" bestFit="1" customWidth="1"/>
    <col min="74" max="74" width="26.6640625" style="6" bestFit="1" customWidth="1"/>
    <col min="75" max="75" width="15.44140625" style="6" bestFit="1" customWidth="1"/>
    <col min="76" max="76" width="18.21875" style="6" bestFit="1" customWidth="1"/>
    <col min="77" max="77" width="12.33203125" style="6" bestFit="1" customWidth="1"/>
    <col min="78" max="78" width="22.109375" style="6" bestFit="1" customWidth="1"/>
    <col min="79" max="79" width="16.109375" style="6" bestFit="1" customWidth="1"/>
    <col min="80" max="80" width="32.21875" style="6" bestFit="1" customWidth="1"/>
    <col min="81" max="81" width="27.33203125" style="6" bestFit="1" customWidth="1"/>
    <col min="82" max="82" width="13.77734375" style="6" bestFit="1" customWidth="1"/>
    <col min="83" max="83" width="26.77734375" style="6" bestFit="1" customWidth="1"/>
    <col min="84" max="84" width="26.6640625" style="6" bestFit="1" customWidth="1"/>
    <col min="85" max="86" width="19" style="6" bestFit="1" customWidth="1"/>
    <col min="87" max="87" width="14" style="6" bestFit="1" customWidth="1"/>
    <col min="88" max="88" width="24" style="6" bestFit="1" customWidth="1"/>
    <col min="89" max="89" width="4.33203125" style="6" bestFit="1" customWidth="1"/>
    <col min="90" max="90" width="29" style="6" bestFit="1" customWidth="1"/>
    <col min="91" max="91" width="24.109375" style="6" bestFit="1" customWidth="1"/>
    <col min="92" max="92" width="31" style="6" bestFit="1" customWidth="1"/>
    <col min="93" max="93" width="18" style="6" bestFit="1" customWidth="1"/>
    <col min="94" max="94" width="39" style="6" bestFit="1" customWidth="1"/>
    <col min="95" max="95" width="22.6640625" style="6" bestFit="1" customWidth="1"/>
    <col min="96" max="96" width="24.6640625" style="6" bestFit="1" customWidth="1"/>
    <col min="97" max="97" width="30.6640625" style="6" bestFit="1" customWidth="1"/>
    <col min="98" max="98" width="17.77734375" style="6" bestFit="1" customWidth="1"/>
    <col min="99" max="99" width="12.109375" style="6" bestFit="1" customWidth="1"/>
    <col min="100" max="100" width="10.6640625" style="6" bestFit="1" customWidth="1"/>
    <col min="101" max="101" width="13.33203125" style="6" bestFit="1" customWidth="1"/>
    <col min="102" max="102" width="22.77734375" style="6" bestFit="1" customWidth="1"/>
    <col min="103" max="103" width="6.109375" style="6" bestFit="1" customWidth="1"/>
    <col min="104" max="104" width="10.44140625" style="6" bestFit="1" customWidth="1"/>
    <col min="105" max="105" width="7.21875" style="6" bestFit="1" customWidth="1"/>
    <col min="106" max="106" width="21.77734375" style="6" bestFit="1" customWidth="1"/>
    <col min="107" max="107" width="26.33203125" style="6" bestFit="1" customWidth="1"/>
    <col min="108" max="108" width="4.6640625" style="6" bestFit="1" customWidth="1"/>
    <col min="109" max="109" width="9.109375" style="6" bestFit="1" customWidth="1"/>
    <col min="110" max="110" width="12.44140625" style="6" bestFit="1" customWidth="1"/>
    <col min="111" max="111" width="22.109375" style="6" bestFit="1" customWidth="1"/>
    <col min="112" max="112" width="16.77734375" style="6" bestFit="1" customWidth="1"/>
    <col min="113" max="113" width="10.21875" style="6" bestFit="1" customWidth="1"/>
    <col min="114" max="114" width="16.33203125" style="6" bestFit="1" customWidth="1"/>
    <col min="115" max="115" width="7.109375" style="6" bestFit="1" customWidth="1"/>
    <col min="116" max="116" width="17.21875" style="6" bestFit="1" customWidth="1"/>
    <col min="117" max="117" width="16.33203125" style="6" bestFit="1" customWidth="1"/>
    <col min="118" max="118" width="15.6640625" style="6" bestFit="1" customWidth="1"/>
    <col min="119" max="119" width="10.5546875" style="6" bestFit="1" customWidth="1"/>
    <col min="120" max="120" width="18.44140625" style="6" bestFit="1" customWidth="1"/>
    <col min="121" max="121" width="7.6640625" style="6" bestFit="1" customWidth="1"/>
    <col min="122" max="122" width="12.6640625" style="6" bestFit="1" customWidth="1"/>
    <col min="123" max="123" width="18.21875" style="6" bestFit="1" customWidth="1"/>
    <col min="124" max="124" width="22.33203125" style="6" bestFit="1" customWidth="1"/>
    <col min="125" max="125" width="25.109375" style="6" bestFit="1" customWidth="1"/>
    <col min="126" max="126" width="20.109375" style="6" bestFit="1" customWidth="1"/>
    <col min="127" max="127" width="26.77734375" style="6" bestFit="1" customWidth="1"/>
    <col min="128" max="128" width="17.21875" style="6" bestFit="1" customWidth="1"/>
    <col min="129" max="129" width="22.77734375" style="6" bestFit="1" customWidth="1"/>
    <col min="130" max="130" width="27.33203125" style="6" bestFit="1" customWidth="1"/>
    <col min="131" max="131" width="13" style="6" bestFit="1" customWidth="1"/>
    <col min="132" max="132" width="18.77734375" style="6" bestFit="1" customWidth="1"/>
    <col min="133" max="133" width="16.6640625" style="6" bestFit="1" customWidth="1"/>
    <col min="134" max="134" width="13.44140625" style="6" bestFit="1" customWidth="1"/>
    <col min="135" max="135" width="65.109375" style="6" bestFit="1" customWidth="1"/>
    <col min="136" max="136" width="19.5546875" style="6" bestFit="1" customWidth="1"/>
    <col min="137" max="137" width="27.6640625" style="6" bestFit="1" customWidth="1"/>
    <col min="138" max="138" width="16.21875" style="6" bestFit="1" customWidth="1"/>
    <col min="139" max="139" width="28.44140625" style="6" bestFit="1" customWidth="1"/>
    <col min="140" max="140" width="6.88671875" style="6" bestFit="1" customWidth="1"/>
    <col min="141" max="141" width="14.44140625" style="6" bestFit="1" customWidth="1"/>
    <col min="142" max="142" width="19.6640625" style="6" bestFit="1" customWidth="1"/>
    <col min="143" max="143" width="18.33203125" style="6" bestFit="1" customWidth="1"/>
    <col min="144" max="144" width="12.33203125" style="6" bestFit="1" customWidth="1"/>
    <col min="145" max="145" width="19.44140625" style="6" bestFit="1" customWidth="1"/>
    <col min="146" max="146" width="35" style="6" bestFit="1" customWidth="1"/>
    <col min="147" max="147" width="15" style="6" bestFit="1" customWidth="1"/>
    <col min="148" max="148" width="17.44140625" style="6" bestFit="1" customWidth="1"/>
    <col min="149" max="149" width="12.33203125" style="6" bestFit="1" customWidth="1"/>
    <col min="150" max="156" width="13.44140625" style="6" bestFit="1" customWidth="1"/>
    <col min="157" max="157" width="16.21875" style="6" bestFit="1" customWidth="1"/>
    <col min="158" max="158" width="36.88671875" style="6" bestFit="1" customWidth="1"/>
    <col min="159" max="159" width="18.5546875" style="6" bestFit="1" customWidth="1"/>
    <col min="160" max="160" width="17.109375" style="6" bestFit="1" customWidth="1"/>
    <col min="161" max="161" width="23.5546875" style="6" bestFit="1" customWidth="1"/>
    <col min="162" max="162" width="26.6640625" style="6" bestFit="1" customWidth="1"/>
    <col min="163" max="163" width="15.44140625" style="6" bestFit="1" customWidth="1"/>
    <col min="164" max="164" width="18.21875" style="6" bestFit="1" customWidth="1"/>
    <col min="165" max="165" width="12.33203125" style="6" bestFit="1" customWidth="1"/>
    <col min="166" max="166" width="22.109375" style="6" bestFit="1" customWidth="1"/>
    <col min="167" max="167" width="16.109375" style="6" bestFit="1" customWidth="1"/>
    <col min="168" max="168" width="32.21875" style="6" bestFit="1" customWidth="1"/>
    <col min="169" max="169" width="27.33203125" style="6" bestFit="1" customWidth="1"/>
    <col min="170" max="170" width="13.77734375" style="6" bestFit="1" customWidth="1"/>
    <col min="171" max="171" width="26.77734375" style="6" bestFit="1" customWidth="1"/>
    <col min="172" max="172" width="26.6640625" style="6" bestFit="1" customWidth="1"/>
    <col min="173" max="174" width="19" style="6" bestFit="1" customWidth="1"/>
    <col min="175" max="175" width="14" style="6" bestFit="1" customWidth="1"/>
    <col min="176" max="176" width="24" style="6" bestFit="1" customWidth="1"/>
    <col min="177" max="177" width="4.33203125" style="6" bestFit="1" customWidth="1"/>
    <col min="178" max="178" width="29" style="6" bestFit="1" customWidth="1"/>
    <col min="179" max="179" width="24.109375" style="6" bestFit="1" customWidth="1"/>
    <col min="180" max="180" width="31" style="6" bestFit="1" customWidth="1"/>
    <col min="181" max="181" width="18" style="6" bestFit="1" customWidth="1"/>
    <col min="182" max="182" width="39" style="6" bestFit="1" customWidth="1"/>
    <col min="183" max="183" width="22.6640625" style="6" bestFit="1" customWidth="1"/>
    <col min="184" max="184" width="24.6640625" style="6" bestFit="1" customWidth="1"/>
    <col min="185" max="185" width="30.6640625" style="6" bestFit="1" customWidth="1"/>
    <col min="186" max="186" width="17.77734375" style="6" bestFit="1" customWidth="1"/>
    <col min="187" max="187" width="12.109375" style="6" bestFit="1" customWidth="1"/>
    <col min="188" max="188" width="10.6640625" style="6" bestFit="1" customWidth="1"/>
    <col min="189" max="189" width="13.33203125" style="6" bestFit="1" customWidth="1"/>
    <col min="190" max="190" width="22.77734375" style="6" bestFit="1" customWidth="1"/>
    <col min="191" max="191" width="6.109375" style="6" bestFit="1" customWidth="1"/>
    <col min="192" max="192" width="10.44140625" style="6" bestFit="1" customWidth="1"/>
    <col min="193" max="193" width="7.21875" style="6" bestFit="1" customWidth="1"/>
    <col min="194" max="194" width="21.77734375" style="6" bestFit="1" customWidth="1"/>
    <col min="195" max="195" width="26.33203125" style="6" bestFit="1" customWidth="1"/>
    <col min="196" max="196" width="4.6640625" style="6" bestFit="1" customWidth="1"/>
    <col min="197" max="197" width="9.109375" style="6" bestFit="1" customWidth="1"/>
    <col min="198" max="198" width="12.44140625" style="6" bestFit="1" customWidth="1"/>
    <col min="199" max="199" width="22.109375" style="6" bestFit="1" customWidth="1"/>
    <col min="200" max="200" width="16.77734375" style="6" bestFit="1" customWidth="1"/>
    <col min="201" max="201" width="10.21875" style="6" bestFit="1" customWidth="1"/>
    <col min="202" max="202" width="16.33203125" style="6" bestFit="1" customWidth="1"/>
    <col min="203" max="203" width="7.109375" style="6" bestFit="1" customWidth="1"/>
    <col min="204" max="204" width="17.21875" style="6" bestFit="1" customWidth="1"/>
    <col min="205" max="205" width="16.33203125" style="6" bestFit="1" customWidth="1"/>
    <col min="206" max="206" width="15.6640625" style="6" bestFit="1" customWidth="1"/>
    <col min="207" max="207" width="10.5546875" style="6" bestFit="1" customWidth="1"/>
    <col min="208" max="208" width="18.44140625" style="6" bestFit="1" customWidth="1"/>
    <col min="209" max="209" width="7.6640625" style="6" bestFit="1" customWidth="1"/>
    <col min="210" max="210" width="12.6640625" style="6" bestFit="1" customWidth="1"/>
    <col min="211" max="211" width="18.21875" style="6" bestFit="1" customWidth="1"/>
    <col min="212" max="212" width="22.33203125" style="6" bestFit="1" customWidth="1"/>
    <col min="213" max="213" width="25.109375" style="6" bestFit="1" customWidth="1"/>
    <col min="214" max="214" width="20.109375" style="6" bestFit="1" customWidth="1"/>
    <col min="215" max="215" width="26.77734375" style="6" bestFit="1" customWidth="1"/>
    <col min="216" max="216" width="17.21875" style="6" bestFit="1" customWidth="1"/>
    <col min="217" max="217" width="22.77734375" style="6" bestFit="1" customWidth="1"/>
    <col min="218" max="218" width="27.33203125" style="6" bestFit="1" customWidth="1"/>
    <col min="219" max="219" width="13" style="6" bestFit="1" customWidth="1"/>
    <col min="220" max="220" width="18.77734375" style="6" bestFit="1" customWidth="1"/>
    <col min="221" max="221" width="16.6640625" style="6" bestFit="1" customWidth="1"/>
    <col min="222" max="222" width="13.44140625" style="6" bestFit="1" customWidth="1"/>
    <col min="223" max="223" width="65.109375" style="6" bestFit="1" customWidth="1"/>
    <col min="224" max="224" width="19.5546875" style="6" bestFit="1" customWidth="1"/>
    <col min="225" max="225" width="27.6640625" style="6" bestFit="1" customWidth="1"/>
    <col min="226" max="226" width="16.21875" style="6" bestFit="1" customWidth="1"/>
    <col min="227" max="227" width="28.44140625" style="6" bestFit="1" customWidth="1"/>
    <col min="228" max="228" width="6.88671875" style="6" bestFit="1" customWidth="1"/>
    <col min="229" max="229" width="14.44140625" style="6" bestFit="1" customWidth="1"/>
    <col min="230" max="230" width="19.6640625" style="6" bestFit="1" customWidth="1"/>
    <col min="231" max="231" width="18.33203125" style="6" bestFit="1" customWidth="1"/>
    <col min="232" max="232" width="12.33203125" style="6" bestFit="1" customWidth="1"/>
    <col min="233" max="233" width="19.44140625" style="6" bestFit="1" customWidth="1"/>
    <col min="234" max="234" width="35" style="6" bestFit="1" customWidth="1"/>
    <col min="235" max="235" width="15" style="6" bestFit="1" customWidth="1"/>
    <col min="236" max="236" width="17.44140625" style="6" bestFit="1" customWidth="1"/>
    <col min="237" max="237" width="12.33203125" style="6" bestFit="1" customWidth="1"/>
    <col min="238" max="244" width="13.44140625" style="6" bestFit="1" customWidth="1"/>
    <col min="245" max="16384" width="11.5546875" style="6"/>
  </cols>
  <sheetData>
    <row r="1" spans="1:210" ht="23.4" x14ac:dyDescent="0.45">
      <c r="A1" s="75" t="s">
        <v>3280</v>
      </c>
      <c r="B1" s="75"/>
      <c r="C1" s="75"/>
      <c r="D1" s="75"/>
      <c r="E1" s="75"/>
      <c r="F1" s="75"/>
      <c r="G1" s="75"/>
    </row>
    <row r="2" spans="1:210" ht="15" thickBot="1" x14ac:dyDescent="0.35"/>
    <row r="3" spans="1:210" ht="24" thickBot="1" x14ac:dyDescent="0.5">
      <c r="A3" s="79" t="s">
        <v>3276</v>
      </c>
      <c r="B3" s="80"/>
      <c r="C3" s="80"/>
      <c r="D3" s="80"/>
      <c r="E3" s="80"/>
      <c r="F3" s="81"/>
    </row>
    <row r="4" spans="1:210" ht="15.6" x14ac:dyDescent="0.3">
      <c r="A4" s="11" t="s">
        <v>1</v>
      </c>
      <c r="B4" s="11" t="s">
        <v>2</v>
      </c>
      <c r="C4" s="11" t="s">
        <v>3</v>
      </c>
      <c r="D4" s="11" t="s">
        <v>4</v>
      </c>
      <c r="E4" s="11" t="s">
        <v>5</v>
      </c>
      <c r="F4" s="12" t="s">
        <v>3274</v>
      </c>
      <c r="G4" s="8"/>
      <c r="H4" s="8"/>
      <c r="I4" s="8"/>
      <c r="J4" s="8"/>
      <c r="K4" s="8"/>
    </row>
    <row r="5" spans="1:210" ht="15.6" x14ac:dyDescent="0.3">
      <c r="A5" s="15">
        <v>1937</v>
      </c>
      <c r="B5" s="15"/>
      <c r="C5" s="27" t="str" cm="1">
        <f t="array" ref="C5">IFERROR(_xlfn._xlws.FILTER(BDD[Dépôt],IF(OR(fermDep_CodeBRICO="", fermDep_CodeEASIER=""),(BDD[Code BRICO]=fermDep_CodeBRICO)+(BDD[Code EASIER]=fermDep_CodeEASIER),(BDD[Code BRICO]=fermDep_CodeBRICO)*(BDD[Code EASIER]=fermDep_CodeEASIER))),"")</f>
        <v>VILLETANEUSE</v>
      </c>
      <c r="D5" s="27" t="str" cm="1">
        <f t="array" ref="D5">IFERROR(_xlfn._xlws.FILTER(BDD[Région administrative],IF(OR(fermDep_CodeBRICO="", fermDep_CodeEASIER=""),(BDD[Code BRICO]=fermDep_CodeBRICO)+(BDD[Code EASIER]=fermDep_CodeEASIER),(BDD[Code BRICO]=fermDep_CodeBRICO)*(BDD[Code EASIER]=fermDep_CodeEASIER))),"")</f>
        <v>ILE-DE-FRANCE</v>
      </c>
      <c r="E5" s="27" t="str" cm="1">
        <f t="array" ref="E5">IFERROR(_xlfn._xlws.FILTER(BDD[Région 2022],IF(OR(fermDep_CodeBRICO="", fermDep_CodeEASIER=""),(BDD[Code BRICO]=fermDep_CodeBRICO)+(BDD[Code EASIER]=fermDep_CodeEASIER),(BDD[Code BRICO]=fermDep_CodeBRICO)*(BDD[Code EASIER]=fermDep_CodeEASIER))),"")</f>
        <v>IDF</v>
      </c>
      <c r="F5" s="27" t="str" cm="1">
        <f t="array" ref="F5">IFERROR(_xlfn._xlws.FILTER(BDD[Statut],IF(OR(fermDep_CodeBRICO="", fermDep_CodeEASIER=""),(BDD[Code BRICO]=fermDep_CodeBRICO)+(BDD[Code EASIER]=fermDep_CodeEASIER),(BDD[Code BRICO]=fermDep_CodeBRICO)*(BDD[Code EASIER]=fermDep_CodeEASIER))),"")</f>
        <v>Ouvert</v>
      </c>
      <c r="BJ5" s="13"/>
      <c r="FA5" s="13"/>
      <c r="GK5" s="13"/>
      <c r="HA5" s="13"/>
      <c r="HB5" s="13"/>
    </row>
    <row r="7" spans="1:210" customFormat="1" x14ac:dyDescent="0.3"/>
    <row r="8" spans="1:210" customFormat="1" x14ac:dyDescent="0.3"/>
    <row r="9" spans="1:210" customFormat="1" x14ac:dyDescent="0.3"/>
    <row r="10" spans="1:210" customFormat="1" x14ac:dyDescent="0.3"/>
    <row r="11" spans="1:210" customFormat="1" x14ac:dyDescent="0.3"/>
    <row r="12" spans="1:210" customFormat="1" x14ac:dyDescent="0.3"/>
    <row r="13" spans="1:210" customFormat="1" x14ac:dyDescent="0.3"/>
    <row r="14" spans="1:210" customFormat="1" x14ac:dyDescent="0.3"/>
    <row r="15" spans="1:210" customFormat="1" x14ac:dyDescent="0.3"/>
    <row r="16" spans="1:210" customFormat="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249" spans="1:1" x14ac:dyDescent="0.3">
      <c r="A249" s="13"/>
    </row>
    <row r="629" spans="1:1" x14ac:dyDescent="0.3">
      <c r="A629" s="13"/>
    </row>
    <row r="645" spans="1:1" x14ac:dyDescent="0.3">
      <c r="A645" s="13"/>
    </row>
    <row r="773" spans="1:1" x14ac:dyDescent="0.3">
      <c r="A773" s="13"/>
    </row>
    <row r="837" spans="1:1" x14ac:dyDescent="0.3">
      <c r="A837" s="13"/>
    </row>
    <row r="841" spans="1:1" x14ac:dyDescent="0.3">
      <c r="A841" s="13"/>
    </row>
    <row r="877" spans="1:1" x14ac:dyDescent="0.3">
      <c r="A877" s="13"/>
    </row>
  </sheetData>
  <sheetProtection algorithmName="SHA-512" hashValue="V+Php8vA4GeXhtTj8emDAvjn3Y16j7t17bGqZGJcvURy2jdh/LiihUG9J2LR+zzDVePLMB9luqz8fJNCo4OtDA==" saltValue="Qqf4UJPXA3WWyIN1XInjrg==" spinCount="100000" sheet="1" objects="1" scenarios="1"/>
  <mergeCells count="2">
    <mergeCell ref="A1:G1"/>
    <mergeCell ref="A3:F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7" r:id="rId4" name="but_fermeture">
          <controlPr locked="0" defaultSize="0" autoLine="0" r:id="rId5">
            <anchor moveWithCells="1">
              <from>
                <xdr:col>1</xdr:col>
                <xdr:colOff>975360</xdr:colOff>
                <xdr:row>0</xdr:row>
                <xdr:rowOff>60960</xdr:rowOff>
              </from>
              <to>
                <xdr:col>2</xdr:col>
                <xdr:colOff>350520</xdr:colOff>
                <xdr:row>1</xdr:row>
                <xdr:rowOff>45720</xdr:rowOff>
              </to>
            </anchor>
          </controlPr>
        </control>
      </mc:Choice>
      <mc:Fallback>
        <control shapeId="12297" r:id="rId4" name="but_fermeture"/>
      </mc:Fallback>
    </mc:AlternateContent>
    <mc:AlternateContent xmlns:mc="http://schemas.openxmlformats.org/markup-compatibility/2006">
      <mc:Choice Requires="x14">
        <control shapeId="12294" r:id="rId6" name="lbl_dir">
          <controlPr locked="0" defaultSize="0" autoLine="0" r:id="rId7">
            <anchor moveWithCells="1">
              <from>
                <xdr:col>0</xdr:col>
                <xdr:colOff>60960</xdr:colOff>
                <xdr:row>0</xdr:row>
                <xdr:rowOff>0</xdr:rowOff>
              </from>
              <to>
                <xdr:col>0</xdr:col>
                <xdr:colOff>1181100</xdr:colOff>
                <xdr:row>0</xdr:row>
                <xdr:rowOff>266700</xdr:rowOff>
              </to>
            </anchor>
          </controlPr>
        </control>
      </mc:Choice>
      <mc:Fallback>
        <control shapeId="12294" r:id="rId6" name="lbl_dir"/>
      </mc:Fallback>
    </mc:AlternateContent>
    <mc:AlternateContent xmlns:mc="http://schemas.openxmlformats.org/markup-compatibility/2006">
      <mc:Choice Requires="x14">
        <control shapeId="12291" r:id="rId8" name="but_goTop">
          <controlPr locked="0" defaultSize="0" autoLine="0" r:id="rId9">
            <anchor moveWithCells="1">
              <from>
                <xdr:col>0</xdr:col>
                <xdr:colOff>1272540</xdr:colOff>
                <xdr:row>0</xdr:row>
                <xdr:rowOff>60960</xdr:rowOff>
              </from>
              <to>
                <xdr:col>0</xdr:col>
                <xdr:colOff>2156460</xdr:colOff>
                <xdr:row>1</xdr:row>
                <xdr:rowOff>38100</xdr:rowOff>
              </to>
            </anchor>
          </controlPr>
        </control>
      </mc:Choice>
      <mc:Fallback>
        <control shapeId="12291" r:id="rId8" name="but_goTo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2C3C-01A3-45FC-9229-9F23EF79C676}">
  <sheetPr codeName="Recherche_unique"/>
  <dimension ref="A1:L9"/>
  <sheetViews>
    <sheetView workbookViewId="0">
      <selection activeCell="B3" sqref="B3"/>
    </sheetView>
  </sheetViews>
  <sheetFormatPr baseColWidth="10" defaultRowHeight="14.4" x14ac:dyDescent="0.3"/>
  <cols>
    <col min="1" max="1" width="15.21875" bestFit="1" customWidth="1"/>
    <col min="4" max="4" width="28.77734375" bestFit="1" customWidth="1"/>
    <col min="5" max="6" width="16.44140625" bestFit="1" customWidth="1"/>
    <col min="7" max="7" width="23.6640625" bestFit="1" customWidth="1"/>
    <col min="8" max="8" width="19.5546875" bestFit="1" customWidth="1"/>
    <col min="9" max="9" width="17.21875" bestFit="1" customWidth="1"/>
    <col min="10" max="10" width="11.33203125" bestFit="1" customWidth="1"/>
    <col min="11" max="11" width="12.109375" bestFit="1" customWidth="1"/>
    <col min="12" max="13" width="20.77734375" bestFit="1" customWidth="1"/>
  </cols>
  <sheetData>
    <row r="1" spans="1:12" ht="36.6" x14ac:dyDescent="0.7">
      <c r="A1" s="32" t="s">
        <v>3333</v>
      </c>
    </row>
    <row r="3" spans="1:12" x14ac:dyDescent="0.3">
      <c r="A3" s="30" t="s">
        <v>3332</v>
      </c>
      <c r="B3" s="36"/>
      <c r="D3" s="30"/>
    </row>
    <row r="4" spans="1:12" x14ac:dyDescent="0.3">
      <c r="A4" s="30" t="s">
        <v>3331</v>
      </c>
      <c r="B4" s="36"/>
      <c r="D4" s="30"/>
    </row>
    <row r="5" spans="1:12" x14ac:dyDescent="0.3">
      <c r="A5" s="30" t="s">
        <v>3330</v>
      </c>
      <c r="B5" s="31"/>
      <c r="D5" s="30"/>
    </row>
    <row r="6" spans="1:12" x14ac:dyDescent="0.3">
      <c r="A6" s="30" t="s">
        <v>3329</v>
      </c>
      <c r="B6" s="31"/>
      <c r="D6" s="30"/>
    </row>
    <row r="7" spans="1:12" x14ac:dyDescent="0.3">
      <c r="A7" s="30"/>
      <c r="D7" s="30"/>
    </row>
    <row r="8" spans="1:12" x14ac:dyDescent="0.3">
      <c r="A8" s="30" t="s">
        <v>1</v>
      </c>
      <c r="B8" s="30" t="s">
        <v>2</v>
      </c>
      <c r="C8" s="30" t="s">
        <v>3</v>
      </c>
      <c r="D8" s="30" t="s">
        <v>5</v>
      </c>
      <c r="E8" s="30" t="s">
        <v>6</v>
      </c>
      <c r="F8" s="30" t="s">
        <v>8</v>
      </c>
      <c r="G8" s="30" t="s">
        <v>12</v>
      </c>
      <c r="H8" s="30" t="s">
        <v>18</v>
      </c>
      <c r="I8" s="30" t="s">
        <v>53</v>
      </c>
      <c r="J8" s="30" t="s">
        <v>54</v>
      </c>
      <c r="K8" s="30" t="s">
        <v>55</v>
      </c>
      <c r="L8" s="30" t="s">
        <v>56</v>
      </c>
    </row>
    <row r="9" spans="1:12" x14ac:dyDescent="0.3">
      <c r="A9" s="29" t="str" cm="1">
        <f t="array" ref="A9">IFERROR(_xlfn._xlws.FILTER(BDD[Code BRICO],BDD[conditions]),"")</f>
        <v/>
      </c>
      <c r="B9" s="29" t="str" cm="1">
        <f t="array" ref="B9">IFERROR(_xlfn._xlws.FILTER(BDD[Code EASIER],BDD[conditions]),"")</f>
        <v/>
      </c>
      <c r="C9" s="29" t="str" cm="1">
        <f t="array" ref="C9">IFERROR(_xlfn._xlws.FILTER(BDD[Dépôt],BDD[conditions]),"")</f>
        <v/>
      </c>
      <c r="D9" s="29" t="str" cm="1">
        <f t="array" ref="D9">IFERROR(_xlfn._xlws.FILTER(BDD[Région 2022],BDD[conditions]),"")</f>
        <v/>
      </c>
      <c r="E9" s="29" t="str" cm="1">
        <f t="array" ref="E9">IFERROR(_xlfn._xlws.FILTER(BDD[Directeur Régional],BDD[conditions]),"")</f>
        <v/>
      </c>
      <c r="F9" s="29" t="str" cm="1">
        <f t="array" ref="F9">IFERROR(_xlfn._xlws.FILTER(BDD[Directeur dépôt],BDD[conditions]),"")</f>
        <v/>
      </c>
      <c r="G9" s="29" t="str" cm="1">
        <f t="array" ref="G9">IFERROR(_xlfn._xlws.FILTER(BDD[Chef Sécurité],BDD[conditions]),"")</f>
        <v/>
      </c>
      <c r="H9" s="29" t="str" cm="1">
        <f t="array" ref="H9">IFERROR(_xlfn._xlws.FILTER(BDD[Chef Logistique],BDD[conditions]),"")</f>
        <v/>
      </c>
      <c r="I9" s="29" t="str" cm="1">
        <f t="array" ref="I9">IFERROR(_xlfn._xlws.FILTER(BDD[Adresse],BDD[conditions]),"")</f>
        <v/>
      </c>
      <c r="J9" s="29" t="str" cm="1">
        <f t="array" ref="J9">IFERROR(_xlfn._xlws.FILTER(BDD[Ville],BDD[conditions]),"")</f>
        <v/>
      </c>
      <c r="K9" s="29" t="str" cm="1">
        <f t="array" ref="K9">IFERROR(_xlfn._xlws.FILTER(BDD[Département],BDD[conditions]),"")</f>
        <v/>
      </c>
      <c r="L9" s="28" t="str" cm="1">
        <f t="array" ref="L9">IFERROR(_xlfn._xlws.FILTER(BDD[TELEPHONE STANDARD],BDD[conditions]),"")</f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B73F-BB06-4617-9440-E66DE2A7C784}">
  <sheetPr codeName="Recherche_multiples"/>
  <dimension ref="A1:M19"/>
  <sheetViews>
    <sheetView zoomScaleNormal="100" workbookViewId="0">
      <selection activeCell="B7" sqref="B7"/>
    </sheetView>
  </sheetViews>
  <sheetFormatPr baseColWidth="10" defaultRowHeight="14.4" outlineLevelRow="1" x14ac:dyDescent="0.3"/>
  <cols>
    <col min="1" max="1" width="23.6640625" bestFit="1" customWidth="1"/>
    <col min="4" max="4" width="15.21875" bestFit="1" customWidth="1"/>
    <col min="5" max="5" width="19.77734375" bestFit="1" customWidth="1"/>
    <col min="6" max="6" width="16.44140625" bestFit="1" customWidth="1"/>
    <col min="7" max="7" width="23.6640625" bestFit="1" customWidth="1"/>
    <col min="8" max="8" width="22.88671875" bestFit="1" customWidth="1"/>
    <col min="9" max="9" width="27.109375" customWidth="1"/>
    <col min="10" max="10" width="27.109375" bestFit="1" customWidth="1"/>
    <col min="11" max="11" width="12.109375" bestFit="1" customWidth="1"/>
    <col min="12" max="12" width="20.77734375" style="33" bestFit="1" customWidth="1"/>
    <col min="13" max="13" width="20.77734375" bestFit="1" customWidth="1"/>
  </cols>
  <sheetData>
    <row r="1" spans="1:13" ht="36.6" x14ac:dyDescent="0.7">
      <c r="A1" s="32" t="s">
        <v>3334</v>
      </c>
      <c r="L1"/>
      <c r="M1" s="33"/>
    </row>
    <row r="2" spans="1:13" outlineLevel="1" x14ac:dyDescent="0.3">
      <c r="B2" s="34" t="s">
        <v>3335</v>
      </c>
      <c r="C2" s="34" t="s">
        <v>3336</v>
      </c>
      <c r="D2" s="34" t="s">
        <v>3337</v>
      </c>
      <c r="L2"/>
      <c r="M2" s="33"/>
    </row>
    <row r="3" spans="1:13" outlineLevel="1" x14ac:dyDescent="0.3">
      <c r="A3" s="30" t="s">
        <v>3338</v>
      </c>
      <c r="B3" s="35"/>
      <c r="C3" s="35"/>
      <c r="D3" s="35"/>
      <c r="L3"/>
    </row>
    <row r="4" spans="1:13" outlineLevel="1" x14ac:dyDescent="0.3">
      <c r="A4" s="30" t="s">
        <v>3339</v>
      </c>
      <c r="L4"/>
    </row>
    <row r="5" spans="1:13" outlineLevel="1" x14ac:dyDescent="0.3">
      <c r="A5" s="30" t="s">
        <v>72</v>
      </c>
      <c r="L5"/>
    </row>
    <row r="6" spans="1:13" outlineLevel="1" x14ac:dyDescent="0.3">
      <c r="A6" s="30" t="s">
        <v>3340</v>
      </c>
      <c r="B6" s="35"/>
      <c r="C6" s="35"/>
      <c r="D6" s="35"/>
      <c r="L6"/>
    </row>
    <row r="7" spans="1:13" outlineLevel="1" x14ac:dyDescent="0.3">
      <c r="A7" s="30" t="s">
        <v>3341</v>
      </c>
      <c r="L7"/>
    </row>
    <row r="8" spans="1:13" outlineLevel="1" x14ac:dyDescent="0.3">
      <c r="A8" s="30" t="s">
        <v>3342</v>
      </c>
      <c r="L8"/>
    </row>
    <row r="9" spans="1:13" outlineLevel="1" x14ac:dyDescent="0.3">
      <c r="A9" s="30" t="s">
        <v>3343</v>
      </c>
      <c r="L9"/>
    </row>
    <row r="10" spans="1:13" outlineLevel="1" x14ac:dyDescent="0.3">
      <c r="A10" s="30" t="s">
        <v>3344</v>
      </c>
      <c r="L10"/>
    </row>
    <row r="11" spans="1:13" outlineLevel="1" x14ac:dyDescent="0.3">
      <c r="A11" s="30" t="s">
        <v>3345</v>
      </c>
      <c r="L11"/>
    </row>
    <row r="12" spans="1:13" outlineLevel="1" x14ac:dyDescent="0.3">
      <c r="A12" s="30" t="s">
        <v>3346</v>
      </c>
      <c r="L12"/>
    </row>
    <row r="13" spans="1:13" outlineLevel="1" x14ac:dyDescent="0.3">
      <c r="A13" s="30" t="s">
        <v>3347</v>
      </c>
      <c r="L13"/>
    </row>
    <row r="14" spans="1:13" outlineLevel="1" x14ac:dyDescent="0.3">
      <c r="A14" s="30" t="s">
        <v>3348</v>
      </c>
      <c r="L14"/>
    </row>
    <row r="15" spans="1:13" x14ac:dyDescent="0.3">
      <c r="A15" s="30"/>
      <c r="L15"/>
    </row>
    <row r="16" spans="1:13" x14ac:dyDescent="0.3">
      <c r="A16" s="30" t="s">
        <v>3349</v>
      </c>
      <c r="B16">
        <f>IF(A19&lt;&gt;"",COUNTA(_xlfn._xlws.FILTER(BDD[Code BRICO],BDD[conditions])),0)</f>
        <v>0</v>
      </c>
      <c r="L16"/>
    </row>
    <row r="17" spans="1:13" x14ac:dyDescent="0.3">
      <c r="L17"/>
    </row>
    <row r="18" spans="1:13" x14ac:dyDescent="0.3">
      <c r="A18" s="30" t="s">
        <v>1</v>
      </c>
      <c r="B18" s="30" t="s">
        <v>2</v>
      </c>
      <c r="C18" s="30" t="s">
        <v>3</v>
      </c>
      <c r="D18" s="30" t="s">
        <v>5</v>
      </c>
      <c r="E18" s="30" t="s">
        <v>6</v>
      </c>
      <c r="F18" s="30" t="s">
        <v>8</v>
      </c>
      <c r="G18" s="30" t="s">
        <v>12</v>
      </c>
      <c r="H18" s="30" t="s">
        <v>18</v>
      </c>
      <c r="I18" s="30" t="s">
        <v>53</v>
      </c>
      <c r="J18" s="30" t="s">
        <v>54</v>
      </c>
      <c r="K18" s="30" t="s">
        <v>55</v>
      </c>
      <c r="L18" s="30" t="s">
        <v>56</v>
      </c>
      <c r="M18" s="30"/>
    </row>
    <row r="19" spans="1:13" x14ac:dyDescent="0.3">
      <c r="A19" s="29" t="str" cm="1">
        <f t="array" ref="A19">IFERROR(_xlfn._xlws.FILTER(BDD[Code BRICO],BDD[conditions]),"")</f>
        <v/>
      </c>
      <c r="B19" s="29" t="str" cm="1">
        <f t="array" ref="B19">IFERROR(_xlfn._xlws.FILTER(BDD[Code EASIER],BDD[conditions]),"")</f>
        <v/>
      </c>
      <c r="C19" s="29" t="str" cm="1">
        <f t="array" ref="C19">IFERROR(_xlfn._xlws.FILTER(BDD[Dépôt],BDD[conditions]),"")</f>
        <v/>
      </c>
      <c r="D19" s="29" t="str" cm="1">
        <f t="array" ref="D19">IFERROR(_xlfn._xlws.FILTER(BDD[Région 2022],BDD[conditions]),"")</f>
        <v/>
      </c>
      <c r="E19" s="29" t="str" cm="1">
        <f t="array" ref="E19">IFERROR(_xlfn._xlws.FILTER(BDD[Directeur Régional],BDD[conditions]),"")</f>
        <v/>
      </c>
      <c r="F19" s="29" t="str" cm="1">
        <f t="array" ref="F19">IFERROR(_xlfn._xlws.FILTER(BDD[Directeur dépôt],BDD[conditions]),"")</f>
        <v/>
      </c>
      <c r="G19" s="29" t="str" cm="1">
        <f t="array" ref="G19">IFERROR(_xlfn._xlws.FILTER(BDD[Chef Sécurité],BDD[conditions]),"")</f>
        <v/>
      </c>
      <c r="H19" s="29" t="str" cm="1">
        <f t="array" ref="H19">IFERROR(_xlfn._xlws.FILTER(BDD[Chef Logistique],BDD[conditions]),"")</f>
        <v/>
      </c>
      <c r="I19" s="29" t="str" cm="1">
        <f t="array" ref="I19">IFERROR(_xlfn._xlws.FILTER(BDD[Adresse],BDD[conditions]),"")</f>
        <v/>
      </c>
      <c r="J19" s="29" t="str" cm="1">
        <f t="array" ref="J19">IFERROR(_xlfn._xlws.FILTER(BDD[Ville],BDD[conditions]),"")</f>
        <v/>
      </c>
      <c r="K19" s="29" t="str" cm="1">
        <f t="array" ref="K19">IFERROR(_xlfn._xlws.FILTER(BDD[Département],BDD[conditions]),"")</f>
        <v/>
      </c>
      <c r="L19" s="28" t="str" cm="1">
        <f t="array" ref="L19">IFERROR(_xlfn._xlws.FILTER(BDD[TELEPHONE STANDARD],BDD[conditions]),"")</f>
        <v/>
      </c>
      <c r="M19" s="33"/>
    </row>
  </sheetData>
  <dataValidations count="1">
    <dataValidation type="list" allowBlank="1" showInputMessage="1" showErrorMessage="1" sqref="B7:D7" xr:uid="{9A0EBB10-8C65-4006-9206-DB4689C469CF}">
      <formula1>proprietaire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0" r:id="rId4" name="butExpand">
          <controlPr defaultSize="0" autoLine="0" r:id="rId5">
            <anchor moveWithCells="1">
              <from>
                <xdr:col>4</xdr:col>
                <xdr:colOff>0</xdr:colOff>
                <xdr:row>0</xdr:row>
                <xdr:rowOff>83820</xdr:rowOff>
              </from>
              <to>
                <xdr:col>4</xdr:col>
                <xdr:colOff>1242060</xdr:colOff>
                <xdr:row>0</xdr:row>
                <xdr:rowOff>388620</xdr:rowOff>
              </to>
            </anchor>
          </controlPr>
        </control>
      </mc:Choice>
      <mc:Fallback>
        <control shapeId="17410" r:id="rId4" name="butExpand"/>
      </mc:Fallback>
    </mc:AlternateContent>
    <mc:AlternateContent xmlns:mc="http://schemas.openxmlformats.org/markup-compatibility/2006">
      <mc:Choice Requires="x14">
        <control shapeId="17409" r:id="rId6" name="butCollapse">
          <controlPr defaultSize="0" autoLine="0" r:id="rId7">
            <anchor moveWithCells="1">
              <from>
                <xdr:col>4</xdr:col>
                <xdr:colOff>0</xdr:colOff>
                <xdr:row>0</xdr:row>
                <xdr:rowOff>83820</xdr:rowOff>
              </from>
              <to>
                <xdr:col>4</xdr:col>
                <xdr:colOff>1242060</xdr:colOff>
                <xdr:row>0</xdr:row>
                <xdr:rowOff>388620</xdr:rowOff>
              </to>
            </anchor>
          </controlPr>
        </control>
      </mc:Choice>
      <mc:Fallback>
        <control shapeId="17409" r:id="rId6" name="butCollaps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6549BEC-36A6-4F4B-8463-E792040BE0D6}">
          <x14:formula1>
            <xm:f>filtres!$A$2:$A$14</xm:f>
          </x14:formula1>
          <xm:sqref>B3:D3</xm:sqref>
        </x14:dataValidation>
        <x14:dataValidation type="list" allowBlank="1" showInputMessage="1" showErrorMessage="1" xr:uid="{D1A4D77A-48CB-40DE-BB2F-4441CC06E922}">
          <x14:formula1>
            <xm:f>filtres!$B$2:$B$76</xm:f>
          </x14:formula1>
          <xm:sqref>B4:D4</xm:sqref>
        </x14:dataValidation>
        <x14:dataValidation type="list" allowBlank="1" showInputMessage="1" showErrorMessage="1" xr:uid="{A5B71513-2700-40BF-9460-F127CBFE5E02}">
          <x14:formula1>
            <xm:f>filtres!$F$2:$F$9</xm:f>
          </x14:formula1>
          <xm:sqref>B5:D5</xm:sqref>
        </x14:dataValidation>
        <x14:dataValidation type="list" allowBlank="1" showInputMessage="1" showErrorMessage="1" xr:uid="{09EE0685-45C2-4989-8815-F1EBC0AB3BE0}">
          <x14:formula1>
            <xm:f>filtres!$D$2:$D$5</xm:f>
          </x14:formula1>
          <xm:sqref>B6:D6</xm:sqref>
        </x14:dataValidation>
        <x14:dataValidation type="list" allowBlank="1" showInputMessage="1" showErrorMessage="1" xr:uid="{DD981AA6-FD4E-44E5-A95D-64E896D13ED2}">
          <x14:formula1>
            <xm:f>filtres!$H$2:$H$13</xm:f>
          </x14:formula1>
          <xm:sqref>B8:D8</xm:sqref>
        </x14:dataValidation>
        <x14:dataValidation type="list" allowBlank="1" showInputMessage="1" showErrorMessage="1" xr:uid="{0763477C-18C8-47DF-B454-8FDE090FADFC}">
          <x14:formula1>
            <xm:f>filtres!$I$2:$I$13</xm:f>
          </x14:formula1>
          <xm:sqref>B9:D9</xm:sqref>
        </x14:dataValidation>
        <x14:dataValidation type="list" allowBlank="1" showInputMessage="1" showErrorMessage="1" xr:uid="{943C701A-BF1B-4A39-8AD3-6BE3CD95F00C}">
          <x14:formula1>
            <xm:f>filtres!$J$2:$J$13</xm:f>
          </x14:formula1>
          <xm:sqref>B10:D10</xm:sqref>
        </x14:dataValidation>
        <x14:dataValidation type="list" allowBlank="1" showInputMessage="1" showErrorMessage="1" xr:uid="{92B49903-4015-49D5-B88F-064095C8254B}">
          <x14:formula1>
            <xm:f>filtres!$K$2:$K$15</xm:f>
          </x14:formula1>
          <xm:sqref>B11:D11</xm:sqref>
        </x14:dataValidation>
        <x14:dataValidation type="list" allowBlank="1" showInputMessage="1" showErrorMessage="1" xr:uid="{7FCEE6C7-54C7-43BC-A39F-308E4672F25A}">
          <x14:formula1>
            <xm:f>filtres!$L$2:$L$13</xm:f>
          </x14:formula1>
          <xm:sqref>B12:D12</xm:sqref>
        </x14:dataValidation>
        <x14:dataValidation type="list" allowBlank="1" showInputMessage="1" showErrorMessage="1" xr:uid="{3A23A76B-F0E4-4A2C-B450-207DFFEEAB14}">
          <x14:formula1>
            <xm:f>filtres!$M$2:$M$15</xm:f>
          </x14:formula1>
          <xm:sqref>B13:D13</xm:sqref>
        </x14:dataValidation>
        <x14:dataValidation type="list" allowBlank="1" showInputMessage="1" showErrorMessage="1" xr:uid="{DE3FCE6D-8B59-49AB-8916-88C11458123D}">
          <x14:formula1>
            <xm:f>filtres!$N$2:$N$16</xm:f>
          </x14:formula1>
          <xm:sqref>B14:D14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940D-4BEC-4A97-AC09-4A8BA8C5E2DB}">
  <sheetPr codeName="filtres"/>
  <dimension ref="A1:N114"/>
  <sheetViews>
    <sheetView workbookViewId="0">
      <selection activeCell="E5" sqref="E5"/>
    </sheetView>
  </sheetViews>
  <sheetFormatPr baseColWidth="10" defaultRowHeight="14.4" x14ac:dyDescent="0.3"/>
  <cols>
    <col min="1" max="1" width="15.21875" bestFit="1" customWidth="1"/>
    <col min="2" max="2" width="15.21875" customWidth="1"/>
    <col min="4" max="4" width="17" bestFit="1" customWidth="1"/>
    <col min="5" max="7" width="17" customWidth="1"/>
    <col min="8" max="8" width="22.21875" bestFit="1" customWidth="1"/>
    <col min="9" max="9" width="19" bestFit="1" customWidth="1"/>
    <col min="10" max="10" width="22.33203125" bestFit="1" customWidth="1"/>
    <col min="11" max="11" width="23.88671875" bestFit="1" customWidth="1"/>
    <col min="12" max="12" width="20" bestFit="1" customWidth="1"/>
    <col min="13" max="13" width="20.5546875" bestFit="1" customWidth="1"/>
    <col min="14" max="14" width="17.109375" bestFit="1" customWidth="1"/>
  </cols>
  <sheetData>
    <row r="1" spans="1:14" x14ac:dyDescent="0.3">
      <c r="A1" s="30" t="s">
        <v>3373</v>
      </c>
      <c r="B1" s="30" t="s">
        <v>3372</v>
      </c>
      <c r="C1" s="30" t="s">
        <v>3341</v>
      </c>
      <c r="D1" s="30" t="s">
        <v>3371</v>
      </c>
      <c r="E1" s="30" t="s">
        <v>3370</v>
      </c>
      <c r="F1" s="30" t="s">
        <v>72</v>
      </c>
      <c r="G1" s="30" t="s">
        <v>3369</v>
      </c>
      <c r="H1" s="30" t="s">
        <v>3368</v>
      </c>
      <c r="I1" s="30" t="s">
        <v>3367</v>
      </c>
      <c r="J1" s="30" t="s">
        <v>3366</v>
      </c>
      <c r="K1" s="30" t="s">
        <v>3365</v>
      </c>
      <c r="L1" s="30" t="s">
        <v>3364</v>
      </c>
      <c r="M1" s="30" t="s">
        <v>3363</v>
      </c>
      <c r="N1" s="30" t="s">
        <v>3362</v>
      </c>
    </row>
    <row r="2" spans="1:14" x14ac:dyDescent="0.3">
      <c r="A2" t="s">
        <v>3361</v>
      </c>
      <c r="B2" t="s">
        <v>3361</v>
      </c>
      <c r="C2" t="s">
        <v>306</v>
      </c>
      <c r="D2" s="35" t="s">
        <v>3360</v>
      </c>
      <c r="E2" cm="1">
        <f t="array" ref="E2:E114">_xlfn._xlws.SORT(_xlfn.UNIQUE(IF(Surface_Totale_CDAC = 0, "",Surface_Totale_CDAC)))</f>
        <v>2805</v>
      </c>
      <c r="F2" t="str" cm="1">
        <f t="array" ref="F2:F10">_xlfn._xlws.SORT(_xlfn.UNIQUE(IF(cluster2021 = 0, "",cluster2021)))</f>
        <v>&gt; 40M</v>
      </c>
      <c r="G2" t="s">
        <v>3350</v>
      </c>
      <c r="H2" t="str" cm="1">
        <f t="array" ref="H2:H14">_xlfn._xlws.SORT(_xlfn.UNIQUE(IF(csRefSecu = 0, "",csRefSecu)))</f>
        <v/>
      </c>
      <c r="I2" t="str" cm="1">
        <f t="array" ref="I2:I14">_xlfn._xlws.SORT(_xlfn.UNIQUE(IF(csRefLogi = 0, "",csRefLogi)))</f>
        <v/>
      </c>
      <c r="J2" t="str" cm="1">
        <f t="array" ref="J2:J14">_xlfn._xlws.SORT(_xlfn.UNIQUE(IF(csRefAmen = 0, "",csRefAmen)))</f>
        <v/>
      </c>
      <c r="K2" t="str" cm="1">
        <f t="array" ref="K2:K15">_xlfn._xlws.SORT(_xlfn.UNIQUE(IF(csRefCons = 0, "",csRefCons)))</f>
        <v/>
      </c>
      <c r="L2" t="str" cm="1">
        <f t="array" ref="L2:L14">_xlfn._xlws.SORT(_xlfn.UNIQUE(IF(csRefTech = 0, "",csRefTech)))</f>
        <v/>
      </c>
      <c r="M2" t="str" cm="1">
        <f t="array" ref="M2:M15">_xlfn._xlws.SORT(_xlfn.UNIQUE(IF(csRefAdmi = 0, "",csRefAdmi)))</f>
        <v/>
      </c>
      <c r="N2" t="str" cm="1">
        <f t="array" ref="N2:N16">_xlfn._xlws.SORT(_xlfn.UNIQUE(IF(csRefCais = 0, "",csRefCais)))</f>
        <v/>
      </c>
    </row>
    <row r="3" spans="1:14" x14ac:dyDescent="0.3">
      <c r="A3" t="str" cm="1">
        <f t="array" ref="A3:A14">_xlfn._xlws.SORT(_xlfn.UNIQUE(BDD[Région 2022]))</f>
        <v>Centre Aquitaine</v>
      </c>
      <c r="B3" cm="1">
        <f t="array" ref="B3:B76">_xlfn._xlws.SORT(_xlfn.UNIQUE(BDD[Département]))</f>
        <v>2</v>
      </c>
      <c r="C3" t="s">
        <v>505</v>
      </c>
      <c r="D3" s="35" t="s">
        <v>3359</v>
      </c>
      <c r="E3">
        <v>3900</v>
      </c>
      <c r="F3" t="str">
        <v>0</v>
      </c>
      <c r="G3" t="s">
        <v>3358</v>
      </c>
      <c r="H3" t="str">
        <v>BENOIT MARTIN</v>
      </c>
      <c r="I3" t="str">
        <v>ANNE ARABEYRE</v>
      </c>
      <c r="J3" t="str">
        <v>ALEXY VANHOESERLANDE</v>
      </c>
      <c r="K3" t="str">
        <v>ALEXANDRE DIAS DA COSTA</v>
      </c>
      <c r="L3" t="str">
        <v>ADEL BEN MANSOUR</v>
      </c>
      <c r="M3" t="str">
        <v>ADELINE TUAL</v>
      </c>
      <c r="N3" t="str">
        <v>AURELIE COUDERT</v>
      </c>
    </row>
    <row r="4" spans="1:14" x14ac:dyDescent="0.3">
      <c r="A4" t="str">
        <v>Centre Atlantique</v>
      </c>
      <c r="B4">
        <v>3</v>
      </c>
      <c r="C4" t="s">
        <v>407</v>
      </c>
      <c r="D4" s="35" t="s">
        <v>3357</v>
      </c>
      <c r="E4">
        <v>4195</v>
      </c>
      <c r="F4" t="str">
        <v>15M &lt;</v>
      </c>
      <c r="G4" t="s">
        <v>3356</v>
      </c>
      <c r="H4" t="str">
        <v>COMPLAN TOBOSSI</v>
      </c>
      <c r="I4" t="str">
        <v>ARNAUD LEFRANCOIS</v>
      </c>
      <c r="J4" t="str">
        <v>ARNAUD DURUPT</v>
      </c>
      <c r="K4" t="str">
        <v>BENJAMIN BERSON</v>
      </c>
      <c r="L4" t="str">
        <v>ALEXANDRE LESTANG</v>
      </c>
      <c r="M4" t="str">
        <v>AGNES MOREIRA</v>
      </c>
      <c r="N4" t="str">
        <v>CAROLINE BONOT</v>
      </c>
    </row>
    <row r="5" spans="1:14" x14ac:dyDescent="0.3">
      <c r="A5" t="str">
        <v>Centre Est</v>
      </c>
      <c r="B5">
        <v>4</v>
      </c>
      <c r="D5" s="35" t="s">
        <v>3355</v>
      </c>
      <c r="E5">
        <v>4325</v>
      </c>
      <c r="F5" t="str">
        <v>15M &lt;...&lt; 20M</v>
      </c>
      <c r="G5" t="s">
        <v>3354</v>
      </c>
      <c r="H5" t="str">
        <v>DENIS LAISNE</v>
      </c>
      <c r="I5" t="str">
        <v>CYRILLE SUDRE</v>
      </c>
      <c r="J5" t="str">
        <v>BENJAMIN FERRARI</v>
      </c>
      <c r="K5" t="str">
        <v>CHARLOTTE BORBOUSE</v>
      </c>
      <c r="L5" t="str">
        <v>BAPTISTE TROHAY</v>
      </c>
      <c r="M5" t="str">
        <v>CARINE FERNANDES</v>
      </c>
      <c r="N5" t="str">
        <v>CELINE MAZZELLA</v>
      </c>
    </row>
    <row r="6" spans="1:14" x14ac:dyDescent="0.3">
      <c r="A6" t="str">
        <v>Est</v>
      </c>
      <c r="B6">
        <v>6</v>
      </c>
      <c r="E6">
        <v>4440</v>
      </c>
      <c r="F6" t="str">
        <v>20M &lt;...&lt; 25M</v>
      </c>
      <c r="G6" t="s">
        <v>3353</v>
      </c>
      <c r="H6" t="str">
        <v>FABIEN GOMEZ</v>
      </c>
      <c r="I6" t="str">
        <v>DENIS LOTIN</v>
      </c>
      <c r="J6" t="str">
        <v>FLORENT CERRI</v>
      </c>
      <c r="K6" t="str">
        <v>CYRIL BARDOU</v>
      </c>
      <c r="L6" t="str">
        <v>BRUNO MADY</v>
      </c>
      <c r="M6" t="str">
        <v>CARLOS DA ROCHA</v>
      </c>
      <c r="N6" t="str">
        <v>CHRISTELLE VALET</v>
      </c>
    </row>
    <row r="7" spans="1:14" x14ac:dyDescent="0.3">
      <c r="A7" t="str">
        <v>IDF</v>
      </c>
      <c r="B7">
        <v>8</v>
      </c>
      <c r="E7">
        <v>4562</v>
      </c>
      <c r="F7" t="str">
        <v>25M &lt;...&lt; 30M</v>
      </c>
      <c r="G7" t="s">
        <v>3352</v>
      </c>
      <c r="H7" t="str">
        <v>NASSIM SAHI</v>
      </c>
      <c r="I7" t="str">
        <v>DIDIER GAZEL</v>
      </c>
      <c r="J7" t="str">
        <v>J.C BIGNON</v>
      </c>
      <c r="K7" t="str">
        <v>GREGORY DUVAL</v>
      </c>
      <c r="L7" t="str">
        <v>DIDIER JUPILLAT</v>
      </c>
      <c r="M7" t="str">
        <v>CAROLINE BAS</v>
      </c>
      <c r="N7" t="str">
        <v>DALILA KERROUM</v>
      </c>
    </row>
    <row r="8" spans="1:14" x14ac:dyDescent="0.3">
      <c r="A8" t="str">
        <v>Nord</v>
      </c>
      <c r="B8">
        <v>9</v>
      </c>
      <c r="E8">
        <v>4719</v>
      </c>
      <c r="F8" t="str">
        <v>30M &lt;...&lt; 35M</v>
      </c>
      <c r="G8" t="s">
        <v>3351</v>
      </c>
      <c r="H8" t="str">
        <v>PHILIPPE LOISEL</v>
      </c>
      <c r="I8" t="str">
        <v>HERVE CHIGNIER</v>
      </c>
      <c r="J8" t="str">
        <v>JULIEN BOUCHEZ</v>
      </c>
      <c r="K8" t="str">
        <v>ISMAIL INCI</v>
      </c>
      <c r="L8" t="str">
        <v>EMILIEN BOUTVILLE</v>
      </c>
      <c r="M8" t="str">
        <v>CELINE CARDINE</v>
      </c>
      <c r="N8" t="str">
        <v>DHAMILLA MEKOUI</v>
      </c>
    </row>
    <row r="9" spans="1:14" x14ac:dyDescent="0.3">
      <c r="A9" t="str">
        <v>Nord Est</v>
      </c>
      <c r="B9">
        <v>10</v>
      </c>
      <c r="E9">
        <v>4962</v>
      </c>
      <c r="F9" t="str">
        <v>35M &lt;...&lt; 40M</v>
      </c>
      <c r="H9" t="str">
        <v>RODOLPHE VANDEWALLE</v>
      </c>
      <c r="I9" t="str">
        <v>JEROME JEGOU</v>
      </c>
      <c r="J9" t="str">
        <v>LINDA BOUBET</v>
      </c>
      <c r="K9" t="str">
        <v>JACQUES TEIVEIRA</v>
      </c>
      <c r="L9" t="str">
        <v>EVELYNE LARTAUD</v>
      </c>
      <c r="M9" t="str">
        <v>CHRISTELLE POISOT</v>
      </c>
      <c r="N9" t="str">
        <v>FABIEN BATNA</v>
      </c>
    </row>
    <row r="10" spans="1:14" x14ac:dyDescent="0.3">
      <c r="A10" t="str">
        <v>Normandie Loire</v>
      </c>
      <c r="B10">
        <v>11</v>
      </c>
      <c r="E10">
        <v>5009</v>
      </c>
      <c r="F10" t="str">
        <v>Non</v>
      </c>
      <c r="H10" t="str">
        <v>STEPHANE HERBAULT</v>
      </c>
      <c r="I10" t="str">
        <v>JEROME MIESZANIEC</v>
      </c>
      <c r="J10" t="str">
        <v>OLIVIER LEMAIRE</v>
      </c>
      <c r="K10" t="str">
        <v>LAURENT LECHAT</v>
      </c>
      <c r="L10" t="str">
        <v>JOHAN BERNABE</v>
      </c>
      <c r="M10" t="str">
        <v>CLAUDIE KLINGENBERG</v>
      </c>
      <c r="N10" t="str">
        <v>FATIHA DISS</v>
      </c>
    </row>
    <row r="11" spans="1:14" x14ac:dyDescent="0.3">
      <c r="A11" t="str">
        <v>Ouest</v>
      </c>
      <c r="B11">
        <v>12</v>
      </c>
      <c r="E11">
        <v>5054</v>
      </c>
      <c r="H11" t="str">
        <v>THOMAS VOISE</v>
      </c>
      <c r="I11" t="str">
        <v>LIONEL DAIM</v>
      </c>
      <c r="J11" t="str">
        <v>RACHID BARRIHANE</v>
      </c>
      <c r="K11" t="str">
        <v>MICKAEL ROULY</v>
      </c>
      <c r="L11" t="str">
        <v>MICKAEL BASTIDE</v>
      </c>
      <c r="M11" t="str">
        <v>JEROME MARSILLIAC</v>
      </c>
      <c r="N11" t="str">
        <v>LAURENCE DUBAU</v>
      </c>
    </row>
    <row r="12" spans="1:14" x14ac:dyDescent="0.3">
      <c r="A12" t="str">
        <v>Rhône Alpes</v>
      </c>
      <c r="B12">
        <v>13</v>
      </c>
      <c r="E12">
        <v>5102</v>
      </c>
      <c r="H12" t="str">
        <v>VICTOR MARTINS</v>
      </c>
      <c r="I12" t="str">
        <v>PHILIPPE BACHELET</v>
      </c>
      <c r="J12" t="str">
        <v>REMI REVEILLHES</v>
      </c>
      <c r="K12" t="str">
        <v>NICOLAS RISSE</v>
      </c>
      <c r="L12" t="str">
        <v>OLIVIER SAUGER</v>
      </c>
      <c r="M12" t="str">
        <v>JOAQUIM PEREIRA</v>
      </c>
      <c r="N12" t="str">
        <v>MAGUY FACHE</v>
      </c>
    </row>
    <row r="13" spans="1:14" x14ac:dyDescent="0.3">
      <c r="A13" t="str">
        <v>Sud Est</v>
      </c>
      <c r="B13">
        <v>14</v>
      </c>
      <c r="E13">
        <v>5151</v>
      </c>
      <c r="H13" t="str">
        <v>WILLIAM SAJOT</v>
      </c>
      <c r="I13" t="str">
        <v>PHILIPPE CASCALES</v>
      </c>
      <c r="J13" t="str">
        <v>ROMARIC GAUCHARD</v>
      </c>
      <c r="K13" t="str">
        <v>PHILIPPE LECLERC</v>
      </c>
      <c r="L13" t="str">
        <v>RODOLPHE PRIN</v>
      </c>
      <c r="M13" t="str">
        <v>KARINE DESGARDINS</v>
      </c>
      <c r="N13" t="str">
        <v>ORANE GAUDIN</v>
      </c>
    </row>
    <row r="14" spans="1:14" x14ac:dyDescent="0.3">
      <c r="A14" t="str">
        <v>Sud Ouest</v>
      </c>
      <c r="B14">
        <v>16</v>
      </c>
      <c r="E14">
        <v>5175</v>
      </c>
      <c r="H14" t="str">
        <v>WILLY GEANT</v>
      </c>
      <c r="I14" t="str">
        <v>STEPHANE FRAU</v>
      </c>
      <c r="J14" t="str">
        <v>SAMUEL RACHET</v>
      </c>
      <c r="K14" t="str">
        <v>REMY PASQUET</v>
      </c>
      <c r="L14" t="str">
        <v>VIRGINIE DIBARBOURE</v>
      </c>
      <c r="M14" t="str">
        <v>LUDIVINE GILLION</v>
      </c>
      <c r="N14" t="str">
        <v>SANDRA AVRIL</v>
      </c>
    </row>
    <row r="15" spans="1:14" x14ac:dyDescent="0.3">
      <c r="B15">
        <v>17</v>
      </c>
      <c r="E15">
        <v>5350</v>
      </c>
      <c r="K15" t="str">
        <v>YANNICK MARTIN</v>
      </c>
      <c r="M15" t="str">
        <v>SOPHIE DELCROIX</v>
      </c>
      <c r="N15" t="str">
        <v>SERENA REITER</v>
      </c>
    </row>
    <row r="16" spans="1:14" x14ac:dyDescent="0.3">
      <c r="B16">
        <v>18</v>
      </c>
      <c r="E16">
        <v>5465</v>
      </c>
      <c r="N16" t="str">
        <v>WILLIAM RENARD</v>
      </c>
    </row>
    <row r="17" spans="2:5" x14ac:dyDescent="0.3">
      <c r="B17">
        <v>19</v>
      </c>
      <c r="E17">
        <v>5485</v>
      </c>
    </row>
    <row r="18" spans="2:5" x14ac:dyDescent="0.3">
      <c r="B18">
        <v>21</v>
      </c>
      <c r="E18">
        <v>5500</v>
      </c>
    </row>
    <row r="19" spans="2:5" x14ac:dyDescent="0.3">
      <c r="B19">
        <v>22</v>
      </c>
      <c r="E19">
        <v>5515</v>
      </c>
    </row>
    <row r="20" spans="2:5" x14ac:dyDescent="0.3">
      <c r="B20">
        <v>24</v>
      </c>
      <c r="E20">
        <v>5520</v>
      </c>
    </row>
    <row r="21" spans="2:5" x14ac:dyDescent="0.3">
      <c r="B21">
        <v>25</v>
      </c>
      <c r="E21">
        <v>5538</v>
      </c>
    </row>
    <row r="22" spans="2:5" x14ac:dyDescent="0.3">
      <c r="B22">
        <v>26</v>
      </c>
      <c r="E22">
        <v>5540</v>
      </c>
    </row>
    <row r="23" spans="2:5" x14ac:dyDescent="0.3">
      <c r="B23">
        <v>27</v>
      </c>
      <c r="E23">
        <v>5636</v>
      </c>
    </row>
    <row r="24" spans="2:5" x14ac:dyDescent="0.3">
      <c r="B24">
        <v>28</v>
      </c>
      <c r="E24">
        <v>5689</v>
      </c>
    </row>
    <row r="25" spans="2:5" x14ac:dyDescent="0.3">
      <c r="B25">
        <v>29</v>
      </c>
      <c r="E25">
        <v>5700</v>
      </c>
    </row>
    <row r="26" spans="2:5" x14ac:dyDescent="0.3">
      <c r="B26">
        <v>30</v>
      </c>
      <c r="E26">
        <v>5720</v>
      </c>
    </row>
    <row r="27" spans="2:5" x14ac:dyDescent="0.3">
      <c r="B27">
        <v>32</v>
      </c>
      <c r="E27">
        <v>5749</v>
      </c>
    </row>
    <row r="28" spans="2:5" x14ac:dyDescent="0.3">
      <c r="B28">
        <v>33</v>
      </c>
      <c r="E28">
        <v>5810</v>
      </c>
    </row>
    <row r="29" spans="2:5" x14ac:dyDescent="0.3">
      <c r="B29">
        <v>34</v>
      </c>
      <c r="E29">
        <v>5825</v>
      </c>
    </row>
    <row r="30" spans="2:5" x14ac:dyDescent="0.3">
      <c r="B30">
        <v>35</v>
      </c>
      <c r="E30">
        <v>5836</v>
      </c>
    </row>
    <row r="31" spans="2:5" x14ac:dyDescent="0.3">
      <c r="B31">
        <v>36</v>
      </c>
      <c r="E31">
        <v>5848</v>
      </c>
    </row>
    <row r="32" spans="2:5" x14ac:dyDescent="0.3">
      <c r="B32">
        <v>37</v>
      </c>
      <c r="E32">
        <v>5868</v>
      </c>
    </row>
    <row r="33" spans="2:5" x14ac:dyDescent="0.3">
      <c r="B33">
        <v>40</v>
      </c>
      <c r="E33">
        <v>5885</v>
      </c>
    </row>
    <row r="34" spans="2:5" x14ac:dyDescent="0.3">
      <c r="B34">
        <v>41</v>
      </c>
      <c r="E34">
        <v>5900</v>
      </c>
    </row>
    <row r="35" spans="2:5" x14ac:dyDescent="0.3">
      <c r="B35">
        <v>42</v>
      </c>
      <c r="E35">
        <v>5903</v>
      </c>
    </row>
    <row r="36" spans="2:5" x14ac:dyDescent="0.3">
      <c r="B36">
        <v>44</v>
      </c>
      <c r="E36">
        <v>5907</v>
      </c>
    </row>
    <row r="37" spans="2:5" x14ac:dyDescent="0.3">
      <c r="B37">
        <v>45</v>
      </c>
      <c r="E37">
        <v>5935</v>
      </c>
    </row>
    <row r="38" spans="2:5" x14ac:dyDescent="0.3">
      <c r="B38">
        <v>49</v>
      </c>
      <c r="E38">
        <v>5950</v>
      </c>
    </row>
    <row r="39" spans="2:5" x14ac:dyDescent="0.3">
      <c r="B39">
        <v>50</v>
      </c>
      <c r="E39">
        <v>5952</v>
      </c>
    </row>
    <row r="40" spans="2:5" x14ac:dyDescent="0.3">
      <c r="B40">
        <v>51</v>
      </c>
      <c r="E40">
        <v>5990</v>
      </c>
    </row>
    <row r="41" spans="2:5" x14ac:dyDescent="0.3">
      <c r="B41">
        <v>52</v>
      </c>
      <c r="E41">
        <v>6030</v>
      </c>
    </row>
    <row r="42" spans="2:5" x14ac:dyDescent="0.3">
      <c r="B42">
        <v>53</v>
      </c>
      <c r="E42">
        <v>6118</v>
      </c>
    </row>
    <row r="43" spans="2:5" x14ac:dyDescent="0.3">
      <c r="B43">
        <v>54</v>
      </c>
      <c r="E43">
        <v>6130</v>
      </c>
    </row>
    <row r="44" spans="2:5" x14ac:dyDescent="0.3">
      <c r="B44">
        <v>56</v>
      </c>
      <c r="E44">
        <v>6179</v>
      </c>
    </row>
    <row r="45" spans="2:5" x14ac:dyDescent="0.3">
      <c r="B45">
        <v>57</v>
      </c>
      <c r="E45">
        <v>6190</v>
      </c>
    </row>
    <row r="46" spans="2:5" x14ac:dyDescent="0.3">
      <c r="B46">
        <v>58</v>
      </c>
      <c r="E46">
        <v>6290</v>
      </c>
    </row>
    <row r="47" spans="2:5" x14ac:dyDescent="0.3">
      <c r="B47">
        <v>59</v>
      </c>
      <c r="E47">
        <v>6313</v>
      </c>
    </row>
    <row r="48" spans="2:5" x14ac:dyDescent="0.3">
      <c r="B48">
        <v>60</v>
      </c>
      <c r="E48">
        <v>6343</v>
      </c>
    </row>
    <row r="49" spans="2:5" x14ac:dyDescent="0.3">
      <c r="B49">
        <v>62</v>
      </c>
      <c r="E49">
        <v>6370</v>
      </c>
    </row>
    <row r="50" spans="2:5" x14ac:dyDescent="0.3">
      <c r="B50">
        <v>63</v>
      </c>
      <c r="E50">
        <v>6372</v>
      </c>
    </row>
    <row r="51" spans="2:5" x14ac:dyDescent="0.3">
      <c r="B51">
        <v>64</v>
      </c>
      <c r="E51">
        <v>6390</v>
      </c>
    </row>
    <row r="52" spans="2:5" x14ac:dyDescent="0.3">
      <c r="B52">
        <v>65</v>
      </c>
      <c r="E52">
        <v>6415</v>
      </c>
    </row>
    <row r="53" spans="2:5" x14ac:dyDescent="0.3">
      <c r="B53">
        <v>66</v>
      </c>
      <c r="E53">
        <v>6450</v>
      </c>
    </row>
    <row r="54" spans="2:5" x14ac:dyDescent="0.3">
      <c r="B54">
        <v>67</v>
      </c>
      <c r="E54">
        <v>6462</v>
      </c>
    </row>
    <row r="55" spans="2:5" x14ac:dyDescent="0.3">
      <c r="B55">
        <v>68</v>
      </c>
      <c r="E55">
        <v>6480</v>
      </c>
    </row>
    <row r="56" spans="2:5" x14ac:dyDescent="0.3">
      <c r="B56">
        <v>69</v>
      </c>
      <c r="E56">
        <v>6515</v>
      </c>
    </row>
    <row r="57" spans="2:5" x14ac:dyDescent="0.3">
      <c r="B57">
        <v>71</v>
      </c>
      <c r="E57">
        <v>6566</v>
      </c>
    </row>
    <row r="58" spans="2:5" x14ac:dyDescent="0.3">
      <c r="B58">
        <v>72</v>
      </c>
      <c r="E58">
        <v>6576</v>
      </c>
    </row>
    <row r="59" spans="2:5" x14ac:dyDescent="0.3">
      <c r="B59">
        <v>73</v>
      </c>
      <c r="E59">
        <v>6660</v>
      </c>
    </row>
    <row r="60" spans="2:5" x14ac:dyDescent="0.3">
      <c r="B60">
        <v>74</v>
      </c>
      <c r="E60">
        <v>6690</v>
      </c>
    </row>
    <row r="61" spans="2:5" x14ac:dyDescent="0.3">
      <c r="B61">
        <v>76</v>
      </c>
      <c r="E61">
        <v>6700</v>
      </c>
    </row>
    <row r="62" spans="2:5" x14ac:dyDescent="0.3">
      <c r="B62">
        <v>77</v>
      </c>
      <c r="E62">
        <v>6747</v>
      </c>
    </row>
    <row r="63" spans="2:5" x14ac:dyDescent="0.3">
      <c r="B63">
        <v>78</v>
      </c>
      <c r="E63">
        <v>6800</v>
      </c>
    </row>
    <row r="64" spans="2:5" x14ac:dyDescent="0.3">
      <c r="B64">
        <v>80</v>
      </c>
      <c r="E64">
        <v>6866</v>
      </c>
    </row>
    <row r="65" spans="2:5" x14ac:dyDescent="0.3">
      <c r="B65">
        <v>81</v>
      </c>
      <c r="E65">
        <v>6887</v>
      </c>
    </row>
    <row r="66" spans="2:5" x14ac:dyDescent="0.3">
      <c r="B66">
        <v>82</v>
      </c>
      <c r="E66">
        <v>6945</v>
      </c>
    </row>
    <row r="67" spans="2:5" x14ac:dyDescent="0.3">
      <c r="B67">
        <v>83</v>
      </c>
      <c r="E67">
        <v>6975</v>
      </c>
    </row>
    <row r="68" spans="2:5" x14ac:dyDescent="0.3">
      <c r="B68">
        <v>84</v>
      </c>
      <c r="E68">
        <v>7000</v>
      </c>
    </row>
    <row r="69" spans="2:5" x14ac:dyDescent="0.3">
      <c r="B69">
        <v>85</v>
      </c>
      <c r="E69">
        <v>7009</v>
      </c>
    </row>
    <row r="70" spans="2:5" x14ac:dyDescent="0.3">
      <c r="B70">
        <v>86</v>
      </c>
      <c r="E70">
        <v>7019</v>
      </c>
    </row>
    <row r="71" spans="2:5" x14ac:dyDescent="0.3">
      <c r="B71">
        <v>88</v>
      </c>
      <c r="E71">
        <v>7046</v>
      </c>
    </row>
    <row r="72" spans="2:5" x14ac:dyDescent="0.3">
      <c r="B72">
        <v>89</v>
      </c>
      <c r="E72">
        <v>7099</v>
      </c>
    </row>
    <row r="73" spans="2:5" x14ac:dyDescent="0.3">
      <c r="B73">
        <v>91</v>
      </c>
      <c r="E73">
        <v>7106</v>
      </c>
    </row>
    <row r="74" spans="2:5" x14ac:dyDescent="0.3">
      <c r="B74">
        <v>92</v>
      </c>
      <c r="E74">
        <v>7155</v>
      </c>
    </row>
    <row r="75" spans="2:5" x14ac:dyDescent="0.3">
      <c r="B75">
        <v>93</v>
      </c>
      <c r="E75">
        <v>7200</v>
      </c>
    </row>
    <row r="76" spans="2:5" x14ac:dyDescent="0.3">
      <c r="B76">
        <v>95</v>
      </c>
      <c r="E76">
        <v>7223</v>
      </c>
    </row>
    <row r="77" spans="2:5" x14ac:dyDescent="0.3">
      <c r="E77">
        <v>7224</v>
      </c>
    </row>
    <row r="78" spans="2:5" x14ac:dyDescent="0.3">
      <c r="E78">
        <v>7250</v>
      </c>
    </row>
    <row r="79" spans="2:5" x14ac:dyDescent="0.3">
      <c r="E79">
        <v>7252</v>
      </c>
    </row>
    <row r="80" spans="2:5" x14ac:dyDescent="0.3">
      <c r="E80">
        <v>7292</v>
      </c>
    </row>
    <row r="81" spans="5:5" x14ac:dyDescent="0.3">
      <c r="E81">
        <v>7300</v>
      </c>
    </row>
    <row r="82" spans="5:5" x14ac:dyDescent="0.3">
      <c r="E82">
        <v>7316</v>
      </c>
    </row>
    <row r="83" spans="5:5" x14ac:dyDescent="0.3">
      <c r="E83">
        <v>7477</v>
      </c>
    </row>
    <row r="84" spans="5:5" x14ac:dyDescent="0.3">
      <c r="E84">
        <v>7550</v>
      </c>
    </row>
    <row r="85" spans="5:5" x14ac:dyDescent="0.3">
      <c r="E85">
        <v>7572</v>
      </c>
    </row>
    <row r="86" spans="5:5" x14ac:dyDescent="0.3">
      <c r="E86">
        <v>7578</v>
      </c>
    </row>
    <row r="87" spans="5:5" x14ac:dyDescent="0.3">
      <c r="E87">
        <v>7580</v>
      </c>
    </row>
    <row r="88" spans="5:5" x14ac:dyDescent="0.3">
      <c r="E88">
        <v>7597</v>
      </c>
    </row>
    <row r="89" spans="5:5" x14ac:dyDescent="0.3">
      <c r="E89">
        <v>7632</v>
      </c>
    </row>
    <row r="90" spans="5:5" x14ac:dyDescent="0.3">
      <c r="E90">
        <v>7642</v>
      </c>
    </row>
    <row r="91" spans="5:5" x14ac:dyDescent="0.3">
      <c r="E91">
        <v>7662</v>
      </c>
    </row>
    <row r="92" spans="5:5" x14ac:dyDescent="0.3">
      <c r="E92">
        <v>7765</v>
      </c>
    </row>
    <row r="93" spans="5:5" x14ac:dyDescent="0.3">
      <c r="E93">
        <v>7778</v>
      </c>
    </row>
    <row r="94" spans="5:5" x14ac:dyDescent="0.3">
      <c r="E94">
        <v>7819</v>
      </c>
    </row>
    <row r="95" spans="5:5" x14ac:dyDescent="0.3">
      <c r="E95">
        <v>7861</v>
      </c>
    </row>
    <row r="96" spans="5:5" x14ac:dyDescent="0.3">
      <c r="E96">
        <v>7990</v>
      </c>
    </row>
    <row r="97" spans="5:5" x14ac:dyDescent="0.3">
      <c r="E97">
        <v>8100</v>
      </c>
    </row>
    <row r="98" spans="5:5" x14ac:dyDescent="0.3">
      <c r="E98">
        <v>8181</v>
      </c>
    </row>
    <row r="99" spans="5:5" x14ac:dyDescent="0.3">
      <c r="E99">
        <v>8200</v>
      </c>
    </row>
    <row r="100" spans="5:5" x14ac:dyDescent="0.3">
      <c r="E100">
        <v>8260</v>
      </c>
    </row>
    <row r="101" spans="5:5" x14ac:dyDescent="0.3">
      <c r="E101">
        <v>8356</v>
      </c>
    </row>
    <row r="102" spans="5:5" x14ac:dyDescent="0.3">
      <c r="E102">
        <v>8400</v>
      </c>
    </row>
    <row r="103" spans="5:5" x14ac:dyDescent="0.3">
      <c r="E103">
        <v>8427</v>
      </c>
    </row>
    <row r="104" spans="5:5" x14ac:dyDescent="0.3">
      <c r="E104">
        <v>8460</v>
      </c>
    </row>
    <row r="105" spans="5:5" x14ac:dyDescent="0.3">
      <c r="E105">
        <v>8600</v>
      </c>
    </row>
    <row r="106" spans="5:5" x14ac:dyDescent="0.3">
      <c r="E106">
        <v>8647</v>
      </c>
    </row>
    <row r="107" spans="5:5" x14ac:dyDescent="0.3">
      <c r="E107">
        <v>8715</v>
      </c>
    </row>
    <row r="108" spans="5:5" x14ac:dyDescent="0.3">
      <c r="E108">
        <v>8834</v>
      </c>
    </row>
    <row r="109" spans="5:5" x14ac:dyDescent="0.3">
      <c r="E109">
        <v>9020</v>
      </c>
    </row>
    <row r="110" spans="5:5" x14ac:dyDescent="0.3">
      <c r="E110">
        <v>9300</v>
      </c>
    </row>
    <row r="111" spans="5:5" x14ac:dyDescent="0.3">
      <c r="E111">
        <v>9660</v>
      </c>
    </row>
    <row r="112" spans="5:5" x14ac:dyDescent="0.3">
      <c r="E112">
        <v>9900</v>
      </c>
    </row>
    <row r="113" spans="5:5" x14ac:dyDescent="0.3">
      <c r="E113">
        <v>10493</v>
      </c>
    </row>
    <row r="114" spans="5:5" x14ac:dyDescent="0.3">
      <c r="E114" t="str">
        <v/>
      </c>
    </row>
  </sheetData>
  <dataConsolidate function="countNums">
    <dataRefs count="1">
      <dataRef ref="E2:E112" sheet="filtres" r:id="rId1"/>
    </dataRefs>
  </dataConsolidate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F05D2-7860-4730-897C-510456A9C079}">
  <sheetPr codeName="BDD"/>
  <dimension ref="A1:IL126"/>
  <sheetViews>
    <sheetView zoomScale="70" zoomScaleNormal="70" workbookViewId="0">
      <selection activeCell="A2" sqref="A2:IL126"/>
    </sheetView>
  </sheetViews>
  <sheetFormatPr baseColWidth="10" defaultRowHeight="14.4" x14ac:dyDescent="0.3"/>
  <cols>
    <col min="1" max="1" width="14.44140625" bestFit="1" customWidth="1"/>
    <col min="2" max="2" width="14.88671875" bestFit="1" customWidth="1"/>
    <col min="3" max="3" width="36.88671875" bestFit="1" customWidth="1"/>
    <col min="4" max="4" width="27.77734375" bestFit="1" customWidth="1"/>
    <col min="5" max="5" width="9.6640625" bestFit="1" customWidth="1"/>
    <col min="6" max="6" width="16.109375" bestFit="1" customWidth="1"/>
    <col min="7" max="7" width="20.88671875" bestFit="1" customWidth="1"/>
    <col min="8" max="8" width="30.109375" bestFit="1" customWidth="1"/>
    <col min="9" max="9" width="26.6640625" bestFit="1" customWidth="1"/>
    <col min="10" max="10" width="46.77734375" bestFit="1" customWidth="1"/>
    <col min="11" max="11" width="28" bestFit="1" customWidth="1"/>
    <col min="12" max="12" width="31.5546875" bestFit="1" customWidth="1"/>
    <col min="13" max="13" width="34.44140625" bestFit="1" customWidth="1"/>
    <col min="14" max="14" width="51.5546875" bestFit="1" customWidth="1"/>
    <col min="15" max="15" width="25.6640625" bestFit="1" customWidth="1"/>
    <col min="16" max="16" width="21.88671875" bestFit="1" customWidth="1"/>
    <col min="17" max="17" width="21.33203125" bestFit="1" customWidth="1"/>
    <col min="18" max="18" width="22.33203125" bestFit="1" customWidth="1"/>
    <col min="19" max="19" width="33.77734375" bestFit="1" customWidth="1"/>
    <col min="20" max="20" width="50" bestFit="1" customWidth="1"/>
    <col min="21" max="21" width="27.5546875" bestFit="1" customWidth="1"/>
    <col min="22" max="22" width="24.109375" bestFit="1" customWidth="1"/>
    <col min="23" max="23" width="26.77734375" bestFit="1" customWidth="1"/>
    <col min="24" max="25" width="24.109375" bestFit="1" customWidth="1"/>
    <col min="26" max="26" width="32.21875" bestFit="1" customWidth="1"/>
    <col min="27" max="27" width="31.6640625" bestFit="1" customWidth="1"/>
    <col min="28" max="28" width="24.109375" bestFit="1" customWidth="1"/>
    <col min="29" max="29" width="28.33203125" bestFit="1" customWidth="1"/>
    <col min="30" max="30" width="35.77734375" bestFit="1" customWidth="1"/>
    <col min="31" max="31" width="49.77734375" bestFit="1" customWidth="1"/>
    <col min="32" max="32" width="29.77734375" bestFit="1" customWidth="1"/>
    <col min="33" max="33" width="22.21875" bestFit="1" customWidth="1"/>
    <col min="34" max="34" width="26.33203125" bestFit="1" customWidth="1"/>
    <col min="35" max="35" width="33.33203125" bestFit="1" customWidth="1"/>
    <col min="36" max="36" width="51.21875" bestFit="1" customWidth="1"/>
    <col min="37" max="37" width="27.5546875" bestFit="1" customWidth="1"/>
    <col min="38" max="38" width="19.77734375" bestFit="1" customWidth="1"/>
    <col min="39" max="39" width="24.109375" bestFit="1" customWidth="1"/>
    <col min="40" max="40" width="38.5546875" bestFit="1" customWidth="1"/>
    <col min="41" max="41" width="46.6640625" bestFit="1" customWidth="1"/>
    <col min="42" max="42" width="30.109375" bestFit="1" customWidth="1"/>
    <col min="43" max="43" width="23.88671875" bestFit="1" customWidth="1"/>
    <col min="44" max="44" width="26.77734375" bestFit="1" customWidth="1"/>
    <col min="45" max="45" width="29.44140625" bestFit="1" customWidth="1"/>
    <col min="46" max="46" width="35.21875" bestFit="1" customWidth="1"/>
    <col min="47" max="47" width="23.77734375" bestFit="1" customWidth="1"/>
    <col min="48" max="48" width="23.88671875" bestFit="1" customWidth="1"/>
    <col min="49" max="49" width="20.21875" bestFit="1" customWidth="1"/>
    <col min="50" max="50" width="34.44140625" bestFit="1" customWidth="1"/>
    <col min="51" max="51" width="27.88671875" bestFit="1" customWidth="1"/>
    <col min="52" max="52" width="33.77734375" bestFit="1" customWidth="1"/>
    <col min="53" max="53" width="29.109375" bestFit="1" customWidth="1"/>
    <col min="54" max="54" width="56.33203125" bestFit="1" customWidth="1"/>
    <col min="55" max="55" width="29.33203125" bestFit="1" customWidth="1"/>
    <col min="56" max="56" width="16.109375" bestFit="1" customWidth="1"/>
    <col min="57" max="57" width="24.44140625" bestFit="1" customWidth="1"/>
    <col min="58" max="58" width="30.88671875" bestFit="1" customWidth="1"/>
    <col min="59" max="59" width="32.44140625" bestFit="1" customWidth="1"/>
    <col min="60" max="60" width="11.6640625" bestFit="1" customWidth="1"/>
    <col min="61" max="61" width="10.109375" bestFit="1" customWidth="1"/>
    <col min="62" max="62" width="19.6640625" bestFit="1" customWidth="1"/>
    <col min="63" max="63" width="22.77734375" bestFit="1" customWidth="1"/>
    <col min="64" max="64" width="28.33203125" bestFit="1" customWidth="1"/>
    <col min="65" max="65" width="31.21875" bestFit="1" customWidth="1"/>
    <col min="66" max="66" width="28.33203125" bestFit="1" customWidth="1"/>
    <col min="67" max="67" width="31.21875" bestFit="1" customWidth="1"/>
    <col min="68" max="68" width="28.33203125" bestFit="1" customWidth="1"/>
    <col min="69" max="69" width="31.21875" bestFit="1" customWidth="1"/>
    <col min="70" max="70" width="20.44140625" bestFit="1" customWidth="1"/>
    <col min="71" max="71" width="15" bestFit="1" customWidth="1"/>
    <col min="72" max="73" width="15.33203125" bestFit="1" customWidth="1"/>
    <col min="74" max="74" width="23.33203125" bestFit="1" customWidth="1"/>
    <col min="75" max="75" width="25.6640625" bestFit="1" customWidth="1"/>
    <col min="76" max="76" width="15.5546875" bestFit="1" customWidth="1"/>
    <col min="77" max="77" width="16.33203125" bestFit="1" customWidth="1"/>
    <col min="78" max="78" width="19.77734375" bestFit="1" customWidth="1"/>
    <col min="79" max="79" width="19.6640625" bestFit="1" customWidth="1"/>
    <col min="80" max="80" width="16.33203125" bestFit="1" customWidth="1"/>
    <col min="81" max="81" width="18.6640625" bestFit="1" customWidth="1"/>
    <col min="82" max="82" width="15.6640625" bestFit="1" customWidth="1"/>
    <col min="83" max="83" width="21.5546875" bestFit="1" customWidth="1"/>
    <col min="84" max="84" width="18.21875" bestFit="1" customWidth="1"/>
    <col min="85" max="85" width="17.5546875" bestFit="1" customWidth="1"/>
    <col min="86" max="86" width="24.44140625" bestFit="1" customWidth="1"/>
    <col min="87" max="87" width="19.6640625" bestFit="1" customWidth="1"/>
    <col min="88" max="88" width="22" bestFit="1" customWidth="1"/>
    <col min="89" max="89" width="25.6640625" bestFit="1" customWidth="1"/>
    <col min="90" max="90" width="65.5546875" bestFit="1" customWidth="1"/>
    <col min="91" max="91" width="25.6640625" bestFit="1" customWidth="1"/>
    <col min="92" max="92" width="19" bestFit="1" customWidth="1"/>
    <col min="93" max="93" width="19.6640625" bestFit="1" customWidth="1"/>
    <col min="94" max="94" width="27.44140625" bestFit="1" customWidth="1"/>
    <col min="95" max="95" width="20.5546875" bestFit="1" customWidth="1"/>
    <col min="96" max="96" width="26.109375" bestFit="1" customWidth="1"/>
    <col min="97" max="97" width="21.88671875" bestFit="1" customWidth="1"/>
    <col min="98" max="98" width="28.5546875" bestFit="1" customWidth="1"/>
    <col min="99" max="99" width="21.109375" bestFit="1" customWidth="1"/>
    <col min="100" max="100" width="16.77734375" bestFit="1" customWidth="1"/>
    <col min="101" max="101" width="18.5546875" bestFit="1" customWidth="1"/>
    <col min="102" max="102" width="31.6640625" bestFit="1" customWidth="1"/>
    <col min="103" max="103" width="14.44140625" bestFit="1" customWidth="1"/>
    <col min="104" max="104" width="21.6640625" bestFit="1" customWidth="1"/>
    <col min="105" max="105" width="16.33203125" bestFit="1" customWidth="1"/>
    <col min="106" max="106" width="31.6640625" bestFit="1" customWidth="1"/>
    <col min="107" max="107" width="23.77734375" bestFit="1" customWidth="1"/>
    <col min="108" max="108" width="33.5546875" bestFit="1" customWidth="1"/>
    <col min="109" max="109" width="30.5546875" bestFit="1" customWidth="1"/>
    <col min="110" max="110" width="27.88671875" bestFit="1" customWidth="1"/>
    <col min="111" max="111" width="31.6640625" bestFit="1" customWidth="1"/>
    <col min="112" max="112" width="39" bestFit="1" customWidth="1"/>
    <col min="113" max="113" width="29.44140625" bestFit="1" customWidth="1"/>
    <col min="114" max="114" width="33.77734375" bestFit="1" customWidth="1"/>
    <col min="115" max="115" width="26.77734375" bestFit="1" customWidth="1"/>
    <col min="116" max="116" width="80.88671875" bestFit="1" customWidth="1"/>
    <col min="117" max="117" width="29" bestFit="1" customWidth="1"/>
    <col min="118" max="118" width="25" bestFit="1" customWidth="1"/>
    <col min="119" max="119" width="25.6640625" bestFit="1" customWidth="1"/>
    <col min="120" max="120" width="36.77734375" bestFit="1" customWidth="1"/>
    <col min="121" max="121" width="28.88671875" bestFit="1" customWidth="1"/>
    <col min="122" max="122" width="26.88671875" bestFit="1" customWidth="1"/>
    <col min="123" max="123" width="22.44140625" bestFit="1" customWidth="1"/>
    <col min="124" max="124" width="16.44140625" bestFit="1" customWidth="1"/>
    <col min="125" max="125" width="21.88671875" bestFit="1" customWidth="1"/>
    <col min="126" max="126" width="19" bestFit="1" customWidth="1"/>
    <col min="127" max="127" width="26.109375" bestFit="1" customWidth="1"/>
    <col min="128" max="128" width="31.21875" bestFit="1" customWidth="1"/>
    <col min="129" max="129" width="30.21875" bestFit="1" customWidth="1"/>
    <col min="130" max="130" width="21.5546875" bestFit="1" customWidth="1"/>
    <col min="131" max="131" width="26.33203125" bestFit="1" customWidth="1"/>
    <col min="132" max="132" width="26.77734375" bestFit="1" customWidth="1"/>
    <col min="133" max="134" width="22.33203125" bestFit="1" customWidth="1"/>
    <col min="135" max="135" width="27.109375" bestFit="1" customWidth="1"/>
    <col min="136" max="136" width="15" bestFit="1" customWidth="1"/>
    <col min="137" max="137" width="28.88671875" bestFit="1" customWidth="1"/>
    <col min="138" max="138" width="12.6640625" bestFit="1" customWidth="1"/>
    <col min="139" max="139" width="20.21875" bestFit="1" customWidth="1"/>
    <col min="140" max="140" width="17.109375" bestFit="1" customWidth="1"/>
    <col min="141" max="141" width="25.6640625" bestFit="1" customWidth="1"/>
    <col min="142" max="142" width="30.88671875" bestFit="1" customWidth="1"/>
    <col min="143" max="143" width="29.44140625" bestFit="1" customWidth="1"/>
    <col min="144" max="144" width="20" bestFit="1" customWidth="1"/>
    <col min="145" max="145" width="23.109375" bestFit="1" customWidth="1"/>
    <col min="146" max="146" width="25" bestFit="1" customWidth="1"/>
    <col min="147" max="147" width="36" bestFit="1" customWidth="1"/>
    <col min="148" max="149" width="40.88671875" bestFit="1" customWidth="1"/>
    <col min="150" max="150" width="13.109375" bestFit="1" customWidth="1"/>
    <col min="151" max="151" width="16.77734375" bestFit="1" customWidth="1"/>
    <col min="152" max="152" width="43.33203125" bestFit="1" customWidth="1"/>
    <col min="153" max="153" width="15.77734375" bestFit="1" customWidth="1"/>
    <col min="154" max="154" width="28.33203125" bestFit="1" customWidth="1"/>
    <col min="155" max="155" width="19.77734375" bestFit="1" customWidth="1"/>
    <col min="156" max="156" width="16.88671875" bestFit="1" customWidth="1"/>
    <col min="157" max="157" width="19.44140625" bestFit="1" customWidth="1"/>
    <col min="158" max="158" width="59" bestFit="1" customWidth="1"/>
    <col min="159" max="159" width="40.77734375" bestFit="1" customWidth="1"/>
    <col min="160" max="160" width="22" bestFit="1" customWidth="1"/>
    <col min="161" max="161" width="20.21875" bestFit="1" customWidth="1"/>
    <col min="162" max="162" width="27.21875" bestFit="1" customWidth="1"/>
    <col min="163" max="163" width="29.44140625" bestFit="1" customWidth="1"/>
    <col min="164" max="164" width="18.5546875" bestFit="1" customWidth="1"/>
    <col min="165" max="165" width="21.5546875" bestFit="1" customWidth="1"/>
    <col min="166" max="166" width="15.6640625" bestFit="1" customWidth="1"/>
    <col min="167" max="167" width="26" bestFit="1" customWidth="1"/>
    <col min="168" max="168" width="20.109375" bestFit="1" customWidth="1"/>
    <col min="169" max="169" width="36.44140625" bestFit="1" customWidth="1"/>
    <col min="170" max="170" width="36.6640625" bestFit="1" customWidth="1"/>
    <col min="171" max="171" width="17.109375" bestFit="1" customWidth="1"/>
    <col min="172" max="172" width="30.109375" bestFit="1" customWidth="1"/>
    <col min="173" max="173" width="30.21875" bestFit="1" customWidth="1"/>
    <col min="174" max="175" width="22.6640625" bestFit="1" customWidth="1"/>
    <col min="176" max="176" width="29.77734375" bestFit="1" customWidth="1"/>
    <col min="177" max="177" width="27.109375" bestFit="1" customWidth="1"/>
    <col min="178" max="178" width="7.5546875" bestFit="1" customWidth="1"/>
    <col min="179" max="179" width="32.21875" bestFit="1" customWidth="1"/>
    <col min="180" max="180" width="27.77734375" bestFit="1" customWidth="1"/>
    <col min="181" max="181" width="34.6640625" bestFit="1" customWidth="1"/>
    <col min="182" max="182" width="21.33203125" bestFit="1" customWidth="1"/>
    <col min="183" max="183" width="42.77734375" bestFit="1" customWidth="1"/>
    <col min="184" max="184" width="25.77734375" bestFit="1" customWidth="1"/>
    <col min="185" max="185" width="28.21875" bestFit="1" customWidth="1"/>
    <col min="186" max="186" width="34.5546875" bestFit="1" customWidth="1"/>
    <col min="187" max="187" width="21.109375" bestFit="1" customWidth="1"/>
    <col min="188" max="188" width="15.33203125" bestFit="1" customWidth="1"/>
    <col min="189" max="189" width="13.88671875" bestFit="1" customWidth="1"/>
    <col min="190" max="190" width="16.6640625" bestFit="1" customWidth="1"/>
    <col min="191" max="191" width="42.33203125" bestFit="1" customWidth="1"/>
    <col min="192" max="192" width="9.33203125" bestFit="1" customWidth="1"/>
    <col min="193" max="193" width="13.77734375" bestFit="1" customWidth="1"/>
    <col min="194" max="194" width="10.5546875" bestFit="1" customWidth="1"/>
    <col min="195" max="195" width="25.21875" bestFit="1" customWidth="1"/>
    <col min="196" max="196" width="30" bestFit="1" customWidth="1"/>
    <col min="197" max="197" width="8" bestFit="1" customWidth="1"/>
    <col min="198" max="198" width="22" bestFit="1" customWidth="1"/>
    <col min="199" max="199" width="80.88671875" bestFit="1" customWidth="1"/>
    <col min="200" max="200" width="25.5546875" bestFit="1" customWidth="1"/>
    <col min="201" max="201" width="20.21875" bestFit="1" customWidth="1"/>
    <col min="202" max="202" width="13.44140625" bestFit="1" customWidth="1"/>
    <col min="203" max="203" width="43.88671875" bestFit="1" customWidth="1"/>
    <col min="204" max="204" width="10.44140625" bestFit="1" customWidth="1"/>
    <col min="205" max="205" width="20.44140625" bestFit="1" customWidth="1"/>
    <col min="206" max="206" width="19.6640625" bestFit="1" customWidth="1"/>
    <col min="207" max="207" width="19" bestFit="1" customWidth="1"/>
    <col min="208" max="208" width="13.77734375" bestFit="1" customWidth="1"/>
    <col min="209" max="209" width="22.21875" bestFit="1" customWidth="1"/>
    <col min="210" max="210" width="11.5546875" bestFit="1" customWidth="1"/>
    <col min="211" max="211" width="15.77734375" bestFit="1" customWidth="1"/>
    <col min="212" max="212" width="21.6640625" bestFit="1" customWidth="1"/>
    <col min="213" max="213" width="25.77734375" bestFit="1" customWidth="1"/>
    <col min="214" max="214" width="28.88671875" bestFit="1" customWidth="1"/>
    <col min="215" max="215" width="23.44140625" bestFit="1" customWidth="1"/>
    <col min="216" max="216" width="30.109375" bestFit="1" customWidth="1"/>
    <col min="217" max="217" width="20.44140625" bestFit="1" customWidth="1"/>
    <col min="218" max="218" width="26" bestFit="1" customWidth="1"/>
    <col min="219" max="219" width="30.77734375" bestFit="1" customWidth="1"/>
    <col min="220" max="220" width="16.44140625" bestFit="1" customWidth="1"/>
    <col min="221" max="221" width="22" bestFit="1" customWidth="1"/>
    <col min="222" max="222" width="19.6640625" bestFit="1" customWidth="1"/>
    <col min="223" max="223" width="16.77734375" bestFit="1" customWidth="1"/>
    <col min="224" max="224" width="69.33203125" bestFit="1" customWidth="1"/>
    <col min="225" max="225" width="23.109375" bestFit="1" customWidth="1"/>
    <col min="226" max="226" width="31.21875" bestFit="1" customWidth="1"/>
    <col min="227" max="227" width="19.44140625" bestFit="1" customWidth="1"/>
    <col min="228" max="228" width="32.21875" bestFit="1" customWidth="1"/>
    <col min="229" max="229" width="17.21875" bestFit="1" customWidth="1"/>
    <col min="230" max="230" width="18" bestFit="1" customWidth="1"/>
    <col min="231" max="231" width="23.109375" bestFit="1" customWidth="1"/>
    <col min="232" max="232" width="21.88671875" bestFit="1" customWidth="1"/>
    <col min="233" max="233" width="15.6640625" bestFit="1" customWidth="1"/>
    <col min="234" max="234" width="23.109375" bestFit="1" customWidth="1"/>
    <col min="235" max="235" width="39" bestFit="1" customWidth="1"/>
    <col min="236" max="236" width="31.33203125" bestFit="1" customWidth="1"/>
    <col min="237" max="237" width="20.77734375" bestFit="1" customWidth="1"/>
    <col min="238" max="238" width="15.77734375" bestFit="1" customWidth="1"/>
    <col min="239" max="244" width="17.44140625" bestFit="1" customWidth="1"/>
    <col min="245" max="245" width="17.44140625" customWidth="1"/>
    <col min="246" max="247" width="13.109375" bestFit="1" customWidth="1"/>
  </cols>
  <sheetData>
    <row r="1" spans="1:246" x14ac:dyDescent="0.3">
      <c r="A1" t="s">
        <v>1</v>
      </c>
      <c r="B1" t="s">
        <v>2</v>
      </c>
      <c r="C1" t="s">
        <v>3</v>
      </c>
      <c r="D1" t="s">
        <v>4</v>
      </c>
      <c r="E1" t="s">
        <v>3274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3387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  <c r="HL1" t="s">
        <v>219</v>
      </c>
      <c r="HM1" t="s">
        <v>220</v>
      </c>
      <c r="HN1" t="s">
        <v>221</v>
      </c>
      <c r="HO1" t="s">
        <v>222</v>
      </c>
      <c r="HP1" t="s">
        <v>223</v>
      </c>
      <c r="HQ1" t="s">
        <v>224</v>
      </c>
      <c r="HR1" t="s">
        <v>225</v>
      </c>
      <c r="HS1" t="s">
        <v>226</v>
      </c>
      <c r="HT1" t="s">
        <v>227</v>
      </c>
      <c r="HU1" t="s">
        <v>228</v>
      </c>
      <c r="HV1" t="s">
        <v>229</v>
      </c>
      <c r="HW1" t="s">
        <v>230</v>
      </c>
      <c r="HX1" t="s">
        <v>231</v>
      </c>
      <c r="HY1" t="s">
        <v>232</v>
      </c>
      <c r="HZ1" t="s">
        <v>233</v>
      </c>
      <c r="IA1" t="s">
        <v>234</v>
      </c>
      <c r="IB1" t="s">
        <v>235</v>
      </c>
      <c r="IC1" t="s">
        <v>236</v>
      </c>
      <c r="ID1" t="s">
        <v>237</v>
      </c>
      <c r="IE1" t="s">
        <v>238</v>
      </c>
      <c r="IF1" t="s">
        <v>239</v>
      </c>
      <c r="IG1" t="s">
        <v>240</v>
      </c>
      <c r="IH1" t="s">
        <v>241</v>
      </c>
      <c r="II1" t="s">
        <v>242</v>
      </c>
      <c r="IJ1" t="s">
        <v>243</v>
      </c>
      <c r="IK1" t="s">
        <v>244</v>
      </c>
      <c r="IL1" t="s">
        <v>3270</v>
      </c>
    </row>
    <row r="2" spans="1:246" x14ac:dyDescent="0.3">
      <c r="A2">
        <v>1951</v>
      </c>
      <c r="B2">
        <v>2452</v>
      </c>
      <c r="C2" s="1" t="s">
        <v>2657</v>
      </c>
      <c r="D2" s="1" t="s">
        <v>1103</v>
      </c>
      <c r="E2" t="s">
        <v>3275</v>
      </c>
      <c r="F2" s="1" t="s">
        <v>2504</v>
      </c>
      <c r="G2" s="1" t="s">
        <v>2505</v>
      </c>
      <c r="H2">
        <v>610925352</v>
      </c>
      <c r="I2" s="1" t="s">
        <v>2658</v>
      </c>
      <c r="J2" s="1" t="s">
        <v>2659</v>
      </c>
      <c r="L2">
        <v>44396</v>
      </c>
      <c r="M2" s="1" t="s">
        <v>524</v>
      </c>
      <c r="N2" s="1"/>
      <c r="P2" s="1"/>
      <c r="Q2" s="1" t="s">
        <v>2658</v>
      </c>
      <c r="R2" s="1" t="s">
        <v>2729</v>
      </c>
      <c r="S2" s="1" t="s">
        <v>2660</v>
      </c>
      <c r="T2" s="1" t="s">
        <v>2661</v>
      </c>
      <c r="U2">
        <v>479315208</v>
      </c>
      <c r="V2" s="1"/>
      <c r="W2" s="1" t="s">
        <v>2840</v>
      </c>
      <c r="X2" s="1" t="s">
        <v>2796</v>
      </c>
      <c r="Y2" s="1" t="s">
        <v>2662</v>
      </c>
      <c r="Z2" s="1" t="s">
        <v>2663</v>
      </c>
      <c r="AA2">
        <v>479315204</v>
      </c>
      <c r="AB2" s="1" t="s">
        <v>2751</v>
      </c>
      <c r="AC2" s="1" t="s">
        <v>2707</v>
      </c>
      <c r="AD2" s="1" t="s">
        <v>2664</v>
      </c>
      <c r="AE2" s="1" t="s">
        <v>2665</v>
      </c>
      <c r="AF2">
        <v>479315205</v>
      </c>
      <c r="AG2" s="1" t="s">
        <v>2701</v>
      </c>
      <c r="AH2" s="1" t="s">
        <v>2736</v>
      </c>
      <c r="AI2" s="1" t="s">
        <v>2666</v>
      </c>
      <c r="AJ2" s="1" t="s">
        <v>2661</v>
      </c>
      <c r="AK2">
        <v>479315208</v>
      </c>
      <c r="AL2" s="1" t="s">
        <v>2804</v>
      </c>
      <c r="AM2" s="1" t="s">
        <v>2514</v>
      </c>
      <c r="AN2" s="1" t="s">
        <v>2667</v>
      </c>
      <c r="AO2" s="1" t="s">
        <v>2668</v>
      </c>
      <c r="AP2">
        <v>479315202</v>
      </c>
      <c r="AQ2" s="1" t="s">
        <v>2725</v>
      </c>
      <c r="AR2" s="1" t="s">
        <v>2829</v>
      </c>
      <c r="AS2" s="1" t="s">
        <v>2669</v>
      </c>
      <c r="AT2" s="1" t="s">
        <v>2670</v>
      </c>
      <c r="AU2">
        <v>479315207</v>
      </c>
      <c r="AV2" s="1" t="s">
        <v>2725</v>
      </c>
      <c r="AW2" s="1" t="s">
        <v>2741</v>
      </c>
      <c r="AX2" s="1" t="s">
        <v>2520</v>
      </c>
      <c r="AY2">
        <v>789331665</v>
      </c>
      <c r="AZ2" s="1" t="s">
        <v>2430</v>
      </c>
      <c r="BB2" s="1" t="s">
        <v>2671</v>
      </c>
      <c r="BC2" s="1" t="s">
        <v>2672</v>
      </c>
      <c r="BD2">
        <v>73</v>
      </c>
      <c r="BE2">
        <v>479315208</v>
      </c>
      <c r="BF2">
        <v>48.793170000000003</v>
      </c>
      <c r="BG2">
        <v>2.625702</v>
      </c>
      <c r="BH2">
        <v>451647903</v>
      </c>
      <c r="BI2">
        <v>1445</v>
      </c>
      <c r="BJ2" s="2">
        <v>43278</v>
      </c>
      <c r="BK2" s="1" t="s">
        <v>3319</v>
      </c>
      <c r="BL2" s="1" t="s">
        <v>290</v>
      </c>
      <c r="BM2" s="1" t="s">
        <v>291</v>
      </c>
      <c r="BN2" s="1" t="s">
        <v>292</v>
      </c>
      <c r="BO2" s="1" t="s">
        <v>291</v>
      </c>
      <c r="BP2" s="1" t="s">
        <v>293</v>
      </c>
      <c r="BQ2" s="1" t="s">
        <v>294</v>
      </c>
      <c r="BR2">
        <v>80</v>
      </c>
      <c r="BS2">
        <v>14483424.640000001</v>
      </c>
      <c r="BT2" s="1" t="s">
        <v>295</v>
      </c>
      <c r="BU2" s="1" t="s">
        <v>663</v>
      </c>
      <c r="BV2">
        <v>205262</v>
      </c>
      <c r="BW2">
        <v>1.3507184640838318E-2</v>
      </c>
      <c r="BX2">
        <v>43.542691369420503</v>
      </c>
      <c r="BY2">
        <v>3.0785422298411</v>
      </c>
      <c r="BZ2">
        <v>1.4677518076525793</v>
      </c>
      <c r="CA2">
        <v>48.088985406914176</v>
      </c>
      <c r="CB2" s="1"/>
      <c r="CD2" s="1" t="s">
        <v>402</v>
      </c>
      <c r="CE2" s="1" t="s">
        <v>361</v>
      </c>
      <c r="CF2">
        <v>1106</v>
      </c>
      <c r="CG2" s="1" t="s">
        <v>362</v>
      </c>
      <c r="CH2" s="1" t="s">
        <v>363</v>
      </c>
      <c r="CI2" s="1" t="s">
        <v>364</v>
      </c>
      <c r="CJ2" s="1" t="s">
        <v>363</v>
      </c>
      <c r="CK2" s="1" t="s">
        <v>364</v>
      </c>
      <c r="CL2" s="1" t="s">
        <v>2673</v>
      </c>
      <c r="CM2">
        <v>3601651111007</v>
      </c>
      <c r="CO2" s="1"/>
      <c r="CP2" s="1" t="s">
        <v>444</v>
      </c>
      <c r="CQ2" s="1" t="s">
        <v>367</v>
      </c>
      <c r="CR2" s="1" t="s">
        <v>306</v>
      </c>
      <c r="CS2">
        <v>7250</v>
      </c>
      <c r="CT2">
        <v>3125</v>
      </c>
      <c r="CU2">
        <v>3000</v>
      </c>
      <c r="CV2" s="1" t="s">
        <v>309</v>
      </c>
      <c r="CW2" s="1" t="s">
        <v>308</v>
      </c>
      <c r="CY2">
        <v>3619</v>
      </c>
      <c r="CZ2">
        <v>3500</v>
      </c>
      <c r="DA2" s="1" t="s">
        <v>307</v>
      </c>
      <c r="DB2">
        <v>3619</v>
      </c>
      <c r="DC2">
        <v>3619</v>
      </c>
      <c r="DD2">
        <v>0</v>
      </c>
      <c r="DE2">
        <v>0</v>
      </c>
      <c r="DF2">
        <v>1400</v>
      </c>
      <c r="DG2">
        <v>2219</v>
      </c>
      <c r="DH2">
        <v>0</v>
      </c>
      <c r="DI2">
        <v>0</v>
      </c>
      <c r="DJ2">
        <v>0</v>
      </c>
      <c r="DK2" s="1" t="s">
        <v>409</v>
      </c>
      <c r="DL2" s="1" t="s">
        <v>2674</v>
      </c>
      <c r="DN2" s="1"/>
      <c r="DO2">
        <v>685</v>
      </c>
      <c r="DP2">
        <v>0</v>
      </c>
      <c r="DQ2">
        <v>0</v>
      </c>
      <c r="DR2" s="1" t="s">
        <v>479</v>
      </c>
      <c r="DS2">
        <v>643</v>
      </c>
      <c r="DT2">
        <v>91</v>
      </c>
      <c r="DU2">
        <v>130</v>
      </c>
      <c r="DV2">
        <v>200</v>
      </c>
      <c r="DW2" s="1" t="s">
        <v>371</v>
      </c>
      <c r="DY2">
        <v>2018</v>
      </c>
      <c r="DZ2">
        <v>2</v>
      </c>
      <c r="EA2">
        <v>2</v>
      </c>
      <c r="EB2">
        <v>6</v>
      </c>
      <c r="EC2">
        <v>2</v>
      </c>
      <c r="ED2">
        <v>0</v>
      </c>
      <c r="EE2">
        <v>0</v>
      </c>
      <c r="EF2">
        <v>10</v>
      </c>
      <c r="EG2">
        <v>2018</v>
      </c>
      <c r="EI2" s="1"/>
      <c r="EJ2" s="1" t="s">
        <v>313</v>
      </c>
      <c r="EK2" s="1" t="s">
        <v>314</v>
      </c>
      <c r="EL2">
        <v>32</v>
      </c>
      <c r="EM2">
        <v>32</v>
      </c>
      <c r="EN2">
        <v>12</v>
      </c>
      <c r="EO2" s="1" t="s">
        <v>315</v>
      </c>
      <c r="EP2">
        <v>23</v>
      </c>
      <c r="EQ2">
        <v>75</v>
      </c>
      <c r="ER2" s="1" t="s">
        <v>316</v>
      </c>
      <c r="ES2">
        <v>4</v>
      </c>
      <c r="ET2">
        <v>0</v>
      </c>
      <c r="EU2" s="1"/>
      <c r="EV2">
        <v>152</v>
      </c>
      <c r="EW2">
        <v>0</v>
      </c>
      <c r="EX2" t="s">
        <v>316</v>
      </c>
      <c r="EY2">
        <v>0</v>
      </c>
      <c r="EZ2" s="1" t="s">
        <v>412</v>
      </c>
      <c r="FA2" s="2">
        <v>43278</v>
      </c>
      <c r="FB2" s="1" t="s">
        <v>413</v>
      </c>
      <c r="FC2">
        <v>1</v>
      </c>
      <c r="FD2" s="1"/>
      <c r="FE2" s="2"/>
      <c r="FF2" s="1"/>
      <c r="FG2" s="1" t="s">
        <v>322</v>
      </c>
      <c r="FH2" s="1" t="s">
        <v>319</v>
      </c>
      <c r="FI2" s="1" t="s">
        <v>319</v>
      </c>
      <c r="FJ2" s="1" t="s">
        <v>319</v>
      </c>
      <c r="FK2" s="1" t="s">
        <v>1143</v>
      </c>
      <c r="FL2">
        <v>18.97</v>
      </c>
      <c r="FN2" s="1"/>
      <c r="FO2" s="1" t="s">
        <v>322</v>
      </c>
      <c r="FP2" s="1" t="s">
        <v>323</v>
      </c>
      <c r="FQ2" s="1" t="s">
        <v>324</v>
      </c>
      <c r="FR2" s="1" t="s">
        <v>325</v>
      </c>
      <c r="FS2" s="1"/>
      <c r="FT2" s="1"/>
      <c r="FV2" s="1" t="s">
        <v>322</v>
      </c>
      <c r="FW2" s="1" t="s">
        <v>322</v>
      </c>
      <c r="FX2" s="1" t="s">
        <v>322</v>
      </c>
      <c r="FY2" s="1"/>
      <c r="FZ2" s="1" t="s">
        <v>319</v>
      </c>
      <c r="GA2" s="1" t="s">
        <v>322</v>
      </c>
      <c r="GB2" s="1" t="s">
        <v>322</v>
      </c>
      <c r="GC2" s="1" t="s">
        <v>322</v>
      </c>
      <c r="GD2" s="1" t="s">
        <v>319</v>
      </c>
      <c r="GE2" s="1" t="s">
        <v>322</v>
      </c>
      <c r="GF2" s="1" t="s">
        <v>667</v>
      </c>
      <c r="GG2" s="1"/>
      <c r="GH2" s="1" t="s">
        <v>322</v>
      </c>
      <c r="GI2" s="1"/>
      <c r="GJ2" s="1" t="s">
        <v>322</v>
      </c>
      <c r="GK2" s="2">
        <v>43101</v>
      </c>
      <c r="GL2" s="1" t="s">
        <v>322</v>
      </c>
      <c r="GM2" s="1" t="s">
        <v>322</v>
      </c>
      <c r="GN2">
        <v>43272</v>
      </c>
      <c r="GO2" s="1" t="s">
        <v>319</v>
      </c>
      <c r="GP2" t="s">
        <v>2675</v>
      </c>
      <c r="GQ2" s="1" t="s">
        <v>2676</v>
      </c>
      <c r="GR2" s="1" t="s">
        <v>319</v>
      </c>
      <c r="GS2" s="1" t="s">
        <v>448</v>
      </c>
      <c r="GT2" s="1" t="s">
        <v>319</v>
      </c>
      <c r="GU2" s="1" t="s">
        <v>319</v>
      </c>
      <c r="GV2" s="1" t="s">
        <v>319</v>
      </c>
      <c r="GW2" s="1" t="s">
        <v>319</v>
      </c>
      <c r="GX2" s="1" t="s">
        <v>319</v>
      </c>
      <c r="GY2" s="1" t="s">
        <v>319</v>
      </c>
      <c r="GZ2" s="1" t="s">
        <v>319</v>
      </c>
      <c r="HA2" s="2">
        <v>44085</v>
      </c>
      <c r="HB2" s="2">
        <v>43278</v>
      </c>
      <c r="HC2" s="1"/>
      <c r="HD2" s="1"/>
      <c r="HE2" s="1"/>
      <c r="HF2" s="1"/>
      <c r="HG2" s="1"/>
      <c r="HH2" s="1" t="s">
        <v>322</v>
      </c>
      <c r="HI2" s="1"/>
      <c r="HJ2" s="1" t="s">
        <v>794</v>
      </c>
      <c r="HK2" s="2">
        <v>43101</v>
      </c>
      <c r="HL2" s="1"/>
      <c r="HM2" s="1" t="s">
        <v>319</v>
      </c>
      <c r="HN2" s="1" t="s">
        <v>322</v>
      </c>
      <c r="HO2" s="1"/>
      <c r="HP2" s="1"/>
      <c r="HQ2" s="1"/>
      <c r="HR2" s="1"/>
      <c r="HS2" s="1"/>
      <c r="HT2" s="1"/>
      <c r="HU2" s="1" t="s">
        <v>331</v>
      </c>
      <c r="HW2">
        <v>40638920</v>
      </c>
      <c r="HX2">
        <v>99102570675</v>
      </c>
      <c r="HY2" s="1" t="s">
        <v>2677</v>
      </c>
      <c r="IB2" s="1" t="s">
        <v>2678</v>
      </c>
      <c r="IC2">
        <v>903585</v>
      </c>
      <c r="ID2" s="1" t="s">
        <v>2679</v>
      </c>
      <c r="IE2">
        <v>0</v>
      </c>
      <c r="IF2">
        <v>0</v>
      </c>
      <c r="IG2">
        <v>0</v>
      </c>
      <c r="IH2">
        <v>2.8</v>
      </c>
      <c r="II2">
        <v>2.8</v>
      </c>
      <c r="IJ2">
        <v>2</v>
      </c>
      <c r="IK2">
        <v>2</v>
      </c>
    </row>
    <row r="3" spans="1:246" x14ac:dyDescent="0.3">
      <c r="A3">
        <v>1761</v>
      </c>
      <c r="B3">
        <v>2376</v>
      </c>
      <c r="C3" s="1" t="s">
        <v>335</v>
      </c>
      <c r="D3" s="1" t="s">
        <v>336</v>
      </c>
      <c r="E3" t="s">
        <v>3275</v>
      </c>
      <c r="F3" s="1" t="s">
        <v>337</v>
      </c>
      <c r="G3" s="1" t="s">
        <v>338</v>
      </c>
      <c r="H3">
        <v>614540304</v>
      </c>
      <c r="I3" s="1" t="s">
        <v>339</v>
      </c>
      <c r="J3" s="1" t="s">
        <v>340</v>
      </c>
      <c r="K3">
        <v>622116072</v>
      </c>
      <c r="L3">
        <v>43815</v>
      </c>
      <c r="M3" s="1" t="s">
        <v>341</v>
      </c>
      <c r="N3" s="1" t="s">
        <v>342</v>
      </c>
      <c r="O3">
        <v>563810940</v>
      </c>
      <c r="P3" s="1" t="s">
        <v>273</v>
      </c>
      <c r="Q3" s="1" t="s">
        <v>454</v>
      </c>
      <c r="R3" s="1" t="s">
        <v>567</v>
      </c>
      <c r="S3" s="1" t="s">
        <v>343</v>
      </c>
      <c r="T3" s="1" t="s">
        <v>344</v>
      </c>
      <c r="U3">
        <v>563810950</v>
      </c>
      <c r="V3" s="1" t="s">
        <v>276</v>
      </c>
      <c r="W3" s="1" t="s">
        <v>454</v>
      </c>
      <c r="X3" s="1" t="s">
        <v>494</v>
      </c>
      <c r="Y3" s="1" t="s">
        <v>345</v>
      </c>
      <c r="Z3" s="1" t="s">
        <v>346</v>
      </c>
      <c r="AA3">
        <v>563810940</v>
      </c>
      <c r="AB3" s="1" t="s">
        <v>615</v>
      </c>
      <c r="AC3" s="1" t="s">
        <v>571</v>
      </c>
      <c r="AD3" s="1" t="s">
        <v>347</v>
      </c>
      <c r="AE3" s="1" t="s">
        <v>348</v>
      </c>
      <c r="AF3">
        <v>563810948</v>
      </c>
      <c r="AG3" s="1" t="s">
        <v>490</v>
      </c>
      <c r="AH3" s="1"/>
      <c r="AI3" s="1" t="s">
        <v>349</v>
      </c>
      <c r="AJ3" s="1" t="s">
        <v>350</v>
      </c>
      <c r="AK3">
        <v>563810947</v>
      </c>
      <c r="AL3" s="1" t="s">
        <v>565</v>
      </c>
      <c r="AM3" s="1" t="s">
        <v>392</v>
      </c>
      <c r="AN3" s="1" t="s">
        <v>351</v>
      </c>
      <c r="AO3" s="1" t="s">
        <v>352</v>
      </c>
      <c r="AP3">
        <v>563810942</v>
      </c>
      <c r="AQ3" s="1" t="s">
        <v>590</v>
      </c>
      <c r="AR3" s="1"/>
      <c r="AS3" s="1" t="s">
        <v>353</v>
      </c>
      <c r="AT3" s="1" t="s">
        <v>354</v>
      </c>
      <c r="AU3">
        <v>563810943</v>
      </c>
      <c r="AV3" s="1" t="s">
        <v>383</v>
      </c>
      <c r="AW3" s="1"/>
      <c r="AX3" s="1" t="s">
        <v>355</v>
      </c>
      <c r="AY3">
        <v>623422344</v>
      </c>
      <c r="AZ3" s="1" t="s">
        <v>356</v>
      </c>
      <c r="BA3">
        <v>678408516</v>
      </c>
      <c r="BB3" s="1" t="s">
        <v>357</v>
      </c>
      <c r="BC3" s="1" t="s">
        <v>358</v>
      </c>
      <c r="BD3">
        <v>81</v>
      </c>
      <c r="BE3">
        <v>563810940</v>
      </c>
      <c r="BF3">
        <v>43.90673828125</v>
      </c>
      <c r="BG3">
        <v>1.91276931762695</v>
      </c>
      <c r="BH3">
        <v>451647903</v>
      </c>
      <c r="BI3">
        <v>306</v>
      </c>
      <c r="BJ3" s="2">
        <v>37524</v>
      </c>
      <c r="BK3" s="1" t="s">
        <v>2543</v>
      </c>
      <c r="BL3" s="1" t="s">
        <v>290</v>
      </c>
      <c r="BM3" s="1" t="s">
        <v>291</v>
      </c>
      <c r="BN3" s="1" t="s">
        <v>292</v>
      </c>
      <c r="BO3" s="1" t="s">
        <v>291</v>
      </c>
      <c r="BP3" s="1" t="s">
        <v>293</v>
      </c>
      <c r="BQ3" s="1" t="s">
        <v>294</v>
      </c>
      <c r="BR3">
        <v>80</v>
      </c>
      <c r="BS3">
        <v>20438094.690000001</v>
      </c>
      <c r="BT3" s="1" t="s">
        <v>295</v>
      </c>
      <c r="BU3" s="1" t="s">
        <v>359</v>
      </c>
      <c r="BV3">
        <v>307248</v>
      </c>
      <c r="BW3">
        <v>1.1162465037576015E-2</v>
      </c>
      <c r="BX3">
        <v>51.799894507813001</v>
      </c>
      <c r="BY3">
        <v>6.9166062284345342</v>
      </c>
      <c r="BZ3">
        <v>7.8660342629832316</v>
      </c>
      <c r="CA3">
        <v>66.582534999230759</v>
      </c>
      <c r="CB3" s="1" t="s">
        <v>360</v>
      </c>
      <c r="CC3">
        <v>1</v>
      </c>
      <c r="CD3" s="1" t="s">
        <v>361</v>
      </c>
      <c r="CE3" s="1" t="s">
        <v>361</v>
      </c>
      <c r="CF3">
        <v>1106</v>
      </c>
      <c r="CG3" s="1" t="s">
        <v>362</v>
      </c>
      <c r="CH3" s="1" t="s">
        <v>363</v>
      </c>
      <c r="CI3" s="1" t="s">
        <v>364</v>
      </c>
      <c r="CJ3" s="1" t="s">
        <v>363</v>
      </c>
      <c r="CK3" s="1" t="s">
        <v>364</v>
      </c>
      <c r="CL3" s="1" t="s">
        <v>365</v>
      </c>
      <c r="CM3">
        <v>3601651110000</v>
      </c>
      <c r="CO3" s="1"/>
      <c r="CP3" s="1" t="s">
        <v>366</v>
      </c>
      <c r="CQ3" s="1" t="s">
        <v>367</v>
      </c>
      <c r="CR3" s="1" t="s">
        <v>306</v>
      </c>
      <c r="CS3">
        <v>5009</v>
      </c>
      <c r="CT3">
        <v>2929</v>
      </c>
      <c r="CU3">
        <v>3000</v>
      </c>
      <c r="CV3" s="1" t="s">
        <v>309</v>
      </c>
      <c r="CW3" s="1" t="s">
        <v>308</v>
      </c>
      <c r="CY3">
        <v>2080</v>
      </c>
      <c r="CZ3" t="s">
        <v>368</v>
      </c>
      <c r="DA3" s="1" t="s">
        <v>309</v>
      </c>
      <c r="DB3">
        <v>2080</v>
      </c>
      <c r="DC3">
        <v>2080</v>
      </c>
      <c r="DD3">
        <v>50</v>
      </c>
      <c r="DE3">
        <v>0</v>
      </c>
      <c r="DF3">
        <v>767</v>
      </c>
      <c r="DG3">
        <v>1313</v>
      </c>
      <c r="DH3">
        <v>0</v>
      </c>
      <c r="DI3">
        <v>0</v>
      </c>
      <c r="DJ3">
        <v>0</v>
      </c>
      <c r="DK3" s="1" t="s">
        <v>369</v>
      </c>
      <c r="DL3" s="1" t="s">
        <v>370</v>
      </c>
      <c r="DN3" s="1"/>
      <c r="DO3">
        <v>850</v>
      </c>
      <c r="DP3">
        <v>0</v>
      </c>
      <c r="DQ3">
        <v>850</v>
      </c>
      <c r="DR3" s="1"/>
      <c r="DS3">
        <v>1467</v>
      </c>
      <c r="DT3">
        <v>50</v>
      </c>
      <c r="DU3">
        <v>216</v>
      </c>
      <c r="DV3">
        <v>118</v>
      </c>
      <c r="DW3" s="1" t="s">
        <v>371</v>
      </c>
      <c r="DX3">
        <v>16</v>
      </c>
      <c r="DY3">
        <v>2017</v>
      </c>
      <c r="DZ3">
        <v>2</v>
      </c>
      <c r="EA3">
        <v>2</v>
      </c>
      <c r="EB3">
        <v>7</v>
      </c>
      <c r="EC3">
        <v>2</v>
      </c>
      <c r="ED3">
        <v>0</v>
      </c>
      <c r="EE3">
        <v>0</v>
      </c>
      <c r="EF3">
        <v>11</v>
      </c>
      <c r="EG3">
        <v>2010</v>
      </c>
      <c r="EI3" s="1"/>
      <c r="EJ3" s="1" t="s">
        <v>313</v>
      </c>
      <c r="EK3" s="1" t="s">
        <v>314</v>
      </c>
      <c r="EL3">
        <v>29</v>
      </c>
      <c r="EM3">
        <v>29</v>
      </c>
      <c r="EN3">
        <v>12</v>
      </c>
      <c r="EO3" s="1" t="s">
        <v>315</v>
      </c>
      <c r="EP3">
        <v>31</v>
      </c>
      <c r="EQ3">
        <v>58.013245033112582</v>
      </c>
      <c r="ER3" s="1" t="s">
        <v>316</v>
      </c>
      <c r="ES3">
        <v>5.2980132450331121</v>
      </c>
      <c r="ET3">
        <v>0</v>
      </c>
      <c r="EU3" s="1"/>
      <c r="EV3">
        <v>90.860927152317885</v>
      </c>
      <c r="EW3">
        <v>2</v>
      </c>
      <c r="EX3" t="s">
        <v>372</v>
      </c>
      <c r="EY3">
        <v>2</v>
      </c>
      <c r="EZ3" s="1" t="s">
        <v>317</v>
      </c>
      <c r="FA3" s="2"/>
      <c r="FB3" s="1" t="s">
        <v>318</v>
      </c>
      <c r="FC3">
        <v>1</v>
      </c>
      <c r="FD3" s="1"/>
      <c r="FE3" s="2"/>
      <c r="FF3" s="1"/>
      <c r="FG3" s="1" t="s">
        <v>319</v>
      </c>
      <c r="FH3" s="1" t="s">
        <v>319</v>
      </c>
      <c r="FI3" s="1" t="s">
        <v>319</v>
      </c>
      <c r="FJ3" s="1" t="s">
        <v>319</v>
      </c>
      <c r="FK3" s="1" t="s">
        <v>373</v>
      </c>
      <c r="FL3">
        <v>18.59</v>
      </c>
      <c r="FM3">
        <v>4208.3364640883974</v>
      </c>
      <c r="FN3" s="1" t="s">
        <v>321</v>
      </c>
      <c r="FO3" s="1" t="s">
        <v>319</v>
      </c>
      <c r="FP3" s="1" t="s">
        <v>323</v>
      </c>
      <c r="FQ3" s="1" t="s">
        <v>324</v>
      </c>
      <c r="FR3" s="1" t="s">
        <v>325</v>
      </c>
      <c r="FS3" s="1" t="s">
        <v>374</v>
      </c>
      <c r="FT3" s="1" t="s">
        <v>326</v>
      </c>
      <c r="FU3">
        <v>494198191</v>
      </c>
      <c r="FV3" s="1" t="s">
        <v>319</v>
      </c>
      <c r="FW3" s="1" t="s">
        <v>322</v>
      </c>
      <c r="FX3" s="1" t="s">
        <v>322</v>
      </c>
      <c r="FY3" s="1" t="s">
        <v>322</v>
      </c>
      <c r="FZ3" s="1" t="s">
        <v>322</v>
      </c>
      <c r="GA3" s="1" t="s">
        <v>322</v>
      </c>
      <c r="GB3" s="1" t="s">
        <v>322</v>
      </c>
      <c r="GC3" s="1" t="s">
        <v>322</v>
      </c>
      <c r="GD3" s="1" t="s">
        <v>319</v>
      </c>
      <c r="GE3" s="1" t="s">
        <v>319</v>
      </c>
      <c r="GF3" s="1" t="s">
        <v>327</v>
      </c>
      <c r="GG3" s="1"/>
      <c r="GH3" s="1" t="s">
        <v>322</v>
      </c>
      <c r="GI3" s="1" t="s">
        <v>375</v>
      </c>
      <c r="GJ3" s="1" t="s">
        <v>322</v>
      </c>
      <c r="GK3" s="2">
        <v>42005</v>
      </c>
      <c r="GL3" s="1" t="s">
        <v>322</v>
      </c>
      <c r="GM3" s="1" t="s">
        <v>322</v>
      </c>
      <c r="GN3">
        <v>43108</v>
      </c>
      <c r="GO3" s="1" t="s">
        <v>322</v>
      </c>
      <c r="GP3">
        <v>40725</v>
      </c>
      <c r="GQ3" s="1" t="s">
        <v>376</v>
      </c>
      <c r="GR3" s="1" t="s">
        <v>322</v>
      </c>
      <c r="GS3" s="1" t="s">
        <v>377</v>
      </c>
      <c r="GT3" s="1" t="s">
        <v>319</v>
      </c>
      <c r="GU3" s="1" t="s">
        <v>319</v>
      </c>
      <c r="GV3" s="1" t="s">
        <v>319</v>
      </c>
      <c r="GW3" s="1" t="s">
        <v>319</v>
      </c>
      <c r="GX3" s="1" t="s">
        <v>319</v>
      </c>
      <c r="GY3" s="1" t="s">
        <v>319</v>
      </c>
      <c r="GZ3" s="1" t="s">
        <v>319</v>
      </c>
      <c r="HA3" s="2">
        <v>44063</v>
      </c>
      <c r="HB3" s="2">
        <v>42625</v>
      </c>
      <c r="HC3" s="1"/>
      <c r="HD3" s="1"/>
      <c r="HE3" s="1"/>
      <c r="HF3" s="1"/>
      <c r="HG3" s="1"/>
      <c r="HH3" s="1"/>
      <c r="HI3" s="1" t="s">
        <v>319</v>
      </c>
      <c r="HJ3" s="1" t="s">
        <v>330</v>
      </c>
      <c r="HK3" s="2"/>
      <c r="HL3" s="1"/>
      <c r="HM3" s="1" t="s">
        <v>322</v>
      </c>
      <c r="HN3" s="1" t="s">
        <v>322</v>
      </c>
      <c r="HO3" s="1"/>
      <c r="HP3" s="1"/>
      <c r="HQ3" s="1"/>
      <c r="HR3" s="1"/>
      <c r="HS3" s="1"/>
      <c r="HT3" s="1"/>
      <c r="HU3" s="1" t="s">
        <v>331</v>
      </c>
      <c r="HV3">
        <v>4621973012</v>
      </c>
      <c r="HW3">
        <v>40638244</v>
      </c>
      <c r="HX3">
        <v>99102565618</v>
      </c>
      <c r="HY3" s="1" t="s">
        <v>378</v>
      </c>
      <c r="HZ3">
        <v>4319157</v>
      </c>
      <c r="IA3">
        <v>4321610</v>
      </c>
      <c r="IB3" s="1" t="s">
        <v>379</v>
      </c>
      <c r="IC3">
        <v>830158</v>
      </c>
      <c r="ID3" s="1" t="s">
        <v>380</v>
      </c>
      <c r="IE3">
        <v>4.1399999999999997</v>
      </c>
      <c r="IF3">
        <v>5.17</v>
      </c>
      <c r="IG3">
        <v>6.46</v>
      </c>
      <c r="IH3">
        <v>7.98</v>
      </c>
      <c r="II3">
        <v>6.41</v>
      </c>
      <c r="IJ3">
        <v>4.096451612903226</v>
      </c>
      <c r="IK3">
        <v>4.08</v>
      </c>
    </row>
    <row r="4" spans="1:246" x14ac:dyDescent="0.3">
      <c r="A4">
        <v>1787</v>
      </c>
      <c r="B4">
        <v>2401</v>
      </c>
      <c r="C4" s="1" t="s">
        <v>2180</v>
      </c>
      <c r="D4" s="1" t="s">
        <v>642</v>
      </c>
      <c r="E4" t="s">
        <v>3275</v>
      </c>
      <c r="F4" s="1" t="s">
        <v>2181</v>
      </c>
      <c r="G4" s="1" t="s">
        <v>2182</v>
      </c>
      <c r="H4">
        <v>686016869</v>
      </c>
      <c r="I4" s="1" t="s">
        <v>2183</v>
      </c>
      <c r="J4" s="1" t="s">
        <v>2184</v>
      </c>
      <c r="L4">
        <v>44214</v>
      </c>
      <c r="M4" s="1" t="s">
        <v>2185</v>
      </c>
      <c r="N4" s="1" t="s">
        <v>2186</v>
      </c>
      <c r="O4">
        <v>233282484</v>
      </c>
      <c r="P4" s="1" t="s">
        <v>273</v>
      </c>
      <c r="Q4" s="1" t="s">
        <v>2324</v>
      </c>
      <c r="R4" s="1" t="s">
        <v>2260</v>
      </c>
      <c r="S4" s="1" t="s">
        <v>2187</v>
      </c>
      <c r="T4" s="1" t="s">
        <v>2188</v>
      </c>
      <c r="U4">
        <v>233282484</v>
      </c>
      <c r="V4" s="1" t="s">
        <v>276</v>
      </c>
      <c r="W4" s="1" t="s">
        <v>2324</v>
      </c>
      <c r="X4" s="1" t="s">
        <v>2187</v>
      </c>
      <c r="Y4" s="1" t="s">
        <v>2189</v>
      </c>
      <c r="Z4" s="1" t="s">
        <v>2190</v>
      </c>
      <c r="AA4">
        <v>233282500</v>
      </c>
      <c r="AB4" s="1" t="s">
        <v>2183</v>
      </c>
      <c r="AC4" s="1" t="s">
        <v>2353</v>
      </c>
      <c r="AD4" s="1" t="s">
        <v>2191</v>
      </c>
      <c r="AE4" s="1" t="s">
        <v>2192</v>
      </c>
      <c r="AF4">
        <v>232474004</v>
      </c>
      <c r="AG4" s="1" t="s">
        <v>2233</v>
      </c>
      <c r="AH4" s="1" t="s">
        <v>2217</v>
      </c>
      <c r="AI4" s="1" t="s">
        <v>2193</v>
      </c>
      <c r="AJ4" s="1" t="s">
        <v>2194</v>
      </c>
      <c r="AK4">
        <v>233282486</v>
      </c>
      <c r="AL4" s="1" t="s">
        <v>2391</v>
      </c>
      <c r="AM4" s="1" t="s">
        <v>2401</v>
      </c>
      <c r="AN4" s="1" t="s">
        <v>2195</v>
      </c>
      <c r="AO4" s="1" t="s">
        <v>2196</v>
      </c>
      <c r="AP4">
        <v>233282482</v>
      </c>
      <c r="AQ4" s="1" t="s">
        <v>2345</v>
      </c>
      <c r="AR4" s="1" t="s">
        <v>2289</v>
      </c>
      <c r="AS4" s="1" t="s">
        <v>2197</v>
      </c>
      <c r="AT4" s="1" t="s">
        <v>2198</v>
      </c>
      <c r="AV4" s="1" t="s">
        <v>2368</v>
      </c>
      <c r="AW4" s="1" t="s">
        <v>2223</v>
      </c>
      <c r="AX4" s="1" t="s">
        <v>2199</v>
      </c>
      <c r="AY4">
        <v>620112921</v>
      </c>
      <c r="AZ4" s="1" t="s">
        <v>356</v>
      </c>
      <c r="BA4">
        <v>678408516</v>
      </c>
      <c r="BB4" s="1" t="s">
        <v>2200</v>
      </c>
      <c r="BC4" s="1" t="s">
        <v>2201</v>
      </c>
      <c r="BD4">
        <v>72</v>
      </c>
      <c r="BE4">
        <v>233282500</v>
      </c>
      <c r="BF4">
        <v>48.4049072265625</v>
      </c>
      <c r="BG4">
        <v>9.0808868408203097E-2</v>
      </c>
      <c r="BH4">
        <v>451647903</v>
      </c>
      <c r="BI4">
        <v>751</v>
      </c>
      <c r="BJ4" s="2">
        <v>38700</v>
      </c>
      <c r="BK4" s="1" t="s">
        <v>3312</v>
      </c>
      <c r="BL4" s="1" t="s">
        <v>290</v>
      </c>
      <c r="BM4" s="1" t="s">
        <v>291</v>
      </c>
      <c r="BN4" s="1" t="s">
        <v>292</v>
      </c>
      <c r="BO4" s="1" t="s">
        <v>291</v>
      </c>
      <c r="BP4" s="1" t="s">
        <v>293</v>
      </c>
      <c r="BQ4" s="1" t="s">
        <v>294</v>
      </c>
      <c r="BR4">
        <v>80</v>
      </c>
      <c r="BS4">
        <v>21625506</v>
      </c>
      <c r="BT4" s="1" t="s">
        <v>295</v>
      </c>
      <c r="BU4" s="1" t="s">
        <v>359</v>
      </c>
      <c r="BV4">
        <v>322408</v>
      </c>
      <c r="BW4">
        <v>9.2711959135037825E-3</v>
      </c>
      <c r="BX4">
        <v>47.999934067383101</v>
      </c>
      <c r="BY4">
        <v>5.5190600206588885</v>
      </c>
      <c r="BZ4">
        <v>4.8526686226676334</v>
      </c>
      <c r="CA4">
        <v>58.371662710709629</v>
      </c>
      <c r="CB4" s="1" t="s">
        <v>360</v>
      </c>
      <c r="CC4">
        <v>1</v>
      </c>
      <c r="CD4" s="1" t="s">
        <v>298</v>
      </c>
      <c r="CE4" s="1" t="s">
        <v>361</v>
      </c>
      <c r="CF4">
        <v>1101</v>
      </c>
      <c r="CG4" s="1" t="s">
        <v>300</v>
      </c>
      <c r="CH4" s="1" t="s">
        <v>403</v>
      </c>
      <c r="CI4" s="1" t="s">
        <v>404</v>
      </c>
      <c r="CJ4" s="1" t="s">
        <v>301</v>
      </c>
      <c r="CK4" s="1" t="s">
        <v>302</v>
      </c>
      <c r="CL4" s="1" t="s">
        <v>527</v>
      </c>
      <c r="CM4">
        <v>3601651112004</v>
      </c>
      <c r="CO4" s="1"/>
      <c r="CP4" s="1" t="s">
        <v>444</v>
      </c>
      <c r="CQ4" s="1" t="s">
        <v>367</v>
      </c>
      <c r="CR4" s="1" t="s">
        <v>306</v>
      </c>
      <c r="CS4">
        <v>5520</v>
      </c>
      <c r="CT4">
        <v>2950</v>
      </c>
      <c r="CU4">
        <v>3000</v>
      </c>
      <c r="CV4" s="1" t="s">
        <v>309</v>
      </c>
      <c r="CW4" s="1" t="s">
        <v>308</v>
      </c>
      <c r="CY4">
        <v>2950</v>
      </c>
      <c r="CZ4">
        <v>3000</v>
      </c>
      <c r="DA4" s="1" t="s">
        <v>309</v>
      </c>
      <c r="DB4">
        <v>2570</v>
      </c>
      <c r="DC4">
        <v>2570</v>
      </c>
      <c r="DD4">
        <v>0</v>
      </c>
      <c r="DE4">
        <v>0</v>
      </c>
      <c r="DF4">
        <v>880</v>
      </c>
      <c r="DG4">
        <v>1690</v>
      </c>
      <c r="DH4">
        <v>0</v>
      </c>
      <c r="DI4">
        <v>0</v>
      </c>
      <c r="DJ4">
        <v>0</v>
      </c>
      <c r="DK4" s="1" t="s">
        <v>369</v>
      </c>
      <c r="DL4" s="1" t="s">
        <v>445</v>
      </c>
      <c r="DN4" s="1" t="s">
        <v>1095</v>
      </c>
      <c r="DO4">
        <v>800</v>
      </c>
      <c r="DP4">
        <v>0</v>
      </c>
      <c r="DQ4">
        <v>800</v>
      </c>
      <c r="DR4" s="1"/>
      <c r="DS4">
        <v>657</v>
      </c>
      <c r="DT4">
        <v>134</v>
      </c>
      <c r="DU4">
        <v>240</v>
      </c>
      <c r="DV4">
        <v>240</v>
      </c>
      <c r="DW4" s="1" t="s">
        <v>371</v>
      </c>
      <c r="DX4">
        <v>17</v>
      </c>
      <c r="DZ4">
        <v>2</v>
      </c>
      <c r="EA4">
        <v>2</v>
      </c>
      <c r="EB4">
        <v>7</v>
      </c>
      <c r="EC4">
        <v>2</v>
      </c>
      <c r="ED4">
        <v>0</v>
      </c>
      <c r="EE4">
        <v>0</v>
      </c>
      <c r="EF4">
        <v>11</v>
      </c>
      <c r="EG4">
        <v>2012</v>
      </c>
      <c r="EI4" s="1"/>
      <c r="EJ4" s="1" t="s">
        <v>313</v>
      </c>
      <c r="EK4" s="1" t="s">
        <v>314</v>
      </c>
      <c r="EL4">
        <v>26</v>
      </c>
      <c r="EM4">
        <v>19</v>
      </c>
      <c r="EN4">
        <v>12</v>
      </c>
      <c r="EO4" s="1" t="s">
        <v>315</v>
      </c>
      <c r="EP4">
        <v>25</v>
      </c>
      <c r="EQ4">
        <v>101.530384824922</v>
      </c>
      <c r="ER4" s="1" t="s">
        <v>480</v>
      </c>
      <c r="ES4">
        <v>6.4385122084096871</v>
      </c>
      <c r="ET4">
        <v>0</v>
      </c>
      <c r="EU4" s="1"/>
      <c r="EV4">
        <v>135.45639146154227</v>
      </c>
      <c r="EW4">
        <v>0</v>
      </c>
      <c r="EX4" t="s">
        <v>316</v>
      </c>
      <c r="EY4">
        <v>0</v>
      </c>
      <c r="EZ4" s="1" t="s">
        <v>317</v>
      </c>
      <c r="FA4" s="2"/>
      <c r="FB4" s="1" t="s">
        <v>318</v>
      </c>
      <c r="FC4">
        <v>1</v>
      </c>
      <c r="FD4" s="1"/>
      <c r="FE4" s="2"/>
      <c r="FF4" s="1"/>
      <c r="FG4" s="1" t="s">
        <v>319</v>
      </c>
      <c r="FH4" s="1" t="s">
        <v>319</v>
      </c>
      <c r="FI4" s="1" t="s">
        <v>319</v>
      </c>
      <c r="FJ4" s="1" t="s">
        <v>319</v>
      </c>
      <c r="FK4" s="1" t="s">
        <v>373</v>
      </c>
      <c r="FL4">
        <v>18.59</v>
      </c>
      <c r="FM4">
        <v>4052.5576427255983</v>
      </c>
      <c r="FN4" s="1" t="s">
        <v>321</v>
      </c>
      <c r="FO4" s="1" t="s">
        <v>319</v>
      </c>
      <c r="FP4" s="1" t="s">
        <v>323</v>
      </c>
      <c r="FQ4" s="1" t="s">
        <v>559</v>
      </c>
      <c r="FR4" s="1" t="s">
        <v>325</v>
      </c>
      <c r="FS4" s="1" t="s">
        <v>918</v>
      </c>
      <c r="FT4" s="1" t="s">
        <v>326</v>
      </c>
      <c r="FU4">
        <v>494198191</v>
      </c>
      <c r="FV4" s="1" t="s">
        <v>322</v>
      </c>
      <c r="FW4" s="1" t="s">
        <v>319</v>
      </c>
      <c r="FX4" s="1" t="s">
        <v>322</v>
      </c>
      <c r="FY4" s="1" t="s">
        <v>322</v>
      </c>
      <c r="FZ4" s="1" t="s">
        <v>322</v>
      </c>
      <c r="GA4" s="1" t="s">
        <v>322</v>
      </c>
      <c r="GB4" s="1"/>
      <c r="GC4" s="1"/>
      <c r="GD4" s="1" t="s">
        <v>322</v>
      </c>
      <c r="GE4" s="1" t="s">
        <v>319</v>
      </c>
      <c r="GF4" s="1" t="s">
        <v>415</v>
      </c>
      <c r="GG4" s="1"/>
      <c r="GH4" s="1" t="s">
        <v>319</v>
      </c>
      <c r="GI4" s="1" t="s">
        <v>1677</v>
      </c>
      <c r="GJ4" s="1" t="s">
        <v>322</v>
      </c>
      <c r="GK4" s="2">
        <v>42005</v>
      </c>
      <c r="GL4" s="1" t="s">
        <v>322</v>
      </c>
      <c r="GM4" s="1" t="s">
        <v>322</v>
      </c>
      <c r="GN4">
        <v>42989</v>
      </c>
      <c r="GO4" s="1" t="s">
        <v>322</v>
      </c>
      <c r="GP4">
        <v>41677</v>
      </c>
      <c r="GQ4" s="1" t="s">
        <v>2203</v>
      </c>
      <c r="GR4" s="1" t="s">
        <v>319</v>
      </c>
      <c r="GS4" s="1" t="s">
        <v>448</v>
      </c>
      <c r="GT4" s="1" t="s">
        <v>322</v>
      </c>
      <c r="GU4" s="1" t="s">
        <v>2204</v>
      </c>
      <c r="GV4" s="1" t="s">
        <v>322</v>
      </c>
      <c r="GW4" s="1" t="s">
        <v>322</v>
      </c>
      <c r="GX4" s="1" t="s">
        <v>319</v>
      </c>
      <c r="GY4" s="1" t="s">
        <v>319</v>
      </c>
      <c r="GZ4" s="1" t="s">
        <v>319</v>
      </c>
      <c r="HA4" s="2">
        <v>44081</v>
      </c>
      <c r="HB4" s="2">
        <v>42667</v>
      </c>
      <c r="HC4" s="1"/>
      <c r="HD4" s="1"/>
      <c r="HE4" s="1"/>
      <c r="HF4" s="1"/>
      <c r="HG4" s="1"/>
      <c r="HH4" s="1"/>
      <c r="HI4" s="1" t="s">
        <v>322</v>
      </c>
      <c r="HJ4" s="1" t="s">
        <v>330</v>
      </c>
      <c r="HK4" s="2"/>
      <c r="HL4" s="1"/>
      <c r="HM4" s="1" t="s">
        <v>322</v>
      </c>
      <c r="HN4" s="1" t="s">
        <v>322</v>
      </c>
      <c r="HO4" s="1"/>
      <c r="HP4" s="1"/>
      <c r="HQ4" s="1"/>
      <c r="HR4" s="1"/>
      <c r="HS4" s="1"/>
      <c r="HT4" s="1"/>
      <c r="HU4" s="1" t="s">
        <v>331</v>
      </c>
      <c r="HV4">
        <v>4623765012</v>
      </c>
      <c r="HW4">
        <v>40638735</v>
      </c>
      <c r="HX4">
        <v>99102569779</v>
      </c>
      <c r="HY4" s="1" t="s">
        <v>2205</v>
      </c>
      <c r="HZ4">
        <v>4320877</v>
      </c>
      <c r="IA4">
        <v>4321518</v>
      </c>
      <c r="IB4" s="1" t="s">
        <v>2206</v>
      </c>
      <c r="IC4">
        <v>830249</v>
      </c>
      <c r="ID4" s="1" t="s">
        <v>2207</v>
      </c>
      <c r="IE4">
        <v>2.23</v>
      </c>
      <c r="IF4">
        <v>3.23</v>
      </c>
      <c r="IG4">
        <v>3.43</v>
      </c>
      <c r="IH4">
        <v>4.1500000000000004</v>
      </c>
      <c r="II4">
        <v>3.33</v>
      </c>
      <c r="IJ4">
        <v>1.72</v>
      </c>
      <c r="IK4">
        <v>1.72</v>
      </c>
    </row>
    <row r="5" spans="1:246" x14ac:dyDescent="0.3">
      <c r="A5">
        <v>1729</v>
      </c>
      <c r="B5">
        <v>2350</v>
      </c>
      <c r="C5" s="1" t="s">
        <v>1962</v>
      </c>
      <c r="D5" s="1" t="s">
        <v>1451</v>
      </c>
      <c r="E5" t="s">
        <v>3275</v>
      </c>
      <c r="F5" s="1" t="s">
        <v>267</v>
      </c>
      <c r="G5" s="1" t="s">
        <v>268</v>
      </c>
      <c r="H5">
        <v>608729156</v>
      </c>
      <c r="I5" s="1" t="s">
        <v>1963</v>
      </c>
      <c r="J5" s="1" t="s">
        <v>1964</v>
      </c>
      <c r="K5">
        <v>680938680</v>
      </c>
      <c r="L5">
        <v>43850</v>
      </c>
      <c r="M5" s="1" t="s">
        <v>1965</v>
      </c>
      <c r="N5" s="1" t="s">
        <v>1966</v>
      </c>
      <c r="O5">
        <v>322334208</v>
      </c>
      <c r="P5" s="1" t="s">
        <v>273</v>
      </c>
      <c r="Q5" s="1" t="s">
        <v>1984</v>
      </c>
      <c r="R5" s="1" t="s">
        <v>2101</v>
      </c>
      <c r="S5" s="1" t="s">
        <v>1965</v>
      </c>
      <c r="T5" s="1" t="s">
        <v>1966</v>
      </c>
      <c r="U5">
        <v>322334208</v>
      </c>
      <c r="V5" s="1" t="s">
        <v>276</v>
      </c>
      <c r="W5" s="1" t="s">
        <v>2099</v>
      </c>
      <c r="X5" s="1" t="s">
        <v>274</v>
      </c>
      <c r="Y5" s="1" t="s">
        <v>1967</v>
      </c>
      <c r="Z5" s="1" t="s">
        <v>1968</v>
      </c>
      <c r="AA5">
        <v>322334200</v>
      </c>
      <c r="AB5" s="1" t="s">
        <v>2121</v>
      </c>
      <c r="AC5" s="1" t="s">
        <v>2166</v>
      </c>
      <c r="AD5" s="1" t="s">
        <v>1969</v>
      </c>
      <c r="AE5" s="1" t="s">
        <v>1970</v>
      </c>
      <c r="AF5">
        <v>387847910</v>
      </c>
      <c r="AG5" s="1" t="s">
        <v>2160</v>
      </c>
      <c r="AH5" s="1" t="s">
        <v>279</v>
      </c>
      <c r="AI5" s="1" t="s">
        <v>1971</v>
      </c>
      <c r="AJ5" s="1" t="s">
        <v>1972</v>
      </c>
      <c r="AK5">
        <v>322334204</v>
      </c>
      <c r="AL5" s="1" t="s">
        <v>2086</v>
      </c>
      <c r="AM5" s="1" t="s">
        <v>2013</v>
      </c>
      <c r="AN5" s="1" t="s">
        <v>1973</v>
      </c>
      <c r="AO5" s="1" t="s">
        <v>1974</v>
      </c>
      <c r="AP5">
        <v>322334202</v>
      </c>
      <c r="AQ5" s="1" t="s">
        <v>2049</v>
      </c>
      <c r="AR5" s="1" t="s">
        <v>2015</v>
      </c>
      <c r="AS5" s="1" t="s">
        <v>1975</v>
      </c>
      <c r="AT5" s="1" t="s">
        <v>1976</v>
      </c>
      <c r="AU5">
        <v>322334207</v>
      </c>
      <c r="AV5" s="1" t="s">
        <v>2140</v>
      </c>
      <c r="AW5" s="1" t="s">
        <v>2063</v>
      </c>
      <c r="AX5" s="1" t="s">
        <v>287</v>
      </c>
      <c r="AY5">
        <v>787300095</v>
      </c>
      <c r="AZ5" s="1"/>
      <c r="BB5" s="1" t="s">
        <v>1977</v>
      </c>
      <c r="BC5" s="1" t="s">
        <v>1978</v>
      </c>
      <c r="BD5">
        <v>80</v>
      </c>
      <c r="BE5">
        <v>322334200</v>
      </c>
      <c r="BF5">
        <v>49.8619384765625</v>
      </c>
      <c r="BG5">
        <v>2.2774734497070299</v>
      </c>
      <c r="BH5">
        <v>451647903</v>
      </c>
      <c r="BI5">
        <v>25</v>
      </c>
      <c r="BJ5" s="2">
        <v>36026</v>
      </c>
      <c r="BK5" s="1" t="s">
        <v>3283</v>
      </c>
      <c r="BL5" s="1" t="s">
        <v>290</v>
      </c>
      <c r="BM5" s="1" t="s">
        <v>291</v>
      </c>
      <c r="BN5" s="1" t="s">
        <v>292</v>
      </c>
      <c r="BO5" s="1" t="s">
        <v>291</v>
      </c>
      <c r="BP5" s="1" t="s">
        <v>293</v>
      </c>
      <c r="BQ5" s="1" t="s">
        <v>294</v>
      </c>
      <c r="BR5">
        <v>80</v>
      </c>
      <c r="BS5">
        <v>24022720.41</v>
      </c>
      <c r="BT5" s="1" t="s">
        <v>295</v>
      </c>
      <c r="BU5" s="1" t="s">
        <v>296</v>
      </c>
      <c r="BV5">
        <v>355740</v>
      </c>
      <c r="BW5">
        <v>1.1358140255864123E-2</v>
      </c>
      <c r="BX5">
        <v>59.028285092635301</v>
      </c>
      <c r="BY5">
        <v>4.685732181710299</v>
      </c>
      <c r="BZ5">
        <v>5.1078591679303749</v>
      </c>
      <c r="CA5">
        <v>68.821876442275979</v>
      </c>
      <c r="CB5" s="1" t="s">
        <v>443</v>
      </c>
      <c r="CC5">
        <v>1</v>
      </c>
      <c r="CD5" s="1" t="s">
        <v>298</v>
      </c>
      <c r="CE5" s="1" t="s">
        <v>299</v>
      </c>
      <c r="CF5">
        <v>1101</v>
      </c>
      <c r="CG5" s="1" t="s">
        <v>300</v>
      </c>
      <c r="CH5" s="1" t="s">
        <v>1474</v>
      </c>
      <c r="CI5" s="1" t="s">
        <v>1475</v>
      </c>
      <c r="CJ5" s="1" t="s">
        <v>1474</v>
      </c>
      <c r="CK5" s="1" t="s">
        <v>1475</v>
      </c>
      <c r="CL5" s="1" t="s">
        <v>1476</v>
      </c>
      <c r="CM5">
        <v>3020409000010</v>
      </c>
      <c r="CO5" s="1" t="s">
        <v>322</v>
      </c>
      <c r="CP5" s="1" t="s">
        <v>304</v>
      </c>
      <c r="CQ5" s="1" t="s">
        <v>556</v>
      </c>
      <c r="CR5" s="1" t="s">
        <v>505</v>
      </c>
      <c r="CS5">
        <v>7765</v>
      </c>
      <c r="CT5">
        <v>4866</v>
      </c>
      <c r="CU5" t="s">
        <v>693</v>
      </c>
      <c r="CV5" s="1" t="s">
        <v>478</v>
      </c>
      <c r="CW5" s="1" t="s">
        <v>308</v>
      </c>
      <c r="CY5">
        <v>2899</v>
      </c>
      <c r="CZ5" t="s">
        <v>368</v>
      </c>
      <c r="DA5" s="1" t="s">
        <v>309</v>
      </c>
      <c r="DB5">
        <v>2899</v>
      </c>
      <c r="DC5">
        <v>2899</v>
      </c>
      <c r="DD5">
        <v>0</v>
      </c>
      <c r="DE5">
        <v>0</v>
      </c>
      <c r="DF5">
        <v>838</v>
      </c>
      <c r="DG5">
        <v>2061</v>
      </c>
      <c r="DH5">
        <v>0</v>
      </c>
      <c r="DI5">
        <v>0</v>
      </c>
      <c r="DJ5">
        <v>0</v>
      </c>
      <c r="DK5" s="1" t="s">
        <v>369</v>
      </c>
      <c r="DL5" s="1" t="s">
        <v>311</v>
      </c>
      <c r="DN5" s="1"/>
      <c r="DO5">
        <v>620</v>
      </c>
      <c r="DP5">
        <v>220</v>
      </c>
      <c r="DQ5">
        <v>400</v>
      </c>
      <c r="DR5" s="1" t="s">
        <v>479</v>
      </c>
      <c r="DS5">
        <v>320</v>
      </c>
      <c r="DT5">
        <v>45</v>
      </c>
      <c r="DU5">
        <v>354</v>
      </c>
      <c r="DV5" t="s">
        <v>556</v>
      </c>
      <c r="DW5" s="1" t="s">
        <v>558</v>
      </c>
      <c r="DX5">
        <v>23</v>
      </c>
      <c r="DZ5">
        <v>2</v>
      </c>
      <c r="EA5">
        <v>2</v>
      </c>
      <c r="EB5">
        <v>11</v>
      </c>
      <c r="EC5">
        <v>2</v>
      </c>
      <c r="ED5">
        <v>0</v>
      </c>
      <c r="EE5">
        <v>0</v>
      </c>
      <c r="EF5">
        <v>15</v>
      </c>
      <c r="EG5">
        <v>2010</v>
      </c>
      <c r="EI5" s="1"/>
      <c r="EJ5" s="1" t="s">
        <v>313</v>
      </c>
      <c r="EK5" s="1" t="s">
        <v>314</v>
      </c>
      <c r="EL5">
        <v>28</v>
      </c>
      <c r="EM5">
        <v>27</v>
      </c>
      <c r="EN5">
        <v>9</v>
      </c>
      <c r="EO5" s="1" t="s">
        <v>315</v>
      </c>
      <c r="EP5">
        <v>27</v>
      </c>
      <c r="EQ5">
        <v>81.385422312419593</v>
      </c>
      <c r="ER5" s="1" t="s">
        <v>316</v>
      </c>
      <c r="ES5">
        <v>3.1168885140926648</v>
      </c>
      <c r="ET5">
        <v>0</v>
      </c>
      <c r="EU5" s="1"/>
      <c r="EV5">
        <v>107.7058142092021</v>
      </c>
      <c r="EW5">
        <v>1</v>
      </c>
      <c r="EX5" t="s">
        <v>316</v>
      </c>
      <c r="EY5">
        <v>1</v>
      </c>
      <c r="EZ5" s="1" t="s">
        <v>317</v>
      </c>
      <c r="FA5" s="2"/>
      <c r="FB5" s="1" t="s">
        <v>318</v>
      </c>
      <c r="FC5">
        <v>1</v>
      </c>
      <c r="FD5" s="1"/>
      <c r="FE5" s="2"/>
      <c r="FF5" s="1"/>
      <c r="FG5" s="1" t="s">
        <v>319</v>
      </c>
      <c r="FH5" s="1" t="s">
        <v>319</v>
      </c>
      <c r="FI5" s="1" t="s">
        <v>319</v>
      </c>
      <c r="FJ5" s="1" t="s">
        <v>319</v>
      </c>
      <c r="FK5" s="1" t="s">
        <v>320</v>
      </c>
      <c r="FL5">
        <v>18.920000000000002</v>
      </c>
      <c r="FM5">
        <v>4237.7739775606224</v>
      </c>
      <c r="FN5" s="1" t="s">
        <v>321</v>
      </c>
      <c r="FO5" s="1" t="s">
        <v>1221</v>
      </c>
      <c r="FP5" s="1" t="s">
        <v>323</v>
      </c>
      <c r="FQ5" s="1" t="s">
        <v>324</v>
      </c>
      <c r="FR5" s="1" t="s">
        <v>1750</v>
      </c>
      <c r="FS5" s="1" t="s">
        <v>325</v>
      </c>
      <c r="FT5" s="1" t="s">
        <v>1979</v>
      </c>
      <c r="FV5" s="1" t="s">
        <v>322</v>
      </c>
      <c r="FW5" s="1" t="s">
        <v>319</v>
      </c>
      <c r="FX5" s="1" t="s">
        <v>322</v>
      </c>
      <c r="FY5" s="1" t="s">
        <v>1752</v>
      </c>
      <c r="FZ5" s="1" t="s">
        <v>322</v>
      </c>
      <c r="GA5" s="1" t="s">
        <v>322</v>
      </c>
      <c r="GB5" s="1" t="s">
        <v>319</v>
      </c>
      <c r="GC5" s="1" t="s">
        <v>322</v>
      </c>
      <c r="GD5" s="1" t="s">
        <v>319</v>
      </c>
      <c r="GE5" s="1" t="s">
        <v>319</v>
      </c>
      <c r="GF5" s="1" t="s">
        <v>327</v>
      </c>
      <c r="GG5" s="1"/>
      <c r="GH5" s="1" t="s">
        <v>319</v>
      </c>
      <c r="GI5" s="1" t="s">
        <v>484</v>
      </c>
      <c r="GJ5" s="1" t="s">
        <v>319</v>
      </c>
      <c r="GK5" s="2">
        <v>42005</v>
      </c>
      <c r="GL5" s="1" t="s">
        <v>322</v>
      </c>
      <c r="GM5" s="1" t="s">
        <v>322</v>
      </c>
      <c r="GN5" t="s">
        <v>1406</v>
      </c>
      <c r="GO5" s="1" t="s">
        <v>319</v>
      </c>
      <c r="GQ5" s="1"/>
      <c r="GR5" s="1"/>
      <c r="GS5" s="1"/>
      <c r="GT5" s="1" t="s">
        <v>322</v>
      </c>
      <c r="GU5" s="1" t="s">
        <v>1777</v>
      </c>
      <c r="GV5" s="1" t="s">
        <v>322</v>
      </c>
      <c r="GW5" s="1" t="s">
        <v>319</v>
      </c>
      <c r="GX5" s="1" t="s">
        <v>322</v>
      </c>
      <c r="GY5" s="1" t="s">
        <v>319</v>
      </c>
      <c r="GZ5" s="1" t="s">
        <v>319</v>
      </c>
      <c r="HA5" s="2">
        <v>44063</v>
      </c>
      <c r="HB5" s="2">
        <v>42625</v>
      </c>
      <c r="HC5" s="1"/>
      <c r="HD5" s="1"/>
      <c r="HE5" s="1"/>
      <c r="HF5" s="1"/>
      <c r="HG5" s="1"/>
      <c r="HH5" s="1"/>
      <c r="HI5" s="1" t="s">
        <v>319</v>
      </c>
      <c r="HJ5" s="1" t="s">
        <v>485</v>
      </c>
      <c r="HK5" s="2">
        <v>42736</v>
      </c>
      <c r="HL5" s="1"/>
      <c r="HM5" s="1" t="s">
        <v>322</v>
      </c>
      <c r="HN5" s="1" t="s">
        <v>322</v>
      </c>
      <c r="HO5" s="1"/>
      <c r="HP5" s="1"/>
      <c r="HQ5" s="1"/>
      <c r="HR5" s="1"/>
      <c r="HS5" s="1"/>
      <c r="HT5" s="1"/>
      <c r="HU5" s="1" t="s">
        <v>331</v>
      </c>
      <c r="HV5">
        <v>4622000010</v>
      </c>
      <c r="HW5">
        <v>40638623</v>
      </c>
      <c r="HX5">
        <v>99102567989</v>
      </c>
      <c r="HY5" s="1" t="s">
        <v>1980</v>
      </c>
      <c r="HZ5">
        <v>4310164</v>
      </c>
      <c r="IA5">
        <v>4321238</v>
      </c>
      <c r="IB5" s="1" t="s">
        <v>1981</v>
      </c>
      <c r="IC5">
        <v>830260</v>
      </c>
      <c r="ID5" s="1" t="s">
        <v>1982</v>
      </c>
      <c r="IE5">
        <v>2.06</v>
      </c>
      <c r="IF5">
        <v>2.14</v>
      </c>
      <c r="IG5">
        <v>1.94</v>
      </c>
      <c r="IH5">
        <v>2.94</v>
      </c>
      <c r="II5">
        <v>2.65</v>
      </c>
      <c r="IJ5">
        <v>1.99</v>
      </c>
      <c r="IK5">
        <v>1.99</v>
      </c>
    </row>
    <row r="6" spans="1:246" x14ac:dyDescent="0.3">
      <c r="A6">
        <v>1939</v>
      </c>
      <c r="B6">
        <v>2440</v>
      </c>
      <c r="C6" s="1" t="s">
        <v>641</v>
      </c>
      <c r="D6" s="1" t="s">
        <v>642</v>
      </c>
      <c r="E6" t="s">
        <v>3275</v>
      </c>
      <c r="F6" s="1" t="s">
        <v>643</v>
      </c>
      <c r="G6" s="1" t="s">
        <v>644</v>
      </c>
      <c r="H6">
        <v>610920310</v>
      </c>
      <c r="I6" s="1" t="s">
        <v>645</v>
      </c>
      <c r="J6" s="1" t="s">
        <v>646</v>
      </c>
      <c r="K6">
        <v>610924879</v>
      </c>
      <c r="L6">
        <v>42793</v>
      </c>
      <c r="M6" s="1" t="s">
        <v>647</v>
      </c>
      <c r="N6" s="1" t="s">
        <v>648</v>
      </c>
      <c r="O6">
        <v>241364537</v>
      </c>
      <c r="P6" s="1" t="s">
        <v>273</v>
      </c>
      <c r="Q6" s="1" t="s">
        <v>723</v>
      </c>
      <c r="R6" s="1" t="s">
        <v>647</v>
      </c>
      <c r="S6" s="1" t="s">
        <v>524</v>
      </c>
      <c r="T6" s="1"/>
      <c r="V6" s="1"/>
      <c r="W6" s="1" t="s">
        <v>645</v>
      </c>
      <c r="X6" s="1" t="s">
        <v>857</v>
      </c>
      <c r="Y6" s="1" t="s">
        <v>649</v>
      </c>
      <c r="Z6" s="1" t="s">
        <v>650</v>
      </c>
      <c r="AA6">
        <v>786633678</v>
      </c>
      <c r="AB6" s="1" t="s">
        <v>853</v>
      </c>
      <c r="AC6" s="1" t="s">
        <v>777</v>
      </c>
      <c r="AD6" s="1" t="s">
        <v>651</v>
      </c>
      <c r="AE6" s="1" t="s">
        <v>652</v>
      </c>
      <c r="AF6">
        <v>241364545</v>
      </c>
      <c r="AG6" s="1" t="s">
        <v>645</v>
      </c>
      <c r="AH6" s="1" t="s">
        <v>838</v>
      </c>
      <c r="AI6" s="1" t="s">
        <v>653</v>
      </c>
      <c r="AJ6" s="1" t="s">
        <v>654</v>
      </c>
      <c r="AK6">
        <v>241364551</v>
      </c>
      <c r="AL6" s="1" t="s">
        <v>748</v>
      </c>
      <c r="AM6" s="1" t="s">
        <v>685</v>
      </c>
      <c r="AN6" s="1" t="s">
        <v>655</v>
      </c>
      <c r="AO6" s="1" t="s">
        <v>656</v>
      </c>
      <c r="AP6">
        <v>241364542</v>
      </c>
      <c r="AQ6" s="1" t="s">
        <v>830</v>
      </c>
      <c r="AR6" s="1" t="s">
        <v>734</v>
      </c>
      <c r="AS6" s="1" t="s">
        <v>657</v>
      </c>
      <c r="AT6" s="1" t="s">
        <v>658</v>
      </c>
      <c r="AU6">
        <v>241364547</v>
      </c>
      <c r="AV6" s="1" t="s">
        <v>787</v>
      </c>
      <c r="AW6" s="1"/>
      <c r="AX6" s="1" t="s">
        <v>659</v>
      </c>
      <c r="AY6">
        <v>617425661</v>
      </c>
      <c r="AZ6" s="1" t="s">
        <v>660</v>
      </c>
      <c r="BA6">
        <v>678409252</v>
      </c>
      <c r="BB6" s="1" t="s">
        <v>661</v>
      </c>
      <c r="BC6" s="1" t="s">
        <v>662</v>
      </c>
      <c r="BD6">
        <v>49</v>
      </c>
      <c r="BE6">
        <v>241364545</v>
      </c>
      <c r="BF6">
        <v>47.466631399999997</v>
      </c>
      <c r="BG6">
        <v>-0.62488619999999095</v>
      </c>
      <c r="BH6">
        <v>451647903</v>
      </c>
      <c r="BI6">
        <v>1312</v>
      </c>
      <c r="BJ6" s="2">
        <v>41899</v>
      </c>
      <c r="BK6" s="1" t="s">
        <v>3285</v>
      </c>
      <c r="BL6" s="1" t="s">
        <v>290</v>
      </c>
      <c r="BM6" s="1" t="s">
        <v>291</v>
      </c>
      <c r="BN6" s="1" t="s">
        <v>292</v>
      </c>
      <c r="BO6" s="1" t="s">
        <v>291</v>
      </c>
      <c r="BP6" s="1" t="s">
        <v>293</v>
      </c>
      <c r="BQ6" s="1" t="s">
        <v>474</v>
      </c>
      <c r="BR6">
        <v>83</v>
      </c>
      <c r="BS6">
        <v>21708905.969999999</v>
      </c>
      <c r="BT6" s="1" t="s">
        <v>295</v>
      </c>
      <c r="BU6" s="1" t="s">
        <v>663</v>
      </c>
      <c r="BV6">
        <v>411339</v>
      </c>
      <c r="BW6">
        <v>1.2988738811042878E-2</v>
      </c>
      <c r="BX6">
        <v>54.1430737785983</v>
      </c>
      <c r="BY6">
        <v>8.9714841432056485</v>
      </c>
      <c r="BZ6">
        <v>3.2384359684402533</v>
      </c>
      <c r="CA6">
        <v>66.352993890244207</v>
      </c>
      <c r="CB6" s="1" t="s">
        <v>443</v>
      </c>
      <c r="CC6">
        <v>1</v>
      </c>
      <c r="CD6" s="1" t="s">
        <v>298</v>
      </c>
      <c r="CE6" s="1" t="s">
        <v>504</v>
      </c>
      <c r="CF6">
        <v>1101</v>
      </c>
      <c r="CG6" s="1" t="s">
        <v>300</v>
      </c>
      <c r="CH6" s="1" t="s">
        <v>403</v>
      </c>
      <c r="CI6" s="1" t="s">
        <v>404</v>
      </c>
      <c r="CJ6" s="1" t="s">
        <v>301</v>
      </c>
      <c r="CK6" s="1" t="s">
        <v>302</v>
      </c>
      <c r="CL6" s="1" t="s">
        <v>527</v>
      </c>
      <c r="CM6">
        <v>3601651112004</v>
      </c>
      <c r="CO6" s="1"/>
      <c r="CP6" s="1" t="s">
        <v>304</v>
      </c>
      <c r="CQ6" s="1" t="s">
        <v>305</v>
      </c>
      <c r="CR6" s="1" t="s">
        <v>505</v>
      </c>
      <c r="CS6">
        <v>7580</v>
      </c>
      <c r="CT6">
        <v>4160</v>
      </c>
      <c r="CU6">
        <v>3000</v>
      </c>
      <c r="CV6" s="1" t="s">
        <v>309</v>
      </c>
      <c r="CW6" s="1" t="s">
        <v>308</v>
      </c>
      <c r="CY6">
        <v>3420</v>
      </c>
      <c r="CZ6">
        <v>3500</v>
      </c>
      <c r="DA6" s="1" t="s">
        <v>307</v>
      </c>
      <c r="DB6">
        <v>3420</v>
      </c>
      <c r="DC6">
        <v>3420</v>
      </c>
      <c r="DD6">
        <v>0</v>
      </c>
      <c r="DE6">
        <v>0</v>
      </c>
      <c r="DF6">
        <v>915</v>
      </c>
      <c r="DG6">
        <v>2505</v>
      </c>
      <c r="DH6">
        <v>0</v>
      </c>
      <c r="DI6">
        <v>0</v>
      </c>
      <c r="DJ6">
        <v>0</v>
      </c>
      <c r="DK6" s="1" t="s">
        <v>310</v>
      </c>
      <c r="DL6" s="1" t="s">
        <v>370</v>
      </c>
      <c r="DN6" s="1"/>
      <c r="DO6">
        <v>815</v>
      </c>
      <c r="DP6">
        <v>815</v>
      </c>
      <c r="DQ6">
        <v>0</v>
      </c>
      <c r="DR6" s="1"/>
      <c r="DS6">
        <v>456</v>
      </c>
      <c r="DT6">
        <v>87</v>
      </c>
      <c r="DU6">
        <v>267</v>
      </c>
      <c r="DV6">
        <v>309</v>
      </c>
      <c r="DW6" s="1" t="s">
        <v>371</v>
      </c>
      <c r="DX6">
        <v>16</v>
      </c>
      <c r="DZ6">
        <v>2</v>
      </c>
      <c r="EA6">
        <v>2</v>
      </c>
      <c r="EB6">
        <v>8</v>
      </c>
      <c r="EC6">
        <v>2</v>
      </c>
      <c r="ED6">
        <v>0</v>
      </c>
      <c r="EE6">
        <v>1</v>
      </c>
      <c r="EF6">
        <v>13</v>
      </c>
      <c r="EG6">
        <v>2014</v>
      </c>
      <c r="EI6" s="1"/>
      <c r="EJ6" s="1" t="s">
        <v>313</v>
      </c>
      <c r="EK6" s="1" t="s">
        <v>314</v>
      </c>
      <c r="EL6">
        <v>28</v>
      </c>
      <c r="EM6">
        <v>29</v>
      </c>
      <c r="EN6">
        <v>12</v>
      </c>
      <c r="EO6" s="1" t="s">
        <v>664</v>
      </c>
      <c r="EP6">
        <v>29</v>
      </c>
      <c r="EQ6">
        <v>80.439228542266648</v>
      </c>
      <c r="ER6" s="1" t="s">
        <v>316</v>
      </c>
      <c r="ES6">
        <v>2.6560122631880492</v>
      </c>
      <c r="ET6">
        <v>0</v>
      </c>
      <c r="EU6" s="1"/>
      <c r="EV6">
        <v>108.01116536964734</v>
      </c>
      <c r="EW6">
        <v>0</v>
      </c>
      <c r="EX6" t="s">
        <v>316</v>
      </c>
      <c r="EY6">
        <v>0</v>
      </c>
      <c r="EZ6" s="1" t="s">
        <v>317</v>
      </c>
      <c r="FA6" s="2"/>
      <c r="FB6" s="1" t="s">
        <v>318</v>
      </c>
      <c r="FC6">
        <v>1</v>
      </c>
      <c r="FD6" s="1"/>
      <c r="FE6" s="2"/>
      <c r="FF6" s="1"/>
      <c r="FG6" s="1" t="s">
        <v>322</v>
      </c>
      <c r="FH6" s="1" t="s">
        <v>319</v>
      </c>
      <c r="FI6" s="1" t="s">
        <v>319</v>
      </c>
      <c r="FJ6" s="1" t="s">
        <v>319</v>
      </c>
      <c r="FK6" s="1" t="s">
        <v>373</v>
      </c>
      <c r="FL6">
        <v>18.59</v>
      </c>
      <c r="FM6">
        <v>4000.1775322283606</v>
      </c>
      <c r="FN6" s="1" t="s">
        <v>321</v>
      </c>
      <c r="FO6" s="1" t="s">
        <v>322</v>
      </c>
      <c r="FP6" s="1" t="s">
        <v>665</v>
      </c>
      <c r="FQ6" s="1" t="s">
        <v>324</v>
      </c>
      <c r="FR6" s="1" t="s">
        <v>325</v>
      </c>
      <c r="FS6" s="1"/>
      <c r="FT6" s="1" t="s">
        <v>666</v>
      </c>
      <c r="FV6" s="1" t="s">
        <v>319</v>
      </c>
      <c r="FW6" s="1" t="s">
        <v>322</v>
      </c>
      <c r="FX6" s="1" t="s">
        <v>322</v>
      </c>
      <c r="FY6" s="1" t="s">
        <v>322</v>
      </c>
      <c r="FZ6" s="1" t="s">
        <v>319</v>
      </c>
      <c r="GA6" s="1" t="s">
        <v>322</v>
      </c>
      <c r="GB6" s="1" t="s">
        <v>322</v>
      </c>
      <c r="GC6" s="1" t="s">
        <v>322</v>
      </c>
      <c r="GD6" s="1" t="s">
        <v>322</v>
      </c>
      <c r="GE6" s="1" t="s">
        <v>322</v>
      </c>
      <c r="GF6" s="1" t="s">
        <v>667</v>
      </c>
      <c r="GG6" s="1"/>
      <c r="GH6" s="1" t="s">
        <v>322</v>
      </c>
      <c r="GI6" s="1"/>
      <c r="GJ6" s="1" t="s">
        <v>322</v>
      </c>
      <c r="GK6" s="2">
        <v>41640</v>
      </c>
      <c r="GL6" s="1" t="s">
        <v>322</v>
      </c>
      <c r="GM6" s="1" t="s">
        <v>322</v>
      </c>
      <c r="GN6">
        <v>43010</v>
      </c>
      <c r="GO6" s="1" t="s">
        <v>319</v>
      </c>
      <c r="GQ6" s="1"/>
      <c r="GR6" s="1"/>
      <c r="GS6" s="1"/>
      <c r="GT6" s="1" t="s">
        <v>322</v>
      </c>
      <c r="GU6" s="1" t="s">
        <v>668</v>
      </c>
      <c r="GV6" s="1" t="s">
        <v>319</v>
      </c>
      <c r="GW6" s="1" t="s">
        <v>319</v>
      </c>
      <c r="GX6" s="1" t="s">
        <v>322</v>
      </c>
      <c r="GY6" s="1" t="s">
        <v>319</v>
      </c>
      <c r="GZ6" s="1" t="s">
        <v>319</v>
      </c>
      <c r="HA6" s="2">
        <v>44068</v>
      </c>
      <c r="HB6" s="2">
        <v>42667</v>
      </c>
      <c r="HC6" s="1"/>
      <c r="HD6" s="1"/>
      <c r="HE6" s="1"/>
      <c r="HF6" s="1"/>
      <c r="HG6" s="1"/>
      <c r="HH6" s="1"/>
      <c r="HI6" s="1" t="s">
        <v>322</v>
      </c>
      <c r="HJ6" s="1" t="s">
        <v>485</v>
      </c>
      <c r="HK6" s="2">
        <v>42736</v>
      </c>
      <c r="HL6" s="1"/>
      <c r="HM6" s="1" t="s">
        <v>322</v>
      </c>
      <c r="HN6" s="1" t="s">
        <v>322</v>
      </c>
      <c r="HO6" s="1"/>
      <c r="HP6" s="1"/>
      <c r="HQ6" s="1"/>
      <c r="HR6" s="1"/>
      <c r="HS6" s="1"/>
      <c r="HT6" s="1"/>
      <c r="HU6" s="1" t="s">
        <v>331</v>
      </c>
      <c r="HV6">
        <v>4230274012</v>
      </c>
      <c r="HW6">
        <v>40637960</v>
      </c>
      <c r="HX6">
        <v>99102563775</v>
      </c>
      <c r="HY6" s="1" t="s">
        <v>669</v>
      </c>
      <c r="HZ6">
        <v>4230404</v>
      </c>
      <c r="IA6">
        <v>4321351</v>
      </c>
      <c r="IB6" s="1" t="s">
        <v>670</v>
      </c>
      <c r="IC6">
        <v>830245</v>
      </c>
      <c r="ID6" s="1" t="s">
        <v>671</v>
      </c>
      <c r="IE6">
        <v>3.1</v>
      </c>
      <c r="IF6">
        <v>3</v>
      </c>
      <c r="IG6">
        <v>4</v>
      </c>
      <c r="IH6">
        <v>3.2</v>
      </c>
      <c r="II6">
        <v>3.3</v>
      </c>
      <c r="IJ6">
        <v>5.2656338028169012</v>
      </c>
      <c r="IK6">
        <v>2.38</v>
      </c>
    </row>
    <row r="7" spans="1:246" x14ac:dyDescent="0.3">
      <c r="A7">
        <v>1779</v>
      </c>
      <c r="B7">
        <v>2393</v>
      </c>
      <c r="C7" s="1" t="s">
        <v>672</v>
      </c>
      <c r="D7" s="1" t="s">
        <v>642</v>
      </c>
      <c r="E7" t="s">
        <v>3275</v>
      </c>
      <c r="F7" s="1" t="s">
        <v>643</v>
      </c>
      <c r="G7" s="1" t="s">
        <v>644</v>
      </c>
      <c r="H7">
        <v>610920310</v>
      </c>
      <c r="I7" s="1" t="s">
        <v>673</v>
      </c>
      <c r="J7" s="1" t="s">
        <v>674</v>
      </c>
      <c r="K7">
        <v>621315534</v>
      </c>
      <c r="L7">
        <v>43983</v>
      </c>
      <c r="M7" s="1" t="s">
        <v>675</v>
      </c>
      <c r="N7" s="1" t="s">
        <v>676</v>
      </c>
      <c r="O7">
        <v>241252555</v>
      </c>
      <c r="P7" s="1" t="s">
        <v>273</v>
      </c>
      <c r="Q7" s="1" t="s">
        <v>723</v>
      </c>
      <c r="R7" s="1" t="s">
        <v>647</v>
      </c>
      <c r="S7" s="1" t="s">
        <v>677</v>
      </c>
      <c r="T7" s="1" t="s">
        <v>678</v>
      </c>
      <c r="U7">
        <v>241252823</v>
      </c>
      <c r="V7" s="1" t="s">
        <v>276</v>
      </c>
      <c r="W7" s="1" t="s">
        <v>645</v>
      </c>
      <c r="X7" s="1" t="s">
        <v>857</v>
      </c>
      <c r="Y7" s="1" t="s">
        <v>679</v>
      </c>
      <c r="Z7" s="1" t="s">
        <v>680</v>
      </c>
      <c r="AA7">
        <v>241180660</v>
      </c>
      <c r="AB7" s="1" t="s">
        <v>853</v>
      </c>
      <c r="AC7" s="1" t="s">
        <v>777</v>
      </c>
      <c r="AD7" s="1" t="s">
        <v>681</v>
      </c>
      <c r="AE7" s="1" t="s">
        <v>682</v>
      </c>
      <c r="AF7">
        <v>241180660</v>
      </c>
      <c r="AG7" s="1" t="s">
        <v>645</v>
      </c>
      <c r="AH7" s="1" t="s">
        <v>838</v>
      </c>
      <c r="AI7" s="1" t="s">
        <v>683</v>
      </c>
      <c r="AJ7" s="1" t="s">
        <v>684</v>
      </c>
      <c r="AK7">
        <v>251069462</v>
      </c>
      <c r="AL7" s="1" t="s">
        <v>748</v>
      </c>
      <c r="AM7" s="1" t="s">
        <v>685</v>
      </c>
      <c r="AN7" s="1" t="s">
        <v>686</v>
      </c>
      <c r="AO7" s="1" t="s">
        <v>687</v>
      </c>
      <c r="AP7">
        <v>241252924</v>
      </c>
      <c r="AQ7" s="1" t="s">
        <v>830</v>
      </c>
      <c r="AR7" s="1" t="s">
        <v>734</v>
      </c>
      <c r="AS7" s="1" t="s">
        <v>688</v>
      </c>
      <c r="AT7" s="1" t="s">
        <v>689</v>
      </c>
      <c r="AU7">
        <v>241180660</v>
      </c>
      <c r="AV7" s="1" t="s">
        <v>787</v>
      </c>
      <c r="AW7" s="1"/>
      <c r="AX7" s="1" t="s">
        <v>659</v>
      </c>
      <c r="AY7">
        <v>617425662</v>
      </c>
      <c r="AZ7" s="1" t="s">
        <v>660</v>
      </c>
      <c r="BA7">
        <v>678409252</v>
      </c>
      <c r="BB7" s="1" t="s">
        <v>690</v>
      </c>
      <c r="BC7" s="1" t="s">
        <v>691</v>
      </c>
      <c r="BD7">
        <v>49</v>
      </c>
      <c r="BE7">
        <v>241180660</v>
      </c>
      <c r="BF7">
        <v>47.518310546875</v>
      </c>
      <c r="BG7">
        <v>-0.47378444671630898</v>
      </c>
      <c r="BH7">
        <v>451647903</v>
      </c>
      <c r="BI7">
        <v>702</v>
      </c>
      <c r="BJ7" s="2">
        <v>38637</v>
      </c>
      <c r="BK7" s="1" t="s">
        <v>3408</v>
      </c>
      <c r="BL7" s="1" t="s">
        <v>290</v>
      </c>
      <c r="BM7" s="1" t="s">
        <v>291</v>
      </c>
      <c r="BN7" s="1" t="s">
        <v>292</v>
      </c>
      <c r="BO7" s="1" t="s">
        <v>291</v>
      </c>
      <c r="BP7" s="1" t="s">
        <v>293</v>
      </c>
      <c r="BQ7" s="1" t="s">
        <v>294</v>
      </c>
      <c r="BR7">
        <v>80</v>
      </c>
      <c r="BS7">
        <v>20125183.050000001</v>
      </c>
      <c r="BT7" s="1" t="s">
        <v>295</v>
      </c>
      <c r="BU7" s="1" t="s">
        <v>359</v>
      </c>
      <c r="BV7">
        <v>344229</v>
      </c>
      <c r="BW7">
        <v>1.0847238039165149E-2</v>
      </c>
      <c r="BX7">
        <v>50.685765148018703</v>
      </c>
      <c r="BY7">
        <v>7.1951825234610256</v>
      </c>
      <c r="BZ7">
        <v>2.0574542317751261</v>
      </c>
      <c r="CA7">
        <v>59.938401903254857</v>
      </c>
      <c r="CB7" s="1" t="s">
        <v>443</v>
      </c>
      <c r="CC7">
        <v>1</v>
      </c>
      <c r="CD7" s="1" t="s">
        <v>298</v>
      </c>
      <c r="CE7" s="1" t="s">
        <v>361</v>
      </c>
      <c r="CF7">
        <v>1101</v>
      </c>
      <c r="CG7" s="1" t="s">
        <v>300</v>
      </c>
      <c r="CH7" s="1" t="s">
        <v>403</v>
      </c>
      <c r="CI7" s="1" t="s">
        <v>404</v>
      </c>
      <c r="CJ7" s="1" t="s">
        <v>301</v>
      </c>
      <c r="CK7" s="1" t="s">
        <v>302</v>
      </c>
      <c r="CL7" s="1" t="s">
        <v>527</v>
      </c>
      <c r="CM7">
        <v>3601651112004</v>
      </c>
      <c r="CO7" s="1"/>
      <c r="CP7" s="1" t="s">
        <v>692</v>
      </c>
      <c r="CQ7" s="1" t="s">
        <v>367</v>
      </c>
      <c r="CR7" s="1" t="s">
        <v>306</v>
      </c>
      <c r="CS7">
        <v>8200</v>
      </c>
      <c r="CT7">
        <v>5200</v>
      </c>
      <c r="CU7" t="s">
        <v>693</v>
      </c>
      <c r="CV7" s="1" t="s">
        <v>478</v>
      </c>
      <c r="CW7" s="1" t="s">
        <v>308</v>
      </c>
      <c r="CY7">
        <v>3000</v>
      </c>
      <c r="CZ7">
        <v>3000</v>
      </c>
      <c r="DA7" s="1" t="s">
        <v>309</v>
      </c>
      <c r="DB7">
        <v>3000</v>
      </c>
      <c r="DC7">
        <v>3000</v>
      </c>
      <c r="DD7">
        <v>0</v>
      </c>
      <c r="DE7">
        <v>0</v>
      </c>
      <c r="DF7">
        <v>995</v>
      </c>
      <c r="DG7">
        <v>2005</v>
      </c>
      <c r="DH7">
        <v>0</v>
      </c>
      <c r="DI7">
        <v>0</v>
      </c>
      <c r="DJ7">
        <v>0</v>
      </c>
      <c r="DK7" s="1" t="s">
        <v>409</v>
      </c>
      <c r="DL7" s="1" t="s">
        <v>694</v>
      </c>
      <c r="DN7" s="1"/>
      <c r="DO7">
        <v>1340</v>
      </c>
      <c r="DP7">
        <v>0</v>
      </c>
      <c r="DQ7">
        <v>1340</v>
      </c>
      <c r="DR7" s="1" t="s">
        <v>479</v>
      </c>
      <c r="DS7">
        <v>1600</v>
      </c>
      <c r="DT7">
        <v>75</v>
      </c>
      <c r="DU7">
        <v>271</v>
      </c>
      <c r="DV7">
        <v>331</v>
      </c>
      <c r="DW7" s="1" t="s">
        <v>371</v>
      </c>
      <c r="DX7">
        <v>12</v>
      </c>
      <c r="DZ7">
        <v>2</v>
      </c>
      <c r="EA7">
        <v>2</v>
      </c>
      <c r="EB7">
        <v>10</v>
      </c>
      <c r="EC7">
        <v>3</v>
      </c>
      <c r="ED7">
        <v>0</v>
      </c>
      <c r="EE7">
        <v>0</v>
      </c>
      <c r="EF7">
        <v>15</v>
      </c>
      <c r="EG7">
        <v>2012</v>
      </c>
      <c r="EI7" s="1"/>
      <c r="EJ7" s="1" t="s">
        <v>313</v>
      </c>
      <c r="EK7" s="1" t="s">
        <v>314</v>
      </c>
      <c r="EL7">
        <v>29</v>
      </c>
      <c r="EM7">
        <v>29</v>
      </c>
      <c r="EN7">
        <v>13</v>
      </c>
      <c r="EO7" s="1" t="s">
        <v>315</v>
      </c>
      <c r="EP7">
        <v>27</v>
      </c>
      <c r="EQ7">
        <v>80.439228542266648</v>
      </c>
      <c r="ER7" s="1" t="s">
        <v>316</v>
      </c>
      <c r="ES7">
        <v>2.6560122631880492</v>
      </c>
      <c r="ET7">
        <v>0</v>
      </c>
      <c r="EU7" s="1"/>
      <c r="EV7">
        <v>108.01116536964734</v>
      </c>
      <c r="EW7">
        <v>3</v>
      </c>
      <c r="EX7" t="s">
        <v>695</v>
      </c>
      <c r="EY7">
        <v>3</v>
      </c>
      <c r="EZ7" s="1" t="s">
        <v>317</v>
      </c>
      <c r="FA7" s="2"/>
      <c r="FB7" s="1" t="s">
        <v>318</v>
      </c>
      <c r="FC7">
        <v>1</v>
      </c>
      <c r="FD7" s="1"/>
      <c r="FE7" s="2"/>
      <c r="FF7" s="1"/>
      <c r="FG7" s="1" t="s">
        <v>319</v>
      </c>
      <c r="FH7" s="1" t="s">
        <v>319</v>
      </c>
      <c r="FI7" s="1" t="s">
        <v>319</v>
      </c>
      <c r="FJ7" s="1" t="s">
        <v>319</v>
      </c>
      <c r="FK7" s="1" t="s">
        <v>373</v>
      </c>
      <c r="FL7">
        <v>18.59</v>
      </c>
      <c r="FM7">
        <v>4002.0454880294656</v>
      </c>
      <c r="FN7" s="1" t="s">
        <v>321</v>
      </c>
      <c r="FO7" s="1" t="s">
        <v>322</v>
      </c>
      <c r="FP7" s="1" t="s">
        <v>323</v>
      </c>
      <c r="FQ7" s="1" t="s">
        <v>324</v>
      </c>
      <c r="FR7" s="1" t="s">
        <v>325</v>
      </c>
      <c r="FS7" s="1" t="s">
        <v>374</v>
      </c>
      <c r="FT7" s="1" t="s">
        <v>326</v>
      </c>
      <c r="FU7">
        <v>494198191</v>
      </c>
      <c r="FV7" s="1" t="s">
        <v>319</v>
      </c>
      <c r="FW7" s="1" t="s">
        <v>322</v>
      </c>
      <c r="FX7" s="1" t="s">
        <v>322</v>
      </c>
      <c r="FY7" s="1" t="s">
        <v>322</v>
      </c>
      <c r="FZ7" s="1" t="s">
        <v>322</v>
      </c>
      <c r="GA7" s="1" t="s">
        <v>322</v>
      </c>
      <c r="GB7" s="1" t="s">
        <v>322</v>
      </c>
      <c r="GC7" s="1" t="s">
        <v>322</v>
      </c>
      <c r="GD7" s="1" t="s">
        <v>319</v>
      </c>
      <c r="GE7" s="1" t="s">
        <v>319</v>
      </c>
      <c r="GF7" s="1" t="s">
        <v>415</v>
      </c>
      <c r="GG7" s="1"/>
      <c r="GH7" s="1" t="s">
        <v>319</v>
      </c>
      <c r="GI7" s="1"/>
      <c r="GJ7" s="1" t="s">
        <v>322</v>
      </c>
      <c r="GK7" s="2">
        <v>42005</v>
      </c>
      <c r="GL7" s="1" t="s">
        <v>322</v>
      </c>
      <c r="GM7" s="1" t="s">
        <v>322</v>
      </c>
      <c r="GN7">
        <v>43010</v>
      </c>
      <c r="GO7" s="1" t="s">
        <v>319</v>
      </c>
      <c r="GQ7" s="1"/>
      <c r="GR7" s="1"/>
      <c r="GS7" s="1"/>
      <c r="GT7" s="1" t="s">
        <v>322</v>
      </c>
      <c r="GU7" s="1" t="s">
        <v>668</v>
      </c>
      <c r="GV7" s="1" t="s">
        <v>322</v>
      </c>
      <c r="GW7" s="1" t="s">
        <v>322</v>
      </c>
      <c r="GX7" s="1" t="s">
        <v>319</v>
      </c>
      <c r="GY7" s="1" t="s">
        <v>319</v>
      </c>
      <c r="GZ7" s="1" t="s">
        <v>319</v>
      </c>
      <c r="HA7" s="2">
        <v>44068</v>
      </c>
      <c r="HB7" s="2">
        <v>42667</v>
      </c>
      <c r="HC7" s="1"/>
      <c r="HD7" s="1"/>
      <c r="HE7" s="1"/>
      <c r="HF7" s="1"/>
      <c r="HG7" s="1"/>
      <c r="HH7" s="1"/>
      <c r="HI7" s="1" t="s">
        <v>322</v>
      </c>
      <c r="HJ7" s="1" t="s">
        <v>330</v>
      </c>
      <c r="HK7" s="2"/>
      <c r="HL7" s="1"/>
      <c r="HM7" s="1" t="s">
        <v>322</v>
      </c>
      <c r="HN7" s="1" t="s">
        <v>322</v>
      </c>
      <c r="HO7" s="1"/>
      <c r="HP7" s="1"/>
      <c r="HQ7" s="1"/>
      <c r="HR7" s="1"/>
      <c r="HS7" s="1"/>
      <c r="HT7" s="1"/>
      <c r="HU7" s="1" t="s">
        <v>331</v>
      </c>
      <c r="HV7">
        <v>4623535013</v>
      </c>
      <c r="HW7">
        <v>40637977</v>
      </c>
      <c r="HX7">
        <v>99102563854</v>
      </c>
      <c r="HY7" s="1" t="s">
        <v>696</v>
      </c>
      <c r="HZ7">
        <v>4319341</v>
      </c>
      <c r="IA7">
        <v>4321686</v>
      </c>
      <c r="IB7" s="1" t="s">
        <v>697</v>
      </c>
      <c r="IC7">
        <v>830247</v>
      </c>
      <c r="ID7" s="1" t="s">
        <v>698</v>
      </c>
      <c r="IE7">
        <v>4.92</v>
      </c>
      <c r="IF7">
        <v>6.15</v>
      </c>
      <c r="IG7">
        <v>7.68</v>
      </c>
      <c r="IH7">
        <v>5.56</v>
      </c>
      <c r="II7">
        <v>5.0199999999999996</v>
      </c>
      <c r="IJ7">
        <v>3.4</v>
      </c>
      <c r="IK7">
        <v>3.4</v>
      </c>
    </row>
    <row r="8" spans="1:246" x14ac:dyDescent="0.3">
      <c r="A8">
        <v>1912</v>
      </c>
      <c r="B8">
        <v>2420</v>
      </c>
      <c r="C8" s="1" t="s">
        <v>381</v>
      </c>
      <c r="D8" s="1" t="s">
        <v>382</v>
      </c>
      <c r="E8" t="s">
        <v>3275</v>
      </c>
      <c r="F8" s="1" t="s">
        <v>337</v>
      </c>
      <c r="G8" s="1" t="s">
        <v>338</v>
      </c>
      <c r="H8">
        <v>614540304</v>
      </c>
      <c r="I8" s="1" t="s">
        <v>383</v>
      </c>
      <c r="J8" s="1" t="s">
        <v>384</v>
      </c>
      <c r="K8">
        <v>646374582</v>
      </c>
      <c r="L8">
        <v>43353</v>
      </c>
      <c r="M8" s="1" t="s">
        <v>385</v>
      </c>
      <c r="N8" s="1" t="s">
        <v>386</v>
      </c>
      <c r="O8">
        <v>545939378</v>
      </c>
      <c r="P8" s="1" t="s">
        <v>273</v>
      </c>
      <c r="Q8" s="1" t="s">
        <v>454</v>
      </c>
      <c r="R8" s="1" t="s">
        <v>567</v>
      </c>
      <c r="S8" s="1" t="s">
        <v>387</v>
      </c>
      <c r="T8" s="1" t="s">
        <v>388</v>
      </c>
      <c r="U8">
        <v>545939379</v>
      </c>
      <c r="V8" s="1" t="s">
        <v>276</v>
      </c>
      <c r="W8" s="1" t="s">
        <v>454</v>
      </c>
      <c r="X8" s="1" t="s">
        <v>494</v>
      </c>
      <c r="Y8" s="1" t="s">
        <v>389</v>
      </c>
      <c r="Z8" s="1"/>
      <c r="AB8" s="1" t="s">
        <v>615</v>
      </c>
      <c r="AC8" s="1" t="s">
        <v>571</v>
      </c>
      <c r="AD8" s="1" t="s">
        <v>390</v>
      </c>
      <c r="AE8" s="1" t="s">
        <v>391</v>
      </c>
      <c r="AF8">
        <v>545939376</v>
      </c>
      <c r="AG8" s="1" t="s">
        <v>490</v>
      </c>
      <c r="AH8" s="1"/>
      <c r="AI8" s="1" t="s">
        <v>392</v>
      </c>
      <c r="AJ8" s="1" t="s">
        <v>393</v>
      </c>
      <c r="AK8">
        <v>345939375</v>
      </c>
      <c r="AL8" s="1" t="s">
        <v>565</v>
      </c>
      <c r="AM8" s="1" t="s">
        <v>392</v>
      </c>
      <c r="AN8" s="1" t="s">
        <v>394</v>
      </c>
      <c r="AO8" s="1" t="s">
        <v>395</v>
      </c>
      <c r="AP8">
        <v>545939372</v>
      </c>
      <c r="AQ8" s="1" t="s">
        <v>590</v>
      </c>
      <c r="AR8" s="1" t="s">
        <v>394</v>
      </c>
      <c r="AS8" s="1" t="s">
        <v>396</v>
      </c>
      <c r="AT8" s="1" t="s">
        <v>397</v>
      </c>
      <c r="AU8">
        <v>545939374</v>
      </c>
      <c r="AV8" s="1" t="s">
        <v>383</v>
      </c>
      <c r="AW8" s="1" t="s">
        <v>398</v>
      </c>
      <c r="AX8" s="1" t="s">
        <v>355</v>
      </c>
      <c r="AY8">
        <v>623422345</v>
      </c>
      <c r="AZ8" s="1" t="s">
        <v>356</v>
      </c>
      <c r="BA8">
        <v>678408517</v>
      </c>
      <c r="BB8" s="1" t="s">
        <v>399</v>
      </c>
      <c r="BC8" s="1" t="s">
        <v>400</v>
      </c>
      <c r="BD8">
        <v>16</v>
      </c>
      <c r="BE8">
        <v>545939370</v>
      </c>
      <c r="BF8">
        <v>45.6884765625</v>
      </c>
      <c r="BG8">
        <v>0.18196058273315399</v>
      </c>
      <c r="BH8">
        <v>451647903</v>
      </c>
      <c r="BI8">
        <v>892</v>
      </c>
      <c r="BJ8" s="2">
        <v>39262</v>
      </c>
      <c r="BK8" s="1" t="s">
        <v>1600</v>
      </c>
      <c r="BL8" s="1" t="s">
        <v>290</v>
      </c>
      <c r="BM8" s="1" t="s">
        <v>291</v>
      </c>
      <c r="BN8" s="1" t="s">
        <v>292</v>
      </c>
      <c r="BO8" s="1" t="s">
        <v>291</v>
      </c>
      <c r="BP8" s="1" t="s">
        <v>293</v>
      </c>
      <c r="BQ8" s="1" t="s">
        <v>294</v>
      </c>
      <c r="BR8">
        <v>80</v>
      </c>
      <c r="BS8">
        <v>26402741.18</v>
      </c>
      <c r="BT8" s="1" t="s">
        <v>295</v>
      </c>
      <c r="BU8" s="1" t="s">
        <v>401</v>
      </c>
      <c r="BV8">
        <v>349037</v>
      </c>
      <c r="BW8">
        <v>9.4346499405420382E-3</v>
      </c>
      <c r="BX8">
        <v>58.6855673501681</v>
      </c>
      <c r="BY8">
        <v>2.2666424913738168</v>
      </c>
      <c r="BZ8">
        <v>5.9660743719918239</v>
      </c>
      <c r="CA8">
        <v>66.918284213533738</v>
      </c>
      <c r="CB8" s="1" t="s">
        <v>360</v>
      </c>
      <c r="CC8">
        <v>2</v>
      </c>
      <c r="CD8" s="1" t="s">
        <v>402</v>
      </c>
      <c r="CE8" s="1" t="s">
        <v>361</v>
      </c>
      <c r="CF8">
        <v>1106</v>
      </c>
      <c r="CG8" s="1" t="s">
        <v>362</v>
      </c>
      <c r="CH8" s="1" t="s">
        <v>403</v>
      </c>
      <c r="CI8" s="1" t="s">
        <v>404</v>
      </c>
      <c r="CJ8" s="1" t="s">
        <v>301</v>
      </c>
      <c r="CK8" s="1" t="s">
        <v>302</v>
      </c>
      <c r="CL8" s="1" t="s">
        <v>365</v>
      </c>
      <c r="CM8">
        <v>3601651110000</v>
      </c>
      <c r="CO8" s="1"/>
      <c r="CP8" s="1" t="s">
        <v>405</v>
      </c>
      <c r="CQ8" s="1" t="s">
        <v>406</v>
      </c>
      <c r="CR8" s="1" t="s">
        <v>407</v>
      </c>
      <c r="CS8">
        <v>6372</v>
      </c>
      <c r="CT8">
        <v>2972</v>
      </c>
      <c r="CU8">
        <v>3000</v>
      </c>
      <c r="CV8" s="1" t="s">
        <v>309</v>
      </c>
      <c r="CW8" s="1" t="s">
        <v>408</v>
      </c>
      <c r="CX8">
        <v>500</v>
      </c>
      <c r="CY8">
        <v>3400</v>
      </c>
      <c r="CZ8">
        <v>3500</v>
      </c>
      <c r="DA8" s="1" t="s">
        <v>307</v>
      </c>
      <c r="DB8">
        <v>3400</v>
      </c>
      <c r="DC8">
        <v>3400</v>
      </c>
      <c r="DD8">
        <v>84</v>
      </c>
      <c r="DE8">
        <v>0</v>
      </c>
      <c r="DF8">
        <v>0</v>
      </c>
      <c r="DG8">
        <v>3400</v>
      </c>
      <c r="DH8">
        <v>0</v>
      </c>
      <c r="DI8">
        <v>0</v>
      </c>
      <c r="DJ8">
        <v>0</v>
      </c>
      <c r="DK8" s="1" t="s">
        <v>409</v>
      </c>
      <c r="DL8" s="1" t="s">
        <v>410</v>
      </c>
      <c r="DN8" s="1"/>
      <c r="DO8">
        <v>783</v>
      </c>
      <c r="DP8">
        <v>0</v>
      </c>
      <c r="DQ8">
        <v>783</v>
      </c>
      <c r="DR8" s="1"/>
      <c r="DS8">
        <v>417</v>
      </c>
      <c r="DT8">
        <v>95</v>
      </c>
      <c r="DU8">
        <v>292</v>
      </c>
      <c r="DV8">
        <v>194</v>
      </c>
      <c r="DW8" s="1" t="s">
        <v>371</v>
      </c>
      <c r="DX8">
        <v>19</v>
      </c>
      <c r="DY8">
        <v>2017</v>
      </c>
      <c r="DZ8">
        <v>2</v>
      </c>
      <c r="EA8">
        <v>2</v>
      </c>
      <c r="EB8">
        <v>9</v>
      </c>
      <c r="EC8">
        <v>3</v>
      </c>
      <c r="ED8">
        <v>0</v>
      </c>
      <c r="EE8">
        <v>1</v>
      </c>
      <c r="EF8">
        <v>15</v>
      </c>
      <c r="EG8">
        <v>2014</v>
      </c>
      <c r="EI8" s="1"/>
      <c r="EJ8" s="1" t="s">
        <v>313</v>
      </c>
      <c r="EK8" s="1" t="s">
        <v>314</v>
      </c>
      <c r="EL8">
        <v>26</v>
      </c>
      <c r="EM8">
        <v>25</v>
      </c>
      <c r="EN8">
        <v>12</v>
      </c>
      <c r="EO8" s="1" t="s">
        <v>315</v>
      </c>
      <c r="EP8">
        <v>21</v>
      </c>
      <c r="EQ8">
        <v>76.075186717383446</v>
      </c>
      <c r="ER8" s="1" t="s">
        <v>411</v>
      </c>
      <c r="ES8">
        <v>1.9435266679623509</v>
      </c>
      <c r="ET8">
        <v>0</v>
      </c>
      <c r="EU8" s="1"/>
      <c r="EV8">
        <v>109.94808007329873</v>
      </c>
      <c r="EW8">
        <v>1</v>
      </c>
      <c r="EX8" t="s">
        <v>372</v>
      </c>
      <c r="EY8">
        <v>1</v>
      </c>
      <c r="EZ8" s="1" t="s">
        <v>412</v>
      </c>
      <c r="FA8" s="2">
        <v>43466</v>
      </c>
      <c r="FB8" s="1" t="s">
        <v>413</v>
      </c>
      <c r="FC8">
        <v>1</v>
      </c>
      <c r="FD8" s="1"/>
      <c r="FE8" s="2"/>
      <c r="FF8" s="1"/>
      <c r="FG8" s="1" t="s">
        <v>319</v>
      </c>
      <c r="FH8" s="1" t="s">
        <v>319</v>
      </c>
      <c r="FI8" s="1" t="s">
        <v>319</v>
      </c>
      <c r="FJ8" s="1" t="s">
        <v>319</v>
      </c>
      <c r="FK8" s="1" t="s">
        <v>373</v>
      </c>
      <c r="FL8">
        <v>18.59</v>
      </c>
      <c r="FM8">
        <v>8040.5756906077331</v>
      </c>
      <c r="FN8" s="1" t="s">
        <v>414</v>
      </c>
      <c r="FO8" s="1" t="s">
        <v>319</v>
      </c>
      <c r="FP8" s="1" t="s">
        <v>323</v>
      </c>
      <c r="FQ8" s="1" t="s">
        <v>324</v>
      </c>
      <c r="FR8" s="1" t="s">
        <v>325</v>
      </c>
      <c r="FS8" s="1" t="s">
        <v>374</v>
      </c>
      <c r="FT8" s="1" t="s">
        <v>326</v>
      </c>
      <c r="FU8">
        <v>494198191</v>
      </c>
      <c r="FV8" s="1" t="s">
        <v>319</v>
      </c>
      <c r="FW8" s="1" t="s">
        <v>322</v>
      </c>
      <c r="FX8" s="1" t="s">
        <v>322</v>
      </c>
      <c r="FY8" s="1" t="s">
        <v>322</v>
      </c>
      <c r="FZ8" s="1" t="s">
        <v>322</v>
      </c>
      <c r="GA8" s="1" t="s">
        <v>322</v>
      </c>
      <c r="GB8" s="1" t="s">
        <v>319</v>
      </c>
      <c r="GC8" s="1" t="s">
        <v>322</v>
      </c>
      <c r="GD8" s="1" t="s">
        <v>322</v>
      </c>
      <c r="GE8" s="1" t="s">
        <v>319</v>
      </c>
      <c r="GF8" s="1" t="s">
        <v>415</v>
      </c>
      <c r="GG8" s="1"/>
      <c r="GH8" s="1" t="s">
        <v>322</v>
      </c>
      <c r="GI8" s="1" t="s">
        <v>416</v>
      </c>
      <c r="GJ8" s="1" t="s">
        <v>322</v>
      </c>
      <c r="GK8" s="2">
        <v>42005</v>
      </c>
      <c r="GL8" s="1" t="s">
        <v>322</v>
      </c>
      <c r="GM8" s="1" t="s">
        <v>322</v>
      </c>
      <c r="GN8">
        <v>42996</v>
      </c>
      <c r="GO8" s="1" t="s">
        <v>322</v>
      </c>
      <c r="GQ8" s="1" t="s">
        <v>417</v>
      </c>
      <c r="GR8" s="1" t="s">
        <v>322</v>
      </c>
      <c r="GS8" s="1" t="s">
        <v>418</v>
      </c>
      <c r="GT8" s="1" t="s">
        <v>319</v>
      </c>
      <c r="GU8" s="1" t="s">
        <v>319</v>
      </c>
      <c r="GV8" s="1" t="s">
        <v>319</v>
      </c>
      <c r="GW8" s="1" t="s">
        <v>319</v>
      </c>
      <c r="GX8" s="1" t="s">
        <v>319</v>
      </c>
      <c r="GY8" s="1" t="s">
        <v>319</v>
      </c>
      <c r="GZ8" s="1" t="s">
        <v>319</v>
      </c>
      <c r="HA8" s="2">
        <v>44063</v>
      </c>
      <c r="HB8" s="2">
        <v>42625</v>
      </c>
      <c r="HC8" s="1"/>
      <c r="HD8" s="1"/>
      <c r="HE8" s="1"/>
      <c r="HF8" s="1"/>
      <c r="HG8" s="1"/>
      <c r="HH8" s="1"/>
      <c r="HI8" s="1" t="s">
        <v>322</v>
      </c>
      <c r="HJ8" s="1" t="s">
        <v>330</v>
      </c>
      <c r="HK8" s="2"/>
      <c r="HL8" s="1"/>
      <c r="HM8" s="1" t="s">
        <v>322</v>
      </c>
      <c r="HN8" s="1" t="s">
        <v>322</v>
      </c>
      <c r="HO8" s="1" t="s">
        <v>322</v>
      </c>
      <c r="HP8" s="1"/>
      <c r="HQ8" s="1"/>
      <c r="HR8" s="1"/>
      <c r="HS8" s="1"/>
      <c r="HT8" s="1"/>
      <c r="HU8" s="1" t="s">
        <v>331</v>
      </c>
      <c r="HV8">
        <v>4625376013</v>
      </c>
      <c r="HW8">
        <v>40638250</v>
      </c>
      <c r="HX8">
        <v>99102565632</v>
      </c>
      <c r="HY8" s="1" t="s">
        <v>419</v>
      </c>
      <c r="HZ8">
        <v>4319816</v>
      </c>
      <c r="IA8">
        <v>4321832</v>
      </c>
      <c r="IB8" s="1" t="s">
        <v>420</v>
      </c>
      <c r="IC8">
        <v>830152</v>
      </c>
      <c r="ID8" s="1" t="s">
        <v>421</v>
      </c>
      <c r="IE8">
        <v>5.08</v>
      </c>
      <c r="IF8">
        <v>5.13</v>
      </c>
      <c r="IG8">
        <v>4.0999999999999996</v>
      </c>
      <c r="IH8">
        <v>3.28</v>
      </c>
      <c r="II8">
        <v>2.48</v>
      </c>
      <c r="IJ8">
        <v>3.6475714285714287</v>
      </c>
      <c r="IK8">
        <v>3.65</v>
      </c>
    </row>
    <row r="9" spans="1:246" x14ac:dyDescent="0.3">
      <c r="A9">
        <v>1904</v>
      </c>
      <c r="B9">
        <v>2414</v>
      </c>
      <c r="C9" s="1" t="s">
        <v>2680</v>
      </c>
      <c r="D9" s="1" t="s">
        <v>1103</v>
      </c>
      <c r="E9" t="s">
        <v>3275</v>
      </c>
      <c r="F9" s="1" t="s">
        <v>2504</v>
      </c>
      <c r="G9" s="1" t="s">
        <v>2505</v>
      </c>
      <c r="H9">
        <v>610925352</v>
      </c>
      <c r="I9" s="1" t="s">
        <v>2681</v>
      </c>
      <c r="J9" s="1" t="s">
        <v>2682</v>
      </c>
      <c r="L9">
        <v>44388</v>
      </c>
      <c r="M9" s="1" t="s">
        <v>2683</v>
      </c>
      <c r="N9" s="1" t="s">
        <v>2684</v>
      </c>
      <c r="O9">
        <v>450318368</v>
      </c>
      <c r="P9" s="1" t="s">
        <v>273</v>
      </c>
      <c r="Q9" s="1" t="s">
        <v>2658</v>
      </c>
      <c r="R9" s="1" t="s">
        <v>2729</v>
      </c>
      <c r="S9" s="1" t="s">
        <v>2685</v>
      </c>
      <c r="T9" s="1" t="s">
        <v>2686</v>
      </c>
      <c r="U9">
        <v>450318369</v>
      </c>
      <c r="V9" s="1" t="s">
        <v>276</v>
      </c>
      <c r="W9" s="1" t="s">
        <v>2840</v>
      </c>
      <c r="X9" s="1" t="s">
        <v>2796</v>
      </c>
      <c r="Y9" s="1" t="s">
        <v>389</v>
      </c>
      <c r="Z9" s="1"/>
      <c r="AB9" s="1" t="s">
        <v>2751</v>
      </c>
      <c r="AC9" s="1" t="s">
        <v>2707</v>
      </c>
      <c r="AD9" s="1" t="s">
        <v>2687</v>
      </c>
      <c r="AE9" s="1" t="s">
        <v>2688</v>
      </c>
      <c r="AF9">
        <v>450318366</v>
      </c>
      <c r="AG9" s="1" t="s">
        <v>2701</v>
      </c>
      <c r="AH9" s="1" t="s">
        <v>2736</v>
      </c>
      <c r="AI9" s="1" t="s">
        <v>2689</v>
      </c>
      <c r="AJ9" s="1" t="s">
        <v>2690</v>
      </c>
      <c r="AK9">
        <v>450318365</v>
      </c>
      <c r="AL9" s="1" t="s">
        <v>2804</v>
      </c>
      <c r="AM9" s="1" t="s">
        <v>2514</v>
      </c>
      <c r="AN9" s="1" t="s">
        <v>2691</v>
      </c>
      <c r="AO9" s="1" t="s">
        <v>2692</v>
      </c>
      <c r="AP9">
        <v>450318362</v>
      </c>
      <c r="AQ9" s="1" t="s">
        <v>2725</v>
      </c>
      <c r="AR9" s="1" t="s">
        <v>2829</v>
      </c>
      <c r="AS9" s="1" t="s">
        <v>2693</v>
      </c>
      <c r="AT9" s="1" t="s">
        <v>2694</v>
      </c>
      <c r="AU9">
        <v>450318367</v>
      </c>
      <c r="AV9" s="1" t="s">
        <v>2725</v>
      </c>
      <c r="AW9" s="1" t="s">
        <v>2741</v>
      </c>
      <c r="AX9" s="1" t="s">
        <v>2520</v>
      </c>
      <c r="AY9">
        <v>789331666</v>
      </c>
      <c r="AZ9" s="1" t="s">
        <v>2430</v>
      </c>
      <c r="BB9" s="1" t="s">
        <v>2695</v>
      </c>
      <c r="BC9" s="1" t="s">
        <v>2696</v>
      </c>
      <c r="BD9">
        <v>74</v>
      </c>
      <c r="BE9">
        <v>450318360</v>
      </c>
      <c r="BF9">
        <v>46.1864013671875</v>
      </c>
      <c r="BG9">
        <v>6.2740631103515598</v>
      </c>
      <c r="BH9">
        <v>451647903</v>
      </c>
      <c r="BI9">
        <v>1023</v>
      </c>
      <c r="BJ9" s="2">
        <v>39596</v>
      </c>
      <c r="BK9" s="1" t="s">
        <v>3132</v>
      </c>
      <c r="BL9" s="1" t="s">
        <v>290</v>
      </c>
      <c r="BM9" s="1" t="s">
        <v>291</v>
      </c>
      <c r="BN9" s="1" t="s">
        <v>292</v>
      </c>
      <c r="BO9" s="1" t="s">
        <v>291</v>
      </c>
      <c r="BP9" s="1" t="s">
        <v>293</v>
      </c>
      <c r="BQ9" s="1" t="s">
        <v>294</v>
      </c>
      <c r="BR9">
        <v>80</v>
      </c>
      <c r="BS9">
        <v>20219681.66</v>
      </c>
      <c r="BT9" s="1" t="s">
        <v>295</v>
      </c>
      <c r="BU9" s="1" t="s">
        <v>359</v>
      </c>
      <c r="BV9">
        <v>286759</v>
      </c>
      <c r="BW9">
        <v>1.4415163685862891E-2</v>
      </c>
      <c r="BX9">
        <v>59.028482890485897</v>
      </c>
      <c r="BY9">
        <v>1.9214248038504651</v>
      </c>
      <c r="BZ9">
        <v>2.9189693633106959</v>
      </c>
      <c r="CA9">
        <v>63.868877057647055</v>
      </c>
      <c r="CB9" s="1" t="s">
        <v>360</v>
      </c>
      <c r="CC9">
        <v>1</v>
      </c>
      <c r="CD9" s="1" t="s">
        <v>402</v>
      </c>
      <c r="CE9" s="1" t="s">
        <v>402</v>
      </c>
      <c r="CF9">
        <v>1106</v>
      </c>
      <c r="CG9" s="1" t="s">
        <v>362</v>
      </c>
      <c r="CH9" s="1" t="s">
        <v>972</v>
      </c>
      <c r="CI9" s="1" t="s">
        <v>973</v>
      </c>
      <c r="CJ9" s="1" t="s">
        <v>972</v>
      </c>
      <c r="CK9" s="1" t="s">
        <v>302</v>
      </c>
      <c r="CL9" s="1" t="s">
        <v>974</v>
      </c>
      <c r="CM9">
        <v>3020409000020</v>
      </c>
      <c r="CO9" s="1"/>
      <c r="CP9" s="1" t="s">
        <v>366</v>
      </c>
      <c r="CQ9" s="1" t="s">
        <v>305</v>
      </c>
      <c r="CR9" s="1" t="s">
        <v>505</v>
      </c>
      <c r="CS9">
        <v>5868</v>
      </c>
      <c r="CT9">
        <v>2640</v>
      </c>
      <c r="CU9">
        <v>2500</v>
      </c>
      <c r="CV9" s="1" t="s">
        <v>584</v>
      </c>
      <c r="CW9" s="1" t="s">
        <v>308</v>
      </c>
      <c r="CY9">
        <v>3230</v>
      </c>
      <c r="CZ9">
        <v>3000</v>
      </c>
      <c r="DA9" s="1" t="s">
        <v>309</v>
      </c>
      <c r="DB9">
        <v>3308</v>
      </c>
      <c r="DC9">
        <v>3228</v>
      </c>
      <c r="DD9">
        <v>84</v>
      </c>
      <c r="DE9">
        <v>0</v>
      </c>
      <c r="DF9">
        <v>1125</v>
      </c>
      <c r="DG9">
        <v>2103</v>
      </c>
      <c r="DH9">
        <v>0</v>
      </c>
      <c r="DI9">
        <v>0</v>
      </c>
      <c r="DJ9">
        <v>0</v>
      </c>
      <c r="DK9" s="1" t="s">
        <v>409</v>
      </c>
      <c r="DL9" s="1" t="s">
        <v>741</v>
      </c>
      <c r="DN9" s="1"/>
      <c r="DO9">
        <v>764</v>
      </c>
      <c r="DP9">
        <v>0</v>
      </c>
      <c r="DQ9">
        <v>764</v>
      </c>
      <c r="DR9" s="1"/>
      <c r="DS9">
        <v>1067</v>
      </c>
      <c r="DT9">
        <v>86</v>
      </c>
      <c r="DU9">
        <v>300</v>
      </c>
      <c r="DV9">
        <v>274</v>
      </c>
      <c r="DW9" s="1" t="s">
        <v>371</v>
      </c>
      <c r="DX9">
        <v>18</v>
      </c>
      <c r="DY9">
        <v>2018</v>
      </c>
      <c r="DZ9">
        <v>2</v>
      </c>
      <c r="EA9">
        <v>2</v>
      </c>
      <c r="EB9">
        <v>6</v>
      </c>
      <c r="EC9">
        <v>3</v>
      </c>
      <c r="ED9">
        <v>0</v>
      </c>
      <c r="EE9">
        <v>1</v>
      </c>
      <c r="EF9">
        <v>12</v>
      </c>
      <c r="EG9">
        <v>2014</v>
      </c>
      <c r="EI9" s="1"/>
      <c r="EJ9" s="1" t="s">
        <v>313</v>
      </c>
      <c r="EK9" s="1" t="s">
        <v>314</v>
      </c>
      <c r="EL9">
        <v>23</v>
      </c>
      <c r="EM9">
        <v>19</v>
      </c>
      <c r="EN9">
        <v>9</v>
      </c>
      <c r="EO9" s="1" t="s">
        <v>315</v>
      </c>
      <c r="EP9">
        <v>25</v>
      </c>
      <c r="EQ9">
        <v>91.816617553832543</v>
      </c>
      <c r="ER9" s="1" t="s">
        <v>316</v>
      </c>
      <c r="ES9">
        <v>7.8023225842407014</v>
      </c>
      <c r="ET9">
        <v>0</v>
      </c>
      <c r="EU9" s="1"/>
      <c r="EV9">
        <v>119.82138254369649</v>
      </c>
      <c r="EW9">
        <v>3</v>
      </c>
      <c r="EX9" t="s">
        <v>316</v>
      </c>
      <c r="EY9">
        <v>3</v>
      </c>
      <c r="EZ9" s="1" t="s">
        <v>317</v>
      </c>
      <c r="FA9" s="2"/>
      <c r="FB9" s="1" t="s">
        <v>318</v>
      </c>
      <c r="FC9">
        <v>1</v>
      </c>
      <c r="FD9" s="1"/>
      <c r="FE9" s="2">
        <v>42370</v>
      </c>
      <c r="FF9" s="1"/>
      <c r="FG9" s="1" t="s">
        <v>322</v>
      </c>
      <c r="FH9" s="1" t="s">
        <v>319</v>
      </c>
      <c r="FI9" s="1" t="s">
        <v>319</v>
      </c>
      <c r="FJ9" s="1" t="s">
        <v>319</v>
      </c>
      <c r="FK9" s="1" t="s">
        <v>1143</v>
      </c>
      <c r="FL9">
        <v>18.97</v>
      </c>
      <c r="FM9">
        <v>4575.7874999999995</v>
      </c>
      <c r="FN9" s="1" t="s">
        <v>321</v>
      </c>
      <c r="FO9" s="1" t="s">
        <v>319</v>
      </c>
      <c r="FP9" s="1" t="s">
        <v>323</v>
      </c>
      <c r="FQ9" s="1" t="s">
        <v>559</v>
      </c>
      <c r="FR9" s="1" t="s">
        <v>325</v>
      </c>
      <c r="FS9" s="1" t="s">
        <v>374</v>
      </c>
      <c r="FT9" s="1" t="s">
        <v>326</v>
      </c>
      <c r="FU9">
        <v>494198191</v>
      </c>
      <c r="FV9" s="1" t="s">
        <v>319</v>
      </c>
      <c r="FW9" s="1" t="s">
        <v>322</v>
      </c>
      <c r="FX9" s="1" t="s">
        <v>322</v>
      </c>
      <c r="FY9" s="1" t="s">
        <v>322</v>
      </c>
      <c r="FZ9" s="1" t="s">
        <v>322</v>
      </c>
      <c r="GA9" s="1" t="s">
        <v>322</v>
      </c>
      <c r="GB9" s="1" t="s">
        <v>322</v>
      </c>
      <c r="GC9" s="1" t="s">
        <v>322</v>
      </c>
      <c r="GD9" s="1" t="s">
        <v>319</v>
      </c>
      <c r="GE9" s="1" t="s">
        <v>322</v>
      </c>
      <c r="GF9" s="1" t="s">
        <v>415</v>
      </c>
      <c r="GG9" s="1"/>
      <c r="GH9" s="1" t="s">
        <v>319</v>
      </c>
      <c r="GI9" s="1" t="s">
        <v>1025</v>
      </c>
      <c r="GJ9" s="1" t="s">
        <v>322</v>
      </c>
      <c r="GK9" s="2">
        <v>42005</v>
      </c>
      <c r="GL9" s="1" t="s">
        <v>322</v>
      </c>
      <c r="GM9" s="1" t="s">
        <v>322</v>
      </c>
      <c r="GN9">
        <v>43075</v>
      </c>
      <c r="GO9" s="1" t="s">
        <v>319</v>
      </c>
      <c r="GQ9" s="1"/>
      <c r="GR9" s="1"/>
      <c r="GS9" s="1"/>
      <c r="GT9" s="1" t="s">
        <v>319</v>
      </c>
      <c r="GU9" s="1" t="s">
        <v>319</v>
      </c>
      <c r="GV9" s="1" t="s">
        <v>319</v>
      </c>
      <c r="GW9" s="1" t="s">
        <v>319</v>
      </c>
      <c r="GX9" s="1" t="s">
        <v>319</v>
      </c>
      <c r="GY9" s="1" t="s">
        <v>319</v>
      </c>
      <c r="GZ9" s="1" t="s">
        <v>319</v>
      </c>
      <c r="HA9" s="2">
        <v>44064</v>
      </c>
      <c r="HB9" s="2">
        <v>42667</v>
      </c>
      <c r="HC9" s="1"/>
      <c r="HD9" s="1"/>
      <c r="HE9" s="1"/>
      <c r="HF9" s="1"/>
      <c r="HG9" s="1"/>
      <c r="HH9" s="1"/>
      <c r="HI9" s="1" t="s">
        <v>322</v>
      </c>
      <c r="HJ9" s="1" t="s">
        <v>330</v>
      </c>
      <c r="HK9" s="2"/>
      <c r="HL9" s="1"/>
      <c r="HM9" s="1" t="s">
        <v>322</v>
      </c>
      <c r="HN9" s="1" t="s">
        <v>322</v>
      </c>
      <c r="HO9" s="1" t="s">
        <v>322</v>
      </c>
      <c r="HP9" s="1"/>
      <c r="HQ9" s="1"/>
      <c r="HR9" s="1"/>
      <c r="HS9" s="1"/>
      <c r="HT9" s="1"/>
      <c r="HU9" s="1" t="s">
        <v>331</v>
      </c>
      <c r="HV9">
        <v>4626868012</v>
      </c>
      <c r="HW9">
        <v>40638936</v>
      </c>
      <c r="HX9">
        <v>99102570704</v>
      </c>
      <c r="HY9" s="1" t="s">
        <v>2697</v>
      </c>
      <c r="HZ9">
        <v>4319820</v>
      </c>
      <c r="IA9">
        <v>4321824</v>
      </c>
      <c r="IB9" s="1" t="s">
        <v>2698</v>
      </c>
      <c r="IC9">
        <v>830271</v>
      </c>
      <c r="ID9" s="1" t="s">
        <v>2699</v>
      </c>
      <c r="IE9">
        <v>3.98</v>
      </c>
      <c r="IF9">
        <v>4.9800000000000004</v>
      </c>
      <c r="IG9">
        <v>4.2</v>
      </c>
      <c r="IH9">
        <v>3.36</v>
      </c>
      <c r="II9">
        <v>2.56</v>
      </c>
      <c r="IJ9">
        <v>1.4204477611940298</v>
      </c>
      <c r="IK9">
        <v>1.41</v>
      </c>
    </row>
    <row r="10" spans="1:246" x14ac:dyDescent="0.3">
      <c r="A10">
        <v>1795</v>
      </c>
      <c r="B10">
        <v>2407</v>
      </c>
      <c r="C10" s="1" t="s">
        <v>422</v>
      </c>
      <c r="D10" s="1" t="s">
        <v>382</v>
      </c>
      <c r="E10" t="s">
        <v>3275</v>
      </c>
      <c r="F10" s="1" t="s">
        <v>337</v>
      </c>
      <c r="G10" s="1" t="s">
        <v>338</v>
      </c>
      <c r="H10">
        <v>614540304</v>
      </c>
      <c r="I10" s="1" t="s">
        <v>423</v>
      </c>
      <c r="J10" s="1" t="s">
        <v>424</v>
      </c>
      <c r="K10">
        <v>624648789</v>
      </c>
      <c r="L10">
        <v>42537</v>
      </c>
      <c r="M10" s="1" t="s">
        <v>425</v>
      </c>
      <c r="N10" s="1" t="s">
        <v>426</v>
      </c>
      <c r="O10">
        <v>557708887</v>
      </c>
      <c r="P10" s="1"/>
      <c r="Q10" s="1" t="s">
        <v>454</v>
      </c>
      <c r="R10" s="1" t="s">
        <v>567</v>
      </c>
      <c r="S10" s="1" t="s">
        <v>427</v>
      </c>
      <c r="T10" s="1" t="s">
        <v>428</v>
      </c>
      <c r="U10">
        <v>557708884</v>
      </c>
      <c r="V10" s="1" t="s">
        <v>276</v>
      </c>
      <c r="W10" s="1" t="s">
        <v>454</v>
      </c>
      <c r="X10" s="1" t="s">
        <v>494</v>
      </c>
      <c r="Y10" s="1" t="s">
        <v>429</v>
      </c>
      <c r="Z10" s="1" t="s">
        <v>430</v>
      </c>
      <c r="AA10">
        <v>557708888</v>
      </c>
      <c r="AB10" s="1" t="s">
        <v>615</v>
      </c>
      <c r="AC10" s="1" t="s">
        <v>571</v>
      </c>
      <c r="AD10" s="1" t="s">
        <v>431</v>
      </c>
      <c r="AE10" s="1" t="s">
        <v>432</v>
      </c>
      <c r="AF10">
        <v>557708883</v>
      </c>
      <c r="AG10" s="1" t="s">
        <v>490</v>
      </c>
      <c r="AH10" s="1"/>
      <c r="AI10" s="1" t="s">
        <v>433</v>
      </c>
      <c r="AJ10" s="1" t="s">
        <v>434</v>
      </c>
      <c r="AK10">
        <v>557708882</v>
      </c>
      <c r="AL10" s="1" t="s">
        <v>565</v>
      </c>
      <c r="AM10" s="1" t="s">
        <v>392</v>
      </c>
      <c r="AN10" s="1" t="s">
        <v>435</v>
      </c>
      <c r="AO10" s="1" t="s">
        <v>436</v>
      </c>
      <c r="AP10">
        <v>557708886</v>
      </c>
      <c r="AQ10" s="1" t="s">
        <v>590</v>
      </c>
      <c r="AR10" s="1"/>
      <c r="AS10" s="1" t="s">
        <v>437</v>
      </c>
      <c r="AT10" s="1" t="s">
        <v>438</v>
      </c>
      <c r="AU10">
        <v>557708888</v>
      </c>
      <c r="AV10" s="1" t="s">
        <v>383</v>
      </c>
      <c r="AW10" s="1" t="s">
        <v>439</v>
      </c>
      <c r="AX10" s="1" t="s">
        <v>355</v>
      </c>
      <c r="AY10">
        <v>623422346</v>
      </c>
      <c r="AZ10" s="1" t="s">
        <v>356</v>
      </c>
      <c r="BA10">
        <v>678408518</v>
      </c>
      <c r="BB10" s="1" t="s">
        <v>440</v>
      </c>
      <c r="BC10" s="1" t="s">
        <v>441</v>
      </c>
      <c r="BD10">
        <v>33</v>
      </c>
      <c r="BE10">
        <v>557708888</v>
      </c>
      <c r="BF10">
        <v>44.64306640625</v>
      </c>
      <c r="BG10">
        <v>-0.95456504821777299</v>
      </c>
      <c r="BH10">
        <v>451647903</v>
      </c>
      <c r="BI10">
        <v>843</v>
      </c>
      <c r="BJ10" s="2">
        <v>38770</v>
      </c>
      <c r="BK10" s="1" t="s">
        <v>2202</v>
      </c>
      <c r="BL10" s="1" t="s">
        <v>290</v>
      </c>
      <c r="BM10" s="1" t="s">
        <v>291</v>
      </c>
      <c r="BN10" s="1" t="s">
        <v>292</v>
      </c>
      <c r="BO10" s="1" t="s">
        <v>291</v>
      </c>
      <c r="BP10" s="1" t="s">
        <v>293</v>
      </c>
      <c r="BQ10" s="1" t="s">
        <v>294</v>
      </c>
      <c r="BR10">
        <v>80</v>
      </c>
      <c r="BS10">
        <v>22582534.780000001</v>
      </c>
      <c r="BT10" s="1" t="s">
        <v>295</v>
      </c>
      <c r="BU10" s="1" t="s">
        <v>296</v>
      </c>
      <c r="BV10">
        <v>301263</v>
      </c>
      <c r="BW10">
        <v>1.1540026166239494E-2</v>
      </c>
      <c r="BX10">
        <v>54.6855673501681</v>
      </c>
      <c r="BY10">
        <v>11.012972242368305</v>
      </c>
      <c r="BZ10">
        <v>4.1084036614579897</v>
      </c>
      <c r="CA10">
        <v>69.80694325399439</v>
      </c>
      <c r="CB10" s="1" t="s">
        <v>443</v>
      </c>
      <c r="CC10">
        <v>1</v>
      </c>
      <c r="CD10" s="1" t="s">
        <v>402</v>
      </c>
      <c r="CE10" s="1" t="s">
        <v>361</v>
      </c>
      <c r="CF10">
        <v>1106</v>
      </c>
      <c r="CG10" s="1" t="s">
        <v>362</v>
      </c>
      <c r="CH10" s="1" t="s">
        <v>403</v>
      </c>
      <c r="CI10" s="1" t="s">
        <v>404</v>
      </c>
      <c r="CJ10" s="1" t="s">
        <v>301</v>
      </c>
      <c r="CK10" s="1" t="s">
        <v>302</v>
      </c>
      <c r="CL10" s="1" t="s">
        <v>365</v>
      </c>
      <c r="CM10">
        <v>3601651110000</v>
      </c>
      <c r="CO10" s="1"/>
      <c r="CP10" s="1" t="s">
        <v>444</v>
      </c>
      <c r="CQ10" s="1" t="s">
        <v>406</v>
      </c>
      <c r="CR10" s="1" t="s">
        <v>407</v>
      </c>
      <c r="CS10">
        <v>6190</v>
      </c>
      <c r="CT10">
        <v>2950</v>
      </c>
      <c r="CU10">
        <v>3000</v>
      </c>
      <c r="CV10" s="1" t="s">
        <v>309</v>
      </c>
      <c r="CW10" s="1" t="s">
        <v>308</v>
      </c>
      <c r="CY10">
        <v>3240</v>
      </c>
      <c r="CZ10">
        <v>3000</v>
      </c>
      <c r="DA10" s="1" t="s">
        <v>309</v>
      </c>
      <c r="DB10">
        <v>3240</v>
      </c>
      <c r="DC10">
        <v>3240</v>
      </c>
      <c r="DD10">
        <v>0</v>
      </c>
      <c r="DE10">
        <v>0</v>
      </c>
      <c r="DF10">
        <v>720</v>
      </c>
      <c r="DG10">
        <v>2520</v>
      </c>
      <c r="DH10">
        <v>0</v>
      </c>
      <c r="DI10">
        <v>0</v>
      </c>
      <c r="DJ10">
        <v>0</v>
      </c>
      <c r="DK10" s="1" t="s">
        <v>369</v>
      </c>
      <c r="DL10" s="1" t="s">
        <v>445</v>
      </c>
      <c r="DN10" s="1"/>
      <c r="DO10">
        <v>1025</v>
      </c>
      <c r="DP10">
        <v>0</v>
      </c>
      <c r="DQ10">
        <v>1025</v>
      </c>
      <c r="DR10" s="1"/>
      <c r="DS10">
        <v>1028</v>
      </c>
      <c r="DT10">
        <v>98</v>
      </c>
      <c r="DU10">
        <v>267</v>
      </c>
      <c r="DV10">
        <v>270</v>
      </c>
      <c r="DW10" s="1" t="s">
        <v>371</v>
      </c>
      <c r="DX10">
        <v>14</v>
      </c>
      <c r="DZ10">
        <v>2</v>
      </c>
      <c r="EA10">
        <v>2</v>
      </c>
      <c r="EB10">
        <v>10</v>
      </c>
      <c r="EC10">
        <v>3</v>
      </c>
      <c r="ED10">
        <v>0</v>
      </c>
      <c r="EE10">
        <v>0</v>
      </c>
      <c r="EF10">
        <v>15</v>
      </c>
      <c r="EG10">
        <v>2012</v>
      </c>
      <c r="EI10" s="1"/>
      <c r="EJ10" s="1" t="s">
        <v>313</v>
      </c>
      <c r="EK10" s="1" t="s">
        <v>314</v>
      </c>
      <c r="EL10">
        <v>31</v>
      </c>
      <c r="EM10">
        <v>25</v>
      </c>
      <c r="EN10">
        <v>12</v>
      </c>
      <c r="EO10" s="1" t="s">
        <v>315</v>
      </c>
      <c r="EP10">
        <v>26</v>
      </c>
      <c r="EQ10">
        <v>169.23889624727167</v>
      </c>
      <c r="ER10" s="1" t="s">
        <v>411</v>
      </c>
      <c r="ES10">
        <v>5.2755266909997403</v>
      </c>
      <c r="ET10">
        <v>0</v>
      </c>
      <c r="EU10" s="1"/>
      <c r="EV10">
        <v>118.66418036955416</v>
      </c>
      <c r="EW10">
        <v>2</v>
      </c>
      <c r="EX10" t="s">
        <v>446</v>
      </c>
      <c r="EY10">
        <v>2</v>
      </c>
      <c r="EZ10" s="1" t="s">
        <v>317</v>
      </c>
      <c r="FA10" s="2"/>
      <c r="FB10" s="1" t="s">
        <v>318</v>
      </c>
      <c r="FC10">
        <v>1</v>
      </c>
      <c r="FD10" s="1"/>
      <c r="FE10" s="2">
        <v>42370</v>
      </c>
      <c r="FF10" s="1"/>
      <c r="FG10" s="1" t="s">
        <v>319</v>
      </c>
      <c r="FH10" s="1" t="s">
        <v>319</v>
      </c>
      <c r="FI10" s="1" t="s">
        <v>319</v>
      </c>
      <c r="FJ10" s="1" t="s">
        <v>319</v>
      </c>
      <c r="FK10" s="1" t="s">
        <v>373</v>
      </c>
      <c r="FL10">
        <v>18.59</v>
      </c>
      <c r="FM10">
        <v>4321.4042357274393</v>
      </c>
      <c r="FN10" s="1" t="s">
        <v>321</v>
      </c>
      <c r="FO10" s="1" t="s">
        <v>319</v>
      </c>
      <c r="FP10" s="1" t="s">
        <v>323</v>
      </c>
      <c r="FQ10" s="1" t="s">
        <v>324</v>
      </c>
      <c r="FR10" s="1" t="s">
        <v>325</v>
      </c>
      <c r="FS10" s="1"/>
      <c r="FT10" s="1" t="s">
        <v>326</v>
      </c>
      <c r="FU10">
        <v>494198191</v>
      </c>
      <c r="FV10" s="1" t="s">
        <v>319</v>
      </c>
      <c r="FW10" s="1" t="s">
        <v>319</v>
      </c>
      <c r="FX10" s="1" t="s">
        <v>322</v>
      </c>
      <c r="FY10" s="1" t="s">
        <v>322</v>
      </c>
      <c r="FZ10" s="1" t="s">
        <v>322</v>
      </c>
      <c r="GA10" s="1" t="s">
        <v>322</v>
      </c>
      <c r="GB10" s="1"/>
      <c r="GC10" s="1"/>
      <c r="GD10" s="1" t="s">
        <v>322</v>
      </c>
      <c r="GE10" s="1" t="s">
        <v>319</v>
      </c>
      <c r="GF10" s="1" t="s">
        <v>415</v>
      </c>
      <c r="GG10" s="1"/>
      <c r="GH10" s="1" t="s">
        <v>319</v>
      </c>
      <c r="GI10" s="1"/>
      <c r="GJ10" s="1" t="s">
        <v>322</v>
      </c>
      <c r="GK10" s="2">
        <v>42005</v>
      </c>
      <c r="GL10" s="1" t="s">
        <v>322</v>
      </c>
      <c r="GM10" s="1" t="s">
        <v>322</v>
      </c>
      <c r="GN10">
        <v>42996</v>
      </c>
      <c r="GO10" s="1" t="s">
        <v>322</v>
      </c>
      <c r="GP10">
        <v>42793</v>
      </c>
      <c r="GQ10" s="1" t="s">
        <v>447</v>
      </c>
      <c r="GR10" s="1" t="s">
        <v>322</v>
      </c>
      <c r="GS10" s="1" t="s">
        <v>448</v>
      </c>
      <c r="GT10" s="1" t="s">
        <v>322</v>
      </c>
      <c r="GU10" s="1" t="s">
        <v>449</v>
      </c>
      <c r="GV10" s="1" t="s">
        <v>322</v>
      </c>
      <c r="GW10" s="1" t="s">
        <v>319</v>
      </c>
      <c r="GX10" s="1" t="s">
        <v>322</v>
      </c>
      <c r="GY10" s="1" t="s">
        <v>319</v>
      </c>
      <c r="GZ10" s="1" t="s">
        <v>319</v>
      </c>
      <c r="HA10" s="2">
        <v>44067</v>
      </c>
      <c r="HB10" s="2">
        <v>42625</v>
      </c>
      <c r="HC10" s="1"/>
      <c r="HD10" s="1"/>
      <c r="HE10" s="1"/>
      <c r="HF10" s="1"/>
      <c r="HG10" s="1"/>
      <c r="HH10" s="1"/>
      <c r="HI10" s="1" t="s">
        <v>322</v>
      </c>
      <c r="HJ10" s="1" t="s">
        <v>330</v>
      </c>
      <c r="HK10" s="2"/>
      <c r="HL10" s="1"/>
      <c r="HM10" s="1" t="s">
        <v>322</v>
      </c>
      <c r="HN10" s="1" t="s">
        <v>322</v>
      </c>
      <c r="HO10" s="1" t="s">
        <v>322</v>
      </c>
      <c r="HP10" s="1"/>
      <c r="HQ10" s="1"/>
      <c r="HR10" s="1"/>
      <c r="HS10" s="1"/>
      <c r="HT10" s="1"/>
      <c r="HU10" s="1" t="s">
        <v>331</v>
      </c>
      <c r="HV10">
        <v>4623797014</v>
      </c>
      <c r="HW10">
        <v>40637983</v>
      </c>
      <c r="HX10">
        <v>99102563866</v>
      </c>
      <c r="HY10" s="1" t="s">
        <v>450</v>
      </c>
      <c r="HZ10">
        <v>4319825</v>
      </c>
      <c r="IA10">
        <v>4321806</v>
      </c>
      <c r="IB10" s="1" t="s">
        <v>451</v>
      </c>
      <c r="IC10">
        <v>830169</v>
      </c>
      <c r="ID10" s="1" t="s">
        <v>452</v>
      </c>
      <c r="IE10">
        <v>5.98</v>
      </c>
      <c r="IF10">
        <v>7.47</v>
      </c>
      <c r="IG10">
        <v>8.61</v>
      </c>
      <c r="IH10">
        <v>8.4600000000000009</v>
      </c>
      <c r="II10">
        <v>8.77</v>
      </c>
      <c r="IJ10">
        <v>7.8</v>
      </c>
      <c r="IK10">
        <v>7.8</v>
      </c>
    </row>
    <row r="11" spans="1:246" x14ac:dyDescent="0.3">
      <c r="A11">
        <v>1743</v>
      </c>
      <c r="B11">
        <v>2359</v>
      </c>
      <c r="C11" s="1" t="s">
        <v>1983</v>
      </c>
      <c r="D11" s="1" t="s">
        <v>1451</v>
      </c>
      <c r="E11" t="s">
        <v>3275</v>
      </c>
      <c r="F11" s="1" t="s">
        <v>267</v>
      </c>
      <c r="G11" s="1" t="s">
        <v>268</v>
      </c>
      <c r="H11">
        <v>608729156</v>
      </c>
      <c r="I11" s="1" t="s">
        <v>1984</v>
      </c>
      <c r="J11" s="1" t="s">
        <v>1985</v>
      </c>
      <c r="K11">
        <v>622602536</v>
      </c>
      <c r="L11">
        <v>42821</v>
      </c>
      <c r="M11" s="1" t="s">
        <v>1986</v>
      </c>
      <c r="N11" s="1" t="s">
        <v>1987</v>
      </c>
      <c r="O11">
        <v>321152630</v>
      </c>
      <c r="P11" s="1" t="s">
        <v>884</v>
      </c>
      <c r="Q11" s="1" t="s">
        <v>1984</v>
      </c>
      <c r="R11" s="1" t="s">
        <v>2101</v>
      </c>
      <c r="S11" s="1" t="s">
        <v>1986</v>
      </c>
      <c r="T11" s="1" t="s">
        <v>1987</v>
      </c>
      <c r="U11">
        <v>321152630</v>
      </c>
      <c r="V11" s="1" t="s">
        <v>754</v>
      </c>
      <c r="W11" s="1" t="s">
        <v>2099</v>
      </c>
      <c r="X11" s="1" t="s">
        <v>274</v>
      </c>
      <c r="Y11" s="1" t="s">
        <v>1988</v>
      </c>
      <c r="Z11" s="1" t="s">
        <v>1989</v>
      </c>
      <c r="AA11">
        <v>321152635</v>
      </c>
      <c r="AB11" s="1" t="s">
        <v>2121</v>
      </c>
      <c r="AC11" s="1" t="s">
        <v>2166</v>
      </c>
      <c r="AD11" s="1" t="s">
        <v>1990</v>
      </c>
      <c r="AE11" s="1" t="s">
        <v>1991</v>
      </c>
      <c r="AF11">
        <v>321152635</v>
      </c>
      <c r="AG11" s="1" t="s">
        <v>2160</v>
      </c>
      <c r="AH11" s="1" t="s">
        <v>279</v>
      </c>
      <c r="AI11" s="1" t="s">
        <v>1992</v>
      </c>
      <c r="AJ11" s="1" t="s">
        <v>1993</v>
      </c>
      <c r="AK11">
        <v>321152634</v>
      </c>
      <c r="AL11" s="1" t="s">
        <v>2086</v>
      </c>
      <c r="AM11" s="1" t="s">
        <v>2013</v>
      </c>
      <c r="AN11" s="1" t="s">
        <v>1994</v>
      </c>
      <c r="AO11" s="1" t="s">
        <v>1995</v>
      </c>
      <c r="AP11">
        <v>321152630</v>
      </c>
      <c r="AQ11" s="1" t="s">
        <v>2049</v>
      </c>
      <c r="AR11" s="1" t="s">
        <v>2015</v>
      </c>
      <c r="AS11" s="1" t="s">
        <v>1996</v>
      </c>
      <c r="AT11" s="1" t="s">
        <v>1997</v>
      </c>
      <c r="AU11">
        <v>321152630</v>
      </c>
      <c r="AV11" s="1" t="s">
        <v>2140</v>
      </c>
      <c r="AW11" s="1" t="s">
        <v>2063</v>
      </c>
      <c r="AX11" s="1" t="s">
        <v>287</v>
      </c>
      <c r="AY11">
        <v>787300096</v>
      </c>
      <c r="AZ11" s="1"/>
      <c r="BB11" s="1" t="s">
        <v>1998</v>
      </c>
      <c r="BC11" s="1" t="s">
        <v>1999</v>
      </c>
      <c r="BD11">
        <v>62</v>
      </c>
      <c r="BE11">
        <v>321152630</v>
      </c>
      <c r="BF11">
        <v>50.2674560546875</v>
      </c>
      <c r="BG11">
        <v>2.7999496459960902</v>
      </c>
      <c r="BH11">
        <v>451647903</v>
      </c>
      <c r="BI11">
        <v>124</v>
      </c>
      <c r="BJ11" s="2">
        <v>37043</v>
      </c>
      <c r="BK11" s="1" t="s">
        <v>3308</v>
      </c>
      <c r="BL11" s="1" t="s">
        <v>290</v>
      </c>
      <c r="BM11" s="1" t="s">
        <v>291</v>
      </c>
      <c r="BN11" s="1" t="s">
        <v>292</v>
      </c>
      <c r="BO11" s="1" t="s">
        <v>291</v>
      </c>
      <c r="BP11" s="1" t="s">
        <v>293</v>
      </c>
      <c r="BQ11" s="1" t="s">
        <v>294</v>
      </c>
      <c r="BR11">
        <v>80</v>
      </c>
      <c r="BS11">
        <v>21256050.190000001</v>
      </c>
      <c r="BT11" s="1" t="s">
        <v>295</v>
      </c>
      <c r="BU11" s="1" t="s">
        <v>359</v>
      </c>
      <c r="BV11">
        <v>375193</v>
      </c>
      <c r="BW11">
        <v>8.0558682828031671E-3</v>
      </c>
      <c r="BX11">
        <v>49.6855673501681</v>
      </c>
      <c r="BY11">
        <v>1.5428452121931391</v>
      </c>
      <c r="BZ11">
        <v>6.0302147205555912</v>
      </c>
      <c r="CA11">
        <v>57.258627282916827</v>
      </c>
      <c r="CB11" s="1" t="s">
        <v>297</v>
      </c>
      <c r="CC11">
        <v>1</v>
      </c>
      <c r="CD11" s="1" t="s">
        <v>298</v>
      </c>
      <c r="CE11" s="1" t="s">
        <v>504</v>
      </c>
      <c r="CF11">
        <v>1101</v>
      </c>
      <c r="CG11" s="1" t="s">
        <v>300</v>
      </c>
      <c r="CH11" s="1" t="s">
        <v>1474</v>
      </c>
      <c r="CI11" s="1" t="s">
        <v>1475</v>
      </c>
      <c r="CJ11" s="1" t="s">
        <v>1474</v>
      </c>
      <c r="CK11" s="1" t="s">
        <v>1475</v>
      </c>
      <c r="CL11" s="1" t="s">
        <v>1476</v>
      </c>
      <c r="CM11">
        <v>3020409000010</v>
      </c>
      <c r="CO11" s="1"/>
      <c r="CP11" s="1" t="s">
        <v>304</v>
      </c>
      <c r="CQ11" s="1" t="s">
        <v>406</v>
      </c>
      <c r="CR11" s="1" t="s">
        <v>306</v>
      </c>
      <c r="CS11">
        <v>7224</v>
      </c>
      <c r="CT11">
        <v>3700</v>
      </c>
      <c r="CU11">
        <v>3700</v>
      </c>
      <c r="CV11" s="1" t="s">
        <v>307</v>
      </c>
      <c r="CW11" s="1" t="s">
        <v>308</v>
      </c>
      <c r="CY11">
        <v>3524</v>
      </c>
      <c r="CZ11">
        <v>3500</v>
      </c>
      <c r="DA11" s="1" t="s">
        <v>307</v>
      </c>
      <c r="DB11">
        <v>3524</v>
      </c>
      <c r="DC11">
        <v>3524</v>
      </c>
      <c r="DD11">
        <v>0</v>
      </c>
      <c r="DE11">
        <v>0</v>
      </c>
      <c r="DF11">
        <v>1250</v>
      </c>
      <c r="DG11">
        <v>2274</v>
      </c>
      <c r="DH11">
        <v>0</v>
      </c>
      <c r="DI11">
        <v>0</v>
      </c>
      <c r="DJ11">
        <v>0</v>
      </c>
      <c r="DK11" s="1" t="s">
        <v>369</v>
      </c>
      <c r="DL11" s="1" t="s">
        <v>370</v>
      </c>
      <c r="DN11" s="1"/>
      <c r="DO11">
        <v>976</v>
      </c>
      <c r="DP11">
        <v>0</v>
      </c>
      <c r="DQ11">
        <v>976</v>
      </c>
      <c r="DR11" s="1" t="s">
        <v>790</v>
      </c>
      <c r="DS11">
        <v>430</v>
      </c>
      <c r="DT11">
        <v>93</v>
      </c>
      <c r="DU11">
        <v>234</v>
      </c>
      <c r="DV11">
        <v>295</v>
      </c>
      <c r="DW11" s="1" t="s">
        <v>371</v>
      </c>
      <c r="DX11">
        <v>13</v>
      </c>
      <c r="DZ11">
        <v>2</v>
      </c>
      <c r="EA11">
        <v>2</v>
      </c>
      <c r="EB11">
        <v>7</v>
      </c>
      <c r="EC11">
        <v>2</v>
      </c>
      <c r="ED11">
        <v>0</v>
      </c>
      <c r="EE11">
        <v>0</v>
      </c>
      <c r="EF11">
        <v>11</v>
      </c>
      <c r="EG11">
        <v>2010</v>
      </c>
      <c r="EI11" s="1"/>
      <c r="EJ11" s="1" t="s">
        <v>313</v>
      </c>
      <c r="EK11" s="1" t="s">
        <v>314</v>
      </c>
      <c r="EL11">
        <v>23</v>
      </c>
      <c r="EM11">
        <v>23</v>
      </c>
      <c r="EN11">
        <v>12</v>
      </c>
      <c r="EO11" s="1" t="s">
        <v>315</v>
      </c>
      <c r="EP11">
        <v>17</v>
      </c>
      <c r="EQ11">
        <v>75.872687789964957</v>
      </c>
      <c r="ER11" s="1" t="s">
        <v>316</v>
      </c>
      <c r="ES11">
        <v>6.5477319534044494</v>
      </c>
      <c r="ET11">
        <v>0</v>
      </c>
      <c r="EU11" s="1"/>
      <c r="EV11">
        <v>87.820611045146279</v>
      </c>
      <c r="EW11">
        <v>2</v>
      </c>
      <c r="EX11" t="s">
        <v>481</v>
      </c>
      <c r="EY11">
        <v>2</v>
      </c>
      <c r="EZ11" s="1" t="s">
        <v>1381</v>
      </c>
      <c r="FA11" s="2"/>
      <c r="FB11" s="1" t="s">
        <v>1382</v>
      </c>
      <c r="FC11">
        <v>1</v>
      </c>
      <c r="FD11" s="1"/>
      <c r="FE11" s="2"/>
      <c r="FF11" s="1"/>
      <c r="FG11" s="1" t="s">
        <v>319</v>
      </c>
      <c r="FH11" s="1" t="s">
        <v>319</v>
      </c>
      <c r="FI11" s="1" t="s">
        <v>319</v>
      </c>
      <c r="FJ11" s="1" t="s">
        <v>319</v>
      </c>
      <c r="FK11" s="1" t="s">
        <v>320</v>
      </c>
      <c r="FL11">
        <v>18.920000000000002</v>
      </c>
      <c r="FM11">
        <v>4027.3601158161414</v>
      </c>
      <c r="FN11" s="1" t="s">
        <v>321</v>
      </c>
      <c r="FO11" s="1" t="s">
        <v>322</v>
      </c>
      <c r="FP11" s="1" t="s">
        <v>323</v>
      </c>
      <c r="FQ11" s="1" t="s">
        <v>324</v>
      </c>
      <c r="FR11" s="1" t="s">
        <v>1750</v>
      </c>
      <c r="FS11" s="1"/>
      <c r="FT11" s="1" t="s">
        <v>1751</v>
      </c>
      <c r="FV11" s="1" t="s">
        <v>322</v>
      </c>
      <c r="FW11" s="1" t="s">
        <v>319</v>
      </c>
      <c r="FX11" s="1" t="s">
        <v>322</v>
      </c>
      <c r="FY11" s="1" t="s">
        <v>322</v>
      </c>
      <c r="FZ11" s="1" t="s">
        <v>322</v>
      </c>
      <c r="GA11" s="1" t="s">
        <v>322</v>
      </c>
      <c r="GB11" s="1" t="s">
        <v>322</v>
      </c>
      <c r="GC11" s="1" t="s">
        <v>322</v>
      </c>
      <c r="GD11" s="1" t="s">
        <v>322</v>
      </c>
      <c r="GE11" s="1" t="s">
        <v>322</v>
      </c>
      <c r="GF11" s="1" t="s">
        <v>327</v>
      </c>
      <c r="GG11" s="1"/>
      <c r="GH11" s="1" t="s">
        <v>322</v>
      </c>
      <c r="GI11" s="1"/>
      <c r="GJ11" s="1" t="s">
        <v>322</v>
      </c>
      <c r="GK11" s="2">
        <v>42005</v>
      </c>
      <c r="GL11" s="1" t="s">
        <v>322</v>
      </c>
      <c r="GM11" s="1" t="s">
        <v>322</v>
      </c>
      <c r="GN11">
        <v>42954</v>
      </c>
      <c r="GO11" s="1" t="s">
        <v>319</v>
      </c>
      <c r="GQ11" s="1"/>
      <c r="GR11" s="1"/>
      <c r="GS11" s="1"/>
      <c r="GT11" s="1" t="s">
        <v>322</v>
      </c>
      <c r="GU11" s="1" t="s">
        <v>1797</v>
      </c>
      <c r="GV11" s="1" t="s">
        <v>322</v>
      </c>
      <c r="GW11" s="1" t="s">
        <v>319</v>
      </c>
      <c r="GX11" s="1" t="s">
        <v>322</v>
      </c>
      <c r="GY11" s="1" t="s">
        <v>319</v>
      </c>
      <c r="GZ11" s="1" t="s">
        <v>319</v>
      </c>
      <c r="HA11" s="2">
        <v>44071</v>
      </c>
      <c r="HB11" s="2">
        <v>42653</v>
      </c>
      <c r="HC11" s="1"/>
      <c r="HD11" s="1" t="s">
        <v>322</v>
      </c>
      <c r="HE11" s="1"/>
      <c r="HF11" s="1"/>
      <c r="HG11" s="1"/>
      <c r="HH11" s="1"/>
      <c r="HI11" s="1" t="s">
        <v>322</v>
      </c>
      <c r="HJ11" s="1" t="s">
        <v>794</v>
      </c>
      <c r="HK11" s="2">
        <v>42736</v>
      </c>
      <c r="HL11" s="1"/>
      <c r="HM11" s="1" t="s">
        <v>322</v>
      </c>
      <c r="HN11" s="1" t="s">
        <v>322</v>
      </c>
      <c r="HO11" s="1"/>
      <c r="HP11" s="1"/>
      <c r="HQ11" s="1"/>
      <c r="HR11" s="1"/>
      <c r="HS11" s="1"/>
      <c r="HT11" s="1"/>
      <c r="HU11" s="1" t="s">
        <v>331</v>
      </c>
      <c r="HV11">
        <v>4622013013</v>
      </c>
      <c r="HW11">
        <v>40638630</v>
      </c>
      <c r="HX11">
        <v>99102567991</v>
      </c>
      <c r="HY11" s="1" t="s">
        <v>2001</v>
      </c>
      <c r="HZ11">
        <v>4319026</v>
      </c>
      <c r="IA11">
        <v>4321558</v>
      </c>
      <c r="IB11" s="1" t="s">
        <v>2002</v>
      </c>
      <c r="IC11">
        <v>830222</v>
      </c>
      <c r="ID11" s="1" t="s">
        <v>2003</v>
      </c>
      <c r="IE11">
        <v>2.46</v>
      </c>
      <c r="IF11">
        <v>2.2400000000000002</v>
      </c>
      <c r="IG11">
        <v>3.24</v>
      </c>
      <c r="IH11">
        <v>3.33</v>
      </c>
      <c r="II11">
        <v>3.61</v>
      </c>
      <c r="IJ11">
        <v>2.0099999999999998</v>
      </c>
      <c r="IK11">
        <v>2.0099999999999998</v>
      </c>
    </row>
    <row r="12" spans="1:246" x14ac:dyDescent="0.3">
      <c r="A12">
        <v>1936</v>
      </c>
      <c r="B12">
        <v>2437</v>
      </c>
      <c r="C12" s="1" t="s">
        <v>3137</v>
      </c>
      <c r="D12" s="1" t="s">
        <v>336</v>
      </c>
      <c r="E12" t="s">
        <v>3275</v>
      </c>
      <c r="F12" s="1" t="s">
        <v>1149</v>
      </c>
      <c r="G12" s="1" t="s">
        <v>1150</v>
      </c>
      <c r="H12">
        <v>617425644</v>
      </c>
      <c r="I12" s="1" t="s">
        <v>3138</v>
      </c>
      <c r="J12" s="1" t="s">
        <v>3139</v>
      </c>
      <c r="L12">
        <v>44162</v>
      </c>
      <c r="M12" s="1" t="s">
        <v>524</v>
      </c>
      <c r="N12" s="1"/>
      <c r="P12" s="1"/>
      <c r="Q12" s="1" t="s">
        <v>1151</v>
      </c>
      <c r="R12" s="1" t="s">
        <v>3117</v>
      </c>
      <c r="S12" s="1" t="s">
        <v>3140</v>
      </c>
      <c r="T12" s="1" t="s">
        <v>3141</v>
      </c>
      <c r="U12">
        <v>542540069</v>
      </c>
      <c r="V12" s="1" t="s">
        <v>276</v>
      </c>
      <c r="W12" s="1" t="s">
        <v>3159</v>
      </c>
      <c r="X12" s="1" t="s">
        <v>3232</v>
      </c>
      <c r="Y12" s="1" t="s">
        <v>3142</v>
      </c>
      <c r="Z12" s="1" t="s">
        <v>3143</v>
      </c>
      <c r="AA12">
        <v>542540060</v>
      </c>
      <c r="AB12" s="1" t="s">
        <v>3248</v>
      </c>
      <c r="AC12" s="1" t="s">
        <v>1157</v>
      </c>
      <c r="AD12" s="1" t="s">
        <v>3144</v>
      </c>
      <c r="AE12" s="1" t="s">
        <v>3145</v>
      </c>
      <c r="AF12">
        <v>563937211</v>
      </c>
      <c r="AG12" s="1" t="s">
        <v>3204</v>
      </c>
      <c r="AH12" s="1" t="s">
        <v>3236</v>
      </c>
      <c r="AI12" s="1" t="s">
        <v>3146</v>
      </c>
      <c r="AJ12" s="1" t="s">
        <v>3147</v>
      </c>
      <c r="AK12">
        <v>542540066</v>
      </c>
      <c r="AL12" s="1" t="s">
        <v>3090</v>
      </c>
      <c r="AM12" s="1" t="s">
        <v>3124</v>
      </c>
      <c r="AN12" s="1" t="s">
        <v>3148</v>
      </c>
      <c r="AO12" s="1" t="s">
        <v>3149</v>
      </c>
      <c r="AP12">
        <v>542540062</v>
      </c>
      <c r="AQ12" s="1" t="s">
        <v>3228</v>
      </c>
      <c r="AR12" s="1" t="s">
        <v>1165</v>
      </c>
      <c r="AS12" s="1" t="s">
        <v>3150</v>
      </c>
      <c r="AT12" s="1" t="s">
        <v>3151</v>
      </c>
      <c r="AU12">
        <v>542540063</v>
      </c>
      <c r="AV12" s="1" t="s">
        <v>3138</v>
      </c>
      <c r="AW12" s="1" t="s">
        <v>1168</v>
      </c>
      <c r="AX12" s="1" t="s">
        <v>1169</v>
      </c>
      <c r="AY12">
        <v>628020684</v>
      </c>
      <c r="AZ12" s="1" t="s">
        <v>946</v>
      </c>
      <c r="BA12">
        <v>629385382</v>
      </c>
      <c r="BB12" s="1" t="s">
        <v>3152</v>
      </c>
      <c r="BC12" s="1" t="s">
        <v>3153</v>
      </c>
      <c r="BD12">
        <v>32</v>
      </c>
      <c r="BE12">
        <v>542540060</v>
      </c>
      <c r="BF12">
        <v>43.616667</v>
      </c>
      <c r="BG12">
        <v>0.6</v>
      </c>
      <c r="BH12">
        <v>451647903</v>
      </c>
      <c r="BI12">
        <v>1270</v>
      </c>
      <c r="BJ12" s="2">
        <v>41612</v>
      </c>
      <c r="BK12" s="1" t="s">
        <v>3296</v>
      </c>
      <c r="BL12" s="1" t="s">
        <v>290</v>
      </c>
      <c r="BM12" s="1" t="s">
        <v>893</v>
      </c>
      <c r="BN12" s="1" t="s">
        <v>292</v>
      </c>
      <c r="BO12" s="1" t="s">
        <v>291</v>
      </c>
      <c r="BP12" s="1" t="s">
        <v>293</v>
      </c>
      <c r="BQ12" s="1" t="s">
        <v>294</v>
      </c>
      <c r="BR12">
        <v>72.5</v>
      </c>
      <c r="BS12">
        <v>17454143.82</v>
      </c>
      <c r="BT12" s="1" t="s">
        <v>295</v>
      </c>
      <c r="BU12" s="1" t="s">
        <v>359</v>
      </c>
      <c r="BV12">
        <v>233559</v>
      </c>
      <c r="BW12">
        <v>9.7665204813519608E-3</v>
      </c>
      <c r="BX12">
        <v>41.314366717215002</v>
      </c>
      <c r="BY12">
        <v>2.6738148612118393</v>
      </c>
      <c r="BZ12">
        <v>7.2150804377925759</v>
      </c>
      <c r="CA12">
        <v>51.203262016219412</v>
      </c>
      <c r="CB12" s="1" t="s">
        <v>360</v>
      </c>
      <c r="CC12">
        <v>1</v>
      </c>
      <c r="CD12" s="1" t="s">
        <v>361</v>
      </c>
      <c r="CE12" s="1" t="s">
        <v>361</v>
      </c>
      <c r="CF12">
        <v>1106</v>
      </c>
      <c r="CG12" s="1" t="s">
        <v>362</v>
      </c>
      <c r="CH12" s="1" t="s">
        <v>363</v>
      </c>
      <c r="CI12" s="1" t="s">
        <v>364</v>
      </c>
      <c r="CJ12" s="1" t="s">
        <v>363</v>
      </c>
      <c r="CK12" s="1" t="s">
        <v>364</v>
      </c>
      <c r="CL12" s="1" t="s">
        <v>365</v>
      </c>
      <c r="CM12">
        <v>3601651110000</v>
      </c>
      <c r="CO12" s="1"/>
      <c r="CP12" s="1" t="s">
        <v>444</v>
      </c>
      <c r="CQ12" s="1" t="s">
        <v>305</v>
      </c>
      <c r="CR12" s="1" t="s">
        <v>505</v>
      </c>
      <c r="CS12">
        <v>5836</v>
      </c>
      <c r="CT12">
        <v>2960</v>
      </c>
      <c r="CU12">
        <v>3000</v>
      </c>
      <c r="CV12" s="1" t="s">
        <v>309</v>
      </c>
      <c r="CW12" s="1" t="s">
        <v>308</v>
      </c>
      <c r="CY12">
        <v>3000</v>
      </c>
      <c r="CZ12">
        <v>3000</v>
      </c>
      <c r="DA12" s="1" t="s">
        <v>309</v>
      </c>
      <c r="DB12">
        <v>2876</v>
      </c>
      <c r="DC12">
        <v>2876</v>
      </c>
      <c r="DD12">
        <v>0</v>
      </c>
      <c r="DE12">
        <v>0</v>
      </c>
      <c r="DF12">
        <v>0</v>
      </c>
      <c r="DG12">
        <v>2876</v>
      </c>
      <c r="DH12">
        <v>0</v>
      </c>
      <c r="DI12">
        <v>0</v>
      </c>
      <c r="DJ12">
        <v>0</v>
      </c>
      <c r="DK12" s="1" t="s">
        <v>369</v>
      </c>
      <c r="DL12" s="1" t="s">
        <v>311</v>
      </c>
      <c r="DN12" s="1"/>
      <c r="DO12">
        <v>795</v>
      </c>
      <c r="DP12">
        <v>0</v>
      </c>
      <c r="DQ12">
        <v>795</v>
      </c>
      <c r="DR12" s="1"/>
      <c r="DS12">
        <v>396</v>
      </c>
      <c r="DT12">
        <v>73</v>
      </c>
      <c r="DU12">
        <v>282</v>
      </c>
      <c r="DV12">
        <v>164</v>
      </c>
      <c r="DW12" s="1" t="s">
        <v>371</v>
      </c>
      <c r="DX12">
        <v>17</v>
      </c>
      <c r="DY12">
        <v>2018</v>
      </c>
      <c r="DZ12">
        <v>2</v>
      </c>
      <c r="EA12">
        <v>2</v>
      </c>
      <c r="EB12">
        <v>8</v>
      </c>
      <c r="EC12">
        <v>2</v>
      </c>
      <c r="ED12">
        <v>0</v>
      </c>
      <c r="EE12">
        <v>1</v>
      </c>
      <c r="EF12">
        <v>13</v>
      </c>
      <c r="EG12">
        <v>2013</v>
      </c>
      <c r="EI12" s="1"/>
      <c r="EJ12" s="1" t="s">
        <v>313</v>
      </c>
      <c r="EK12" s="1" t="s">
        <v>314</v>
      </c>
      <c r="EL12">
        <v>24</v>
      </c>
      <c r="EM12">
        <v>23</v>
      </c>
      <c r="EN12">
        <v>9</v>
      </c>
      <c r="EO12" s="1" t="s">
        <v>664</v>
      </c>
      <c r="EP12">
        <v>24</v>
      </c>
      <c r="EQ12">
        <v>66.304555388173384</v>
      </c>
      <c r="ER12" s="1" t="s">
        <v>316</v>
      </c>
      <c r="ES12">
        <v>2.6521822155269357</v>
      </c>
      <c r="ET12">
        <v>0</v>
      </c>
      <c r="EU12" s="1"/>
      <c r="EV12">
        <v>154.35700494366765</v>
      </c>
      <c r="EW12">
        <v>1</v>
      </c>
      <c r="EX12" t="s">
        <v>481</v>
      </c>
      <c r="EY12">
        <v>1</v>
      </c>
      <c r="EZ12" s="1" t="s">
        <v>317</v>
      </c>
      <c r="FA12" s="2"/>
      <c r="FB12" s="1" t="s">
        <v>318</v>
      </c>
      <c r="FC12">
        <v>1</v>
      </c>
      <c r="FD12" s="1"/>
      <c r="FE12" s="2"/>
      <c r="FF12" s="1"/>
      <c r="FG12" s="1" t="s">
        <v>322</v>
      </c>
      <c r="FH12" s="1" t="s">
        <v>319</v>
      </c>
      <c r="FI12" s="1" t="s">
        <v>319</v>
      </c>
      <c r="FJ12" s="1" t="s">
        <v>319</v>
      </c>
      <c r="FK12" s="1" t="s">
        <v>373</v>
      </c>
      <c r="FL12">
        <v>18.59</v>
      </c>
      <c r="FM12">
        <v>4048.9585635359108</v>
      </c>
      <c r="FN12" s="1" t="s">
        <v>321</v>
      </c>
      <c r="FO12" s="1" t="s">
        <v>319</v>
      </c>
      <c r="FP12" s="1" t="s">
        <v>323</v>
      </c>
      <c r="FQ12" s="1" t="s">
        <v>324</v>
      </c>
      <c r="FR12" s="1" t="s">
        <v>325</v>
      </c>
      <c r="FS12" s="1"/>
      <c r="FT12" s="1" t="s">
        <v>666</v>
      </c>
      <c r="FV12" s="1" t="s">
        <v>319</v>
      </c>
      <c r="FW12" s="1" t="s">
        <v>322</v>
      </c>
      <c r="FX12" s="1" t="s">
        <v>322</v>
      </c>
      <c r="FY12" s="1"/>
      <c r="FZ12" s="1" t="s">
        <v>319</v>
      </c>
      <c r="GA12" s="1" t="s">
        <v>322</v>
      </c>
      <c r="GB12" s="1" t="s">
        <v>322</v>
      </c>
      <c r="GC12" s="1" t="s">
        <v>322</v>
      </c>
      <c r="GD12" s="1" t="s">
        <v>319</v>
      </c>
      <c r="GE12" s="1" t="s">
        <v>322</v>
      </c>
      <c r="GF12" s="1" t="s">
        <v>415</v>
      </c>
      <c r="GG12" s="1"/>
      <c r="GH12" s="1" t="s">
        <v>322</v>
      </c>
      <c r="GI12" s="1"/>
      <c r="GJ12" s="1" t="s">
        <v>322</v>
      </c>
      <c r="GK12" s="2">
        <v>42005</v>
      </c>
      <c r="GL12" s="1" t="s">
        <v>322</v>
      </c>
      <c r="GM12" s="1" t="s">
        <v>2069</v>
      </c>
      <c r="GO12" s="1" t="s">
        <v>319</v>
      </c>
      <c r="GQ12" s="1"/>
      <c r="GR12" s="1"/>
      <c r="GS12" s="1"/>
      <c r="GT12" s="1" t="s">
        <v>322</v>
      </c>
      <c r="GU12" s="1" t="s">
        <v>3154</v>
      </c>
      <c r="GV12" s="1"/>
      <c r="GW12" s="1"/>
      <c r="GX12" s="1"/>
      <c r="GY12" s="1"/>
      <c r="GZ12" s="1"/>
      <c r="HA12" s="2">
        <v>44069</v>
      </c>
      <c r="HB12" s="2">
        <v>42674</v>
      </c>
      <c r="HC12" s="1"/>
      <c r="HD12" s="1"/>
      <c r="HE12" s="1"/>
      <c r="HF12" s="1"/>
      <c r="HG12" s="1"/>
      <c r="HH12" s="1"/>
      <c r="HI12" s="1" t="s">
        <v>322</v>
      </c>
      <c r="HJ12" s="1" t="s">
        <v>330</v>
      </c>
      <c r="HK12" s="2"/>
      <c r="HL12" s="1"/>
      <c r="HM12" s="1" t="s">
        <v>322</v>
      </c>
      <c r="HN12" s="1" t="s">
        <v>322</v>
      </c>
      <c r="HO12" s="1"/>
      <c r="HP12" s="1"/>
      <c r="HQ12" s="1"/>
      <c r="HR12" s="1"/>
      <c r="HS12" s="1"/>
      <c r="HT12" s="1"/>
      <c r="HU12" s="1" t="s">
        <v>331</v>
      </c>
      <c r="HV12">
        <v>4635951014</v>
      </c>
      <c r="HW12">
        <v>40638267</v>
      </c>
      <c r="HX12">
        <v>99102565644</v>
      </c>
      <c r="HY12" s="1" t="s">
        <v>3155</v>
      </c>
      <c r="HZ12">
        <v>4320887</v>
      </c>
      <c r="IA12">
        <v>4321549</v>
      </c>
      <c r="IB12" s="1" t="s">
        <v>3156</v>
      </c>
      <c r="IC12">
        <v>830149</v>
      </c>
      <c r="ID12" s="1" t="s">
        <v>3157</v>
      </c>
      <c r="IE12">
        <v>3.1</v>
      </c>
      <c r="IF12">
        <v>4.0999999999999996</v>
      </c>
      <c r="IG12">
        <v>5.12</v>
      </c>
      <c r="IH12">
        <v>6.4</v>
      </c>
      <c r="II12">
        <v>8</v>
      </c>
      <c r="IJ12">
        <v>5.940833333333333</v>
      </c>
      <c r="IK12">
        <v>5.91</v>
      </c>
    </row>
    <row r="13" spans="1:246" x14ac:dyDescent="0.3">
      <c r="A13">
        <v>1789</v>
      </c>
      <c r="B13">
        <v>2403</v>
      </c>
      <c r="C13" s="1" t="s">
        <v>925</v>
      </c>
      <c r="D13" s="1" t="s">
        <v>926</v>
      </c>
      <c r="E13" t="s">
        <v>3275</v>
      </c>
      <c r="F13" s="1" t="s">
        <v>927</v>
      </c>
      <c r="G13" s="1" t="s">
        <v>928</v>
      </c>
      <c r="H13">
        <v>603611633</v>
      </c>
      <c r="I13" s="1" t="s">
        <v>929</v>
      </c>
      <c r="J13" s="1" t="s">
        <v>930</v>
      </c>
      <c r="K13">
        <v>619491382</v>
      </c>
      <c r="L13">
        <v>43815</v>
      </c>
      <c r="M13" s="1" t="s">
        <v>931</v>
      </c>
      <c r="N13" s="1" t="s">
        <v>932</v>
      </c>
      <c r="O13">
        <v>386180941</v>
      </c>
      <c r="P13" s="1" t="s">
        <v>273</v>
      </c>
      <c r="Q13" s="1" t="s">
        <v>929</v>
      </c>
      <c r="R13" s="1" t="s">
        <v>931</v>
      </c>
      <c r="S13" s="1" t="s">
        <v>933</v>
      </c>
      <c r="T13" s="1" t="s">
        <v>934</v>
      </c>
      <c r="U13">
        <v>386180935</v>
      </c>
      <c r="V13" s="1" t="s">
        <v>276</v>
      </c>
      <c r="W13" s="1" t="s">
        <v>1180</v>
      </c>
      <c r="X13" s="1" t="s">
        <v>1007</v>
      </c>
      <c r="Y13" s="1" t="s">
        <v>935</v>
      </c>
      <c r="Z13" s="1" t="s">
        <v>936</v>
      </c>
      <c r="AA13">
        <v>386180929</v>
      </c>
      <c r="AB13" s="1" t="s">
        <v>1104</v>
      </c>
      <c r="AC13" s="1" t="s">
        <v>1058</v>
      </c>
      <c r="AD13" s="1" t="s">
        <v>937</v>
      </c>
      <c r="AE13" s="1" t="s">
        <v>938</v>
      </c>
      <c r="AF13">
        <v>386180934</v>
      </c>
      <c r="AG13" s="1" t="s">
        <v>956</v>
      </c>
      <c r="AH13" s="1" t="s">
        <v>937</v>
      </c>
      <c r="AI13" s="1" t="s">
        <v>939</v>
      </c>
      <c r="AJ13" s="1" t="s">
        <v>940</v>
      </c>
      <c r="AL13" s="1" t="s">
        <v>1003</v>
      </c>
      <c r="AM13" s="1" t="s">
        <v>1190</v>
      </c>
      <c r="AN13" s="1" t="s">
        <v>941</v>
      </c>
      <c r="AO13" s="1" t="s">
        <v>942</v>
      </c>
      <c r="AP13">
        <v>386180931</v>
      </c>
      <c r="AQ13" s="1" t="s">
        <v>992</v>
      </c>
      <c r="AR13" s="1" t="s">
        <v>1087</v>
      </c>
      <c r="AS13" s="1" t="s">
        <v>943</v>
      </c>
      <c r="AT13" s="1" t="s">
        <v>944</v>
      </c>
      <c r="AU13">
        <v>386180929</v>
      </c>
      <c r="AV13" s="1" t="s">
        <v>1204</v>
      </c>
      <c r="AW13" s="1" t="s">
        <v>1216</v>
      </c>
      <c r="AX13" s="1" t="s">
        <v>945</v>
      </c>
      <c r="AY13">
        <v>770016945</v>
      </c>
      <c r="AZ13" s="1" t="s">
        <v>946</v>
      </c>
      <c r="BA13">
        <v>629385381</v>
      </c>
      <c r="BB13" s="1" t="s">
        <v>947</v>
      </c>
      <c r="BC13" s="1" t="s">
        <v>948</v>
      </c>
      <c r="BD13">
        <v>89</v>
      </c>
      <c r="BE13">
        <v>386180929</v>
      </c>
      <c r="BF13">
        <v>47.818115234375</v>
      </c>
      <c r="BG13">
        <v>3.5586013793945299</v>
      </c>
      <c r="BH13">
        <v>451647903</v>
      </c>
      <c r="BI13">
        <v>678</v>
      </c>
      <c r="BJ13" s="2">
        <v>38546</v>
      </c>
      <c r="BK13" s="1" t="s">
        <v>3287</v>
      </c>
      <c r="BL13" s="1" t="s">
        <v>290</v>
      </c>
      <c r="BM13" s="1" t="s">
        <v>291</v>
      </c>
      <c r="BN13" s="1" t="s">
        <v>292</v>
      </c>
      <c r="BO13" s="1" t="s">
        <v>291</v>
      </c>
      <c r="BP13" s="1" t="s">
        <v>293</v>
      </c>
      <c r="BQ13" s="1" t="s">
        <v>294</v>
      </c>
      <c r="BR13">
        <v>80</v>
      </c>
      <c r="BS13">
        <v>29790693.460000001</v>
      </c>
      <c r="BT13" s="1" t="s">
        <v>295</v>
      </c>
      <c r="BU13" s="1" t="s">
        <v>401</v>
      </c>
      <c r="BV13">
        <v>461467</v>
      </c>
      <c r="BW13">
        <v>9.9862381196173609E-3</v>
      </c>
      <c r="BX13">
        <v>58.228324652205501</v>
      </c>
      <c r="BY13">
        <v>12.035653062570058</v>
      </c>
      <c r="BZ13">
        <v>5.0087426649963733</v>
      </c>
      <c r="CA13">
        <v>75.27272037977194</v>
      </c>
      <c r="CB13" s="1" t="s">
        <v>360</v>
      </c>
      <c r="CC13">
        <v>1</v>
      </c>
      <c r="CD13" s="1" t="s">
        <v>402</v>
      </c>
      <c r="CE13" s="1" t="s">
        <v>361</v>
      </c>
      <c r="CF13">
        <v>1101</v>
      </c>
      <c r="CG13" s="1" t="s">
        <v>300</v>
      </c>
      <c r="CH13" s="1" t="s">
        <v>301</v>
      </c>
      <c r="CI13" s="1" t="s">
        <v>302</v>
      </c>
      <c r="CJ13" s="1" t="s">
        <v>301</v>
      </c>
      <c r="CK13" s="1" t="s">
        <v>302</v>
      </c>
      <c r="CL13" s="1" t="s">
        <v>303</v>
      </c>
      <c r="CM13">
        <v>3601651117009</v>
      </c>
      <c r="CO13" s="1"/>
      <c r="CP13" s="1" t="s">
        <v>740</v>
      </c>
      <c r="CQ13" s="1" t="s">
        <v>367</v>
      </c>
      <c r="CR13" s="1" t="s">
        <v>407</v>
      </c>
      <c r="CS13">
        <v>5907</v>
      </c>
      <c r="CT13">
        <v>2985</v>
      </c>
      <c r="CU13">
        <v>3000</v>
      </c>
      <c r="CV13" s="1" t="s">
        <v>309</v>
      </c>
      <c r="CW13" s="1" t="s">
        <v>308</v>
      </c>
      <c r="CY13">
        <v>2923</v>
      </c>
      <c r="CZ13">
        <v>3000</v>
      </c>
      <c r="DA13" s="1" t="s">
        <v>309</v>
      </c>
      <c r="DB13">
        <v>2922</v>
      </c>
      <c r="DC13">
        <v>2922</v>
      </c>
      <c r="DD13">
        <v>0</v>
      </c>
      <c r="DE13">
        <v>0</v>
      </c>
      <c r="DF13">
        <v>770</v>
      </c>
      <c r="DG13">
        <v>2152</v>
      </c>
      <c r="DH13">
        <v>0</v>
      </c>
      <c r="DI13">
        <v>0</v>
      </c>
      <c r="DJ13">
        <v>0</v>
      </c>
      <c r="DK13" s="1" t="s">
        <v>409</v>
      </c>
      <c r="DL13" s="1" t="s">
        <v>445</v>
      </c>
      <c r="DN13" s="1"/>
      <c r="DO13">
        <v>1283</v>
      </c>
      <c r="DP13">
        <v>0</v>
      </c>
      <c r="DQ13">
        <v>1283</v>
      </c>
      <c r="DR13" s="1"/>
      <c r="DS13">
        <v>1051</v>
      </c>
      <c r="DT13">
        <v>110</v>
      </c>
      <c r="DU13">
        <v>335</v>
      </c>
      <c r="DV13">
        <v>527</v>
      </c>
      <c r="DW13" s="1" t="s">
        <v>371</v>
      </c>
      <c r="DX13">
        <v>23</v>
      </c>
      <c r="DY13">
        <v>2017</v>
      </c>
      <c r="DZ13">
        <v>2</v>
      </c>
      <c r="EA13">
        <v>2</v>
      </c>
      <c r="EB13">
        <v>10</v>
      </c>
      <c r="EC13">
        <v>2</v>
      </c>
      <c r="ED13">
        <v>0</v>
      </c>
      <c r="EE13">
        <v>0</v>
      </c>
      <c r="EF13">
        <v>14</v>
      </c>
      <c r="EG13">
        <v>2012</v>
      </c>
      <c r="EI13" s="1"/>
      <c r="EJ13" s="1" t="s">
        <v>313</v>
      </c>
      <c r="EK13" s="1" t="s">
        <v>314</v>
      </c>
      <c r="EL13">
        <v>32</v>
      </c>
      <c r="EM13">
        <v>32</v>
      </c>
      <c r="EN13">
        <v>12</v>
      </c>
      <c r="EO13" s="1" t="s">
        <v>315</v>
      </c>
      <c r="EP13">
        <v>24</v>
      </c>
      <c r="EQ13">
        <v>84.834302664878891</v>
      </c>
      <c r="ER13" s="1" t="s">
        <v>316</v>
      </c>
      <c r="ES13">
        <v>3.9855041520412899</v>
      </c>
      <c r="ET13">
        <v>0</v>
      </c>
      <c r="EU13" s="1"/>
      <c r="EV13">
        <v>140.06200305745102</v>
      </c>
      <c r="EW13">
        <v>2</v>
      </c>
      <c r="EX13" t="s">
        <v>372</v>
      </c>
      <c r="EY13">
        <v>2</v>
      </c>
      <c r="EZ13" s="1" t="s">
        <v>412</v>
      </c>
      <c r="FA13" s="2">
        <v>44197</v>
      </c>
      <c r="FB13" s="1" t="s">
        <v>413</v>
      </c>
      <c r="FC13">
        <v>1</v>
      </c>
      <c r="FD13" s="1"/>
      <c r="FE13" s="2"/>
      <c r="FF13" s="1"/>
      <c r="FG13" s="1" t="s">
        <v>322</v>
      </c>
      <c r="FH13" s="1" t="s">
        <v>322</v>
      </c>
      <c r="FI13" s="1" t="s">
        <v>319</v>
      </c>
      <c r="FJ13" s="1" t="s">
        <v>319</v>
      </c>
      <c r="FK13" s="1" t="s">
        <v>320</v>
      </c>
      <c r="FL13">
        <v>18.920000000000002</v>
      </c>
      <c r="FM13">
        <v>4719.5463264567506</v>
      </c>
      <c r="FN13" s="1" t="s">
        <v>321</v>
      </c>
      <c r="FO13" s="1" t="s">
        <v>319</v>
      </c>
      <c r="FP13" s="1" t="s">
        <v>323</v>
      </c>
      <c r="FQ13" s="1" t="s">
        <v>559</v>
      </c>
      <c r="FR13" s="1" t="s">
        <v>325</v>
      </c>
      <c r="FS13" s="1"/>
      <c r="FT13" s="1" t="s">
        <v>326</v>
      </c>
      <c r="FU13">
        <v>494198191</v>
      </c>
      <c r="FV13" s="1" t="s">
        <v>322</v>
      </c>
      <c r="FW13" s="1" t="s">
        <v>319</v>
      </c>
      <c r="FX13" s="1" t="s">
        <v>322</v>
      </c>
      <c r="FY13" s="1" t="s">
        <v>322</v>
      </c>
      <c r="FZ13" s="1" t="s">
        <v>322</v>
      </c>
      <c r="GA13" s="1" t="s">
        <v>322</v>
      </c>
      <c r="GB13" s="1" t="s">
        <v>322</v>
      </c>
      <c r="GC13" s="1" t="s">
        <v>322</v>
      </c>
      <c r="GD13" s="1" t="s">
        <v>319</v>
      </c>
      <c r="GE13" s="1" t="s">
        <v>319</v>
      </c>
      <c r="GF13" s="1" t="s">
        <v>415</v>
      </c>
      <c r="GG13" s="1"/>
      <c r="GH13" s="1" t="s">
        <v>319</v>
      </c>
      <c r="GI13" s="1" t="s">
        <v>949</v>
      </c>
      <c r="GJ13" s="1" t="s">
        <v>322</v>
      </c>
      <c r="GK13" s="2">
        <v>41640</v>
      </c>
      <c r="GL13" s="1" t="s">
        <v>322</v>
      </c>
      <c r="GM13" s="1" t="s">
        <v>322</v>
      </c>
      <c r="GN13">
        <v>43052</v>
      </c>
      <c r="GO13" s="1" t="s">
        <v>322</v>
      </c>
      <c r="GP13">
        <v>42429</v>
      </c>
      <c r="GQ13" s="1" t="s">
        <v>950</v>
      </c>
      <c r="GR13" s="1" t="s">
        <v>322</v>
      </c>
      <c r="GS13" s="1" t="s">
        <v>448</v>
      </c>
      <c r="GT13" s="1" t="s">
        <v>322</v>
      </c>
      <c r="GU13" s="1" t="s">
        <v>951</v>
      </c>
      <c r="GV13" s="1" t="s">
        <v>322</v>
      </c>
      <c r="GW13" s="1" t="s">
        <v>322</v>
      </c>
      <c r="GX13" s="1" t="s">
        <v>319</v>
      </c>
      <c r="GY13" s="1" t="s">
        <v>319</v>
      </c>
      <c r="GZ13" s="1" t="s">
        <v>319</v>
      </c>
      <c r="HA13" s="2">
        <v>44063</v>
      </c>
      <c r="HB13" s="2">
        <v>42653</v>
      </c>
      <c r="HC13" s="1"/>
      <c r="HD13" s="1"/>
      <c r="HE13" s="1"/>
      <c r="HF13" s="1"/>
      <c r="HG13" s="1"/>
      <c r="HH13" s="1"/>
      <c r="HI13" s="1" t="s">
        <v>322</v>
      </c>
      <c r="HJ13" s="1" t="s">
        <v>330</v>
      </c>
      <c r="HK13" s="2"/>
      <c r="HL13" s="1"/>
      <c r="HM13" s="1" t="s">
        <v>322</v>
      </c>
      <c r="HN13" s="1" t="s">
        <v>322</v>
      </c>
      <c r="HO13" s="1" t="s">
        <v>322</v>
      </c>
      <c r="HP13" s="1"/>
      <c r="HQ13" s="1"/>
      <c r="HR13" s="1"/>
      <c r="HS13" s="1"/>
      <c r="HT13" s="1"/>
      <c r="HU13" s="1" t="s">
        <v>331</v>
      </c>
      <c r="HV13">
        <v>4623069014</v>
      </c>
      <c r="HW13">
        <v>40638155</v>
      </c>
      <c r="HX13">
        <v>99102564286</v>
      </c>
      <c r="HY13" s="1" t="s">
        <v>952</v>
      </c>
      <c r="HZ13">
        <v>4300814</v>
      </c>
      <c r="IA13">
        <v>4321318</v>
      </c>
      <c r="IB13" s="1" t="s">
        <v>953</v>
      </c>
      <c r="IC13">
        <v>830253</v>
      </c>
      <c r="ID13" s="1" t="s">
        <v>954</v>
      </c>
      <c r="IE13">
        <v>1.21</v>
      </c>
      <c r="IF13">
        <v>2.21</v>
      </c>
      <c r="IG13">
        <v>3.21</v>
      </c>
      <c r="IH13">
        <v>3.88</v>
      </c>
      <c r="II13">
        <v>3.09</v>
      </c>
      <c r="IJ13">
        <v>4.01</v>
      </c>
      <c r="IK13">
        <v>4.01</v>
      </c>
    </row>
    <row r="14" spans="1:246" x14ac:dyDescent="0.3">
      <c r="A14">
        <v>1745</v>
      </c>
      <c r="B14">
        <v>2361</v>
      </c>
      <c r="C14" s="1" t="s">
        <v>2860</v>
      </c>
      <c r="D14" s="1" t="s">
        <v>2861</v>
      </c>
      <c r="E14" t="s">
        <v>3275</v>
      </c>
      <c r="F14" s="1" t="s">
        <v>2862</v>
      </c>
      <c r="G14" s="1" t="s">
        <v>2863</v>
      </c>
      <c r="H14">
        <v>610902271</v>
      </c>
      <c r="I14" s="1" t="s">
        <v>2864</v>
      </c>
      <c r="J14" s="1" t="s">
        <v>2865</v>
      </c>
      <c r="L14">
        <v>43773</v>
      </c>
      <c r="M14" s="1" t="s">
        <v>2866</v>
      </c>
      <c r="N14" s="1" t="s">
        <v>2867</v>
      </c>
      <c r="O14">
        <v>432730462</v>
      </c>
      <c r="P14" s="1" t="s">
        <v>273</v>
      </c>
      <c r="Q14" s="1" t="s">
        <v>2864</v>
      </c>
      <c r="R14" s="1" t="s">
        <v>2866</v>
      </c>
      <c r="S14" s="1" t="s">
        <v>2868</v>
      </c>
      <c r="T14" s="1" t="s">
        <v>2869</v>
      </c>
      <c r="U14">
        <v>787956353</v>
      </c>
      <c r="V14" s="1"/>
      <c r="W14" s="1" t="s">
        <v>1730</v>
      </c>
      <c r="X14" s="1" t="s">
        <v>2965</v>
      </c>
      <c r="Y14" s="1" t="s">
        <v>2870</v>
      </c>
      <c r="Z14" s="1" t="s">
        <v>2871</v>
      </c>
      <c r="AA14">
        <v>609701979</v>
      </c>
      <c r="AB14" s="1" t="s">
        <v>2984</v>
      </c>
      <c r="AC14" s="1" t="s">
        <v>2990</v>
      </c>
      <c r="AD14" s="1" t="s">
        <v>2872</v>
      </c>
      <c r="AE14" s="1" t="s">
        <v>2873</v>
      </c>
      <c r="AF14">
        <v>432730459</v>
      </c>
      <c r="AG14" s="1" t="s">
        <v>2940</v>
      </c>
      <c r="AH14" s="1" t="s">
        <v>2874</v>
      </c>
      <c r="AI14" s="1" t="s">
        <v>2875</v>
      </c>
      <c r="AJ14" s="1" t="s">
        <v>2876</v>
      </c>
      <c r="AK14">
        <v>432730457</v>
      </c>
      <c r="AL14" s="1" t="s">
        <v>3030</v>
      </c>
      <c r="AM14" s="1" t="s">
        <v>2971</v>
      </c>
      <c r="AN14" s="1" t="s">
        <v>2877</v>
      </c>
      <c r="AO14" s="1" t="s">
        <v>2878</v>
      </c>
      <c r="AP14">
        <v>432730455</v>
      </c>
      <c r="AQ14" s="1" t="s">
        <v>2961</v>
      </c>
      <c r="AR14" s="1" t="s">
        <v>2877</v>
      </c>
      <c r="AS14" s="1" t="s">
        <v>2879</v>
      </c>
      <c r="AT14" s="1" t="s">
        <v>2880</v>
      </c>
      <c r="AU14">
        <v>432730454</v>
      </c>
      <c r="AV14" s="1" t="s">
        <v>2917</v>
      </c>
      <c r="AW14" s="1" t="s">
        <v>2998</v>
      </c>
      <c r="AX14" s="1" t="s">
        <v>2881</v>
      </c>
      <c r="AY14">
        <v>621287378</v>
      </c>
      <c r="AZ14" s="1" t="s">
        <v>2882</v>
      </c>
      <c r="BA14">
        <v>784179650</v>
      </c>
      <c r="BB14" s="1" t="s">
        <v>2883</v>
      </c>
      <c r="BC14" s="1" t="s">
        <v>2884</v>
      </c>
      <c r="BD14">
        <v>84</v>
      </c>
      <c r="BE14">
        <v>432730450</v>
      </c>
      <c r="BF14">
        <v>43.9720458984375</v>
      </c>
      <c r="BG14">
        <v>4.8649597167968697</v>
      </c>
      <c r="BH14">
        <v>451647903</v>
      </c>
      <c r="BI14">
        <v>280</v>
      </c>
      <c r="BJ14" s="2">
        <v>37097</v>
      </c>
      <c r="BK14" s="1" t="s">
        <v>2000</v>
      </c>
      <c r="BL14" s="1" t="s">
        <v>290</v>
      </c>
      <c r="BM14" s="1" t="s">
        <v>291</v>
      </c>
      <c r="BN14" s="1" t="s">
        <v>292</v>
      </c>
      <c r="BO14" s="1" t="s">
        <v>291</v>
      </c>
      <c r="BP14" s="1" t="s">
        <v>293</v>
      </c>
      <c r="BQ14" s="1" t="s">
        <v>294</v>
      </c>
      <c r="BR14">
        <v>80</v>
      </c>
      <c r="BS14">
        <v>38509602.43</v>
      </c>
      <c r="BT14" s="1" t="s">
        <v>295</v>
      </c>
      <c r="BU14" s="1" t="s">
        <v>817</v>
      </c>
      <c r="BV14">
        <v>539182</v>
      </c>
      <c r="BW14">
        <v>9.3348249894521923E-3</v>
      </c>
      <c r="BX14">
        <v>69.485659655831697</v>
      </c>
      <c r="BY14">
        <v>8.9333146524252243</v>
      </c>
      <c r="BZ14">
        <v>9.8376167556756986</v>
      </c>
      <c r="CA14">
        <v>88.256591063932618</v>
      </c>
      <c r="CB14" s="1" t="s">
        <v>297</v>
      </c>
      <c r="CC14">
        <v>1</v>
      </c>
      <c r="CD14" s="1" t="s">
        <v>298</v>
      </c>
      <c r="CE14" s="1" t="s">
        <v>299</v>
      </c>
      <c r="CF14">
        <v>1106</v>
      </c>
      <c r="CG14" s="1" t="s">
        <v>362</v>
      </c>
      <c r="CH14" s="1" t="s">
        <v>363</v>
      </c>
      <c r="CI14" s="1" t="s">
        <v>364</v>
      </c>
      <c r="CJ14" s="1" t="s">
        <v>363</v>
      </c>
      <c r="CK14" s="1" t="s">
        <v>364</v>
      </c>
      <c r="CL14" s="1" t="s">
        <v>2673</v>
      </c>
      <c r="CM14">
        <v>3601651111007</v>
      </c>
      <c r="CO14" s="1"/>
      <c r="CP14" s="1" t="s">
        <v>444</v>
      </c>
      <c r="CQ14" s="1" t="s">
        <v>406</v>
      </c>
      <c r="CR14" s="1" t="s">
        <v>505</v>
      </c>
      <c r="CS14">
        <v>6945</v>
      </c>
      <c r="CT14">
        <v>3700</v>
      </c>
      <c r="CU14">
        <v>3700</v>
      </c>
      <c r="CV14" s="1" t="s">
        <v>307</v>
      </c>
      <c r="CW14" s="1" t="s">
        <v>308</v>
      </c>
      <c r="CY14">
        <v>3245</v>
      </c>
      <c r="CZ14">
        <v>3000</v>
      </c>
      <c r="DA14" s="1" t="s">
        <v>309</v>
      </c>
      <c r="DB14">
        <v>3245</v>
      </c>
      <c r="DC14">
        <v>3245</v>
      </c>
      <c r="DD14">
        <v>0</v>
      </c>
      <c r="DE14">
        <v>0</v>
      </c>
      <c r="DF14">
        <v>658</v>
      </c>
      <c r="DG14">
        <v>2587</v>
      </c>
      <c r="DH14">
        <v>0</v>
      </c>
      <c r="DI14">
        <v>0</v>
      </c>
      <c r="DJ14">
        <v>0</v>
      </c>
      <c r="DK14" s="1" t="s">
        <v>369</v>
      </c>
      <c r="DL14" s="1" t="s">
        <v>2885</v>
      </c>
      <c r="DN14" s="1"/>
      <c r="DO14">
        <v>1119</v>
      </c>
      <c r="DP14">
        <v>0</v>
      </c>
      <c r="DQ14">
        <v>1119</v>
      </c>
      <c r="DR14" s="1"/>
      <c r="DS14">
        <v>659</v>
      </c>
      <c r="DT14">
        <v>172</v>
      </c>
      <c r="DU14">
        <v>240</v>
      </c>
      <c r="DV14">
        <v>241</v>
      </c>
      <c r="DW14" s="1" t="s">
        <v>371</v>
      </c>
      <c r="DX14">
        <v>22</v>
      </c>
      <c r="DZ14">
        <v>2</v>
      </c>
      <c r="EA14">
        <v>2</v>
      </c>
      <c r="EB14">
        <v>11</v>
      </c>
      <c r="EC14">
        <v>3</v>
      </c>
      <c r="ED14">
        <v>0</v>
      </c>
      <c r="EE14">
        <v>0</v>
      </c>
      <c r="EF14">
        <v>16</v>
      </c>
      <c r="EG14">
        <v>2010</v>
      </c>
      <c r="EI14" s="1"/>
      <c r="EJ14" s="1" t="s">
        <v>313</v>
      </c>
      <c r="EK14" s="1" t="s">
        <v>314</v>
      </c>
      <c r="EL14">
        <v>47</v>
      </c>
      <c r="EM14">
        <v>36</v>
      </c>
      <c r="EN14">
        <v>16</v>
      </c>
      <c r="EO14" s="1" t="s">
        <v>315</v>
      </c>
      <c r="EP14">
        <v>42</v>
      </c>
      <c r="EQ14">
        <v>94.923686111695375</v>
      </c>
      <c r="ER14" s="1" t="s">
        <v>316</v>
      </c>
      <c r="ES14">
        <v>6.2185073753326447</v>
      </c>
      <c r="ET14">
        <v>0</v>
      </c>
      <c r="EU14" s="1"/>
      <c r="EV14">
        <v>111.75023548024254</v>
      </c>
      <c r="EW14">
        <v>0</v>
      </c>
      <c r="EX14" t="s">
        <v>316</v>
      </c>
      <c r="EY14">
        <v>0</v>
      </c>
      <c r="EZ14" s="1" t="s">
        <v>412</v>
      </c>
      <c r="FA14" s="2">
        <v>42736</v>
      </c>
      <c r="FB14" s="1" t="s">
        <v>791</v>
      </c>
      <c r="FC14">
        <v>1</v>
      </c>
      <c r="FD14" s="1"/>
      <c r="FE14" s="2">
        <v>42005</v>
      </c>
      <c r="FF14" s="1"/>
      <c r="FG14" s="1" t="s">
        <v>319</v>
      </c>
      <c r="FH14" s="1" t="s">
        <v>319</v>
      </c>
      <c r="FI14" s="1" t="s">
        <v>319</v>
      </c>
      <c r="FJ14" s="1" t="s">
        <v>319</v>
      </c>
      <c r="FK14" s="1" t="s">
        <v>1143</v>
      </c>
      <c r="FL14">
        <v>18.97</v>
      </c>
      <c r="FM14">
        <v>8175.7219202898568</v>
      </c>
      <c r="FN14" s="1" t="s">
        <v>321</v>
      </c>
      <c r="FO14" s="1" t="s">
        <v>1221</v>
      </c>
      <c r="FP14" s="1" t="s">
        <v>323</v>
      </c>
      <c r="FQ14" s="1" t="s">
        <v>2886</v>
      </c>
      <c r="FR14" s="1" t="s">
        <v>325</v>
      </c>
      <c r="FS14" s="1"/>
      <c r="FT14" s="1" t="s">
        <v>326</v>
      </c>
      <c r="FU14">
        <v>494198191</v>
      </c>
      <c r="FV14" s="1" t="s">
        <v>322</v>
      </c>
      <c r="FW14" s="1" t="s">
        <v>322</v>
      </c>
      <c r="FX14" s="1" t="s">
        <v>322</v>
      </c>
      <c r="FY14" s="1" t="s">
        <v>322</v>
      </c>
      <c r="FZ14" s="1" t="s">
        <v>322</v>
      </c>
      <c r="GA14" s="1" t="s">
        <v>322</v>
      </c>
      <c r="GB14" s="1" t="s">
        <v>322</v>
      </c>
      <c r="GC14" s="1" t="s">
        <v>319</v>
      </c>
      <c r="GD14" s="1" t="s">
        <v>319</v>
      </c>
      <c r="GE14" s="1" t="s">
        <v>322</v>
      </c>
      <c r="GF14" s="1" t="s">
        <v>327</v>
      </c>
      <c r="GG14" s="1"/>
      <c r="GH14" s="1" t="s">
        <v>322</v>
      </c>
      <c r="GI14" s="1" t="s">
        <v>1357</v>
      </c>
      <c r="GJ14" s="1" t="s">
        <v>322</v>
      </c>
      <c r="GK14" s="2">
        <v>42005</v>
      </c>
      <c r="GL14" s="1" t="s">
        <v>322</v>
      </c>
      <c r="GM14" s="1" t="s">
        <v>322</v>
      </c>
      <c r="GN14">
        <v>42989</v>
      </c>
      <c r="GO14" s="1" t="s">
        <v>322</v>
      </c>
      <c r="GP14">
        <v>43133</v>
      </c>
      <c r="GQ14" s="1" t="s">
        <v>2887</v>
      </c>
      <c r="GR14" s="1" t="s">
        <v>319</v>
      </c>
      <c r="GS14" s="1" t="s">
        <v>448</v>
      </c>
      <c r="GT14" s="1" t="s">
        <v>322</v>
      </c>
      <c r="GU14" s="1" t="s">
        <v>2888</v>
      </c>
      <c r="GV14" s="1" t="s">
        <v>322</v>
      </c>
      <c r="GW14" s="1" t="s">
        <v>322</v>
      </c>
      <c r="GX14" s="1" t="s">
        <v>319</v>
      </c>
      <c r="GY14" s="1" t="s">
        <v>319</v>
      </c>
      <c r="GZ14" s="1" t="s">
        <v>319</v>
      </c>
      <c r="HA14" s="2">
        <v>44067</v>
      </c>
      <c r="HB14" s="2">
        <v>42674</v>
      </c>
      <c r="HC14" s="1"/>
      <c r="HD14" s="1"/>
      <c r="HE14" s="1"/>
      <c r="HF14" s="1"/>
      <c r="HG14" s="1"/>
      <c r="HH14" s="1"/>
      <c r="HI14" s="1" t="s">
        <v>322</v>
      </c>
      <c r="HJ14" s="1" t="s">
        <v>794</v>
      </c>
      <c r="HK14" s="2">
        <v>43101</v>
      </c>
      <c r="HL14" s="1"/>
      <c r="HM14" s="1" t="s">
        <v>322</v>
      </c>
      <c r="HN14" s="1" t="s">
        <v>322</v>
      </c>
      <c r="HO14" s="1"/>
      <c r="HP14" s="1"/>
      <c r="HQ14" s="1"/>
      <c r="HR14" s="1"/>
      <c r="HS14" s="1"/>
      <c r="HT14" s="1"/>
      <c r="HU14" s="1" t="s">
        <v>331</v>
      </c>
      <c r="HV14">
        <v>4622015014</v>
      </c>
      <c r="HW14">
        <v>40639019</v>
      </c>
      <c r="HX14">
        <v>99102570845</v>
      </c>
      <c r="HY14" s="1" t="s">
        <v>2889</v>
      </c>
      <c r="HZ14">
        <v>4310167</v>
      </c>
      <c r="IA14">
        <v>4321249</v>
      </c>
      <c r="IB14" s="1" t="s">
        <v>2890</v>
      </c>
      <c r="IC14">
        <v>830177</v>
      </c>
      <c r="ID14" s="1" t="s">
        <v>2891</v>
      </c>
      <c r="IE14">
        <v>4.68</v>
      </c>
      <c r="IF14">
        <v>5.47</v>
      </c>
      <c r="IG14">
        <v>6.83</v>
      </c>
      <c r="IH14">
        <v>6.43</v>
      </c>
      <c r="II14">
        <v>8.0299999999999994</v>
      </c>
      <c r="IJ14">
        <v>10.78</v>
      </c>
      <c r="IK14">
        <v>10.78</v>
      </c>
    </row>
    <row r="15" spans="1:246" x14ac:dyDescent="0.3">
      <c r="A15">
        <v>1763</v>
      </c>
      <c r="B15">
        <v>2378</v>
      </c>
      <c r="C15" s="1" t="s">
        <v>1727</v>
      </c>
      <c r="D15" s="1" t="s">
        <v>1451</v>
      </c>
      <c r="E15" t="s">
        <v>3275</v>
      </c>
      <c r="F15" s="1" t="s">
        <v>1728</v>
      </c>
      <c r="G15" s="1" t="s">
        <v>1729</v>
      </c>
      <c r="H15">
        <v>626529799</v>
      </c>
      <c r="I15" s="1" t="s">
        <v>1730</v>
      </c>
      <c r="J15" s="1" t="s">
        <v>1731</v>
      </c>
      <c r="K15">
        <v>610921298</v>
      </c>
      <c r="L15">
        <v>44592</v>
      </c>
      <c r="M15" s="1" t="s">
        <v>1732</v>
      </c>
      <c r="N15" s="1" t="s">
        <v>1733</v>
      </c>
      <c r="O15">
        <v>670562012</v>
      </c>
      <c r="P15" s="1" t="s">
        <v>273</v>
      </c>
      <c r="Q15" s="1" t="s">
        <v>1898</v>
      </c>
      <c r="R15" s="1" t="s">
        <v>1875</v>
      </c>
      <c r="S15" s="1" t="s">
        <v>1734</v>
      </c>
      <c r="T15" s="1" t="s">
        <v>1735</v>
      </c>
      <c r="U15">
        <v>328440528</v>
      </c>
      <c r="V15" s="1" t="s">
        <v>276</v>
      </c>
      <c r="W15" s="1" t="s">
        <v>1873</v>
      </c>
      <c r="X15" s="1" t="s">
        <v>1734</v>
      </c>
      <c r="Y15" s="1" t="s">
        <v>1736</v>
      </c>
      <c r="Z15" s="1" t="s">
        <v>1737</v>
      </c>
      <c r="AA15">
        <v>328440520</v>
      </c>
      <c r="AB15" s="1" t="s">
        <v>1764</v>
      </c>
      <c r="AC15" s="1" t="s">
        <v>1806</v>
      </c>
      <c r="AD15" s="1" t="s">
        <v>524</v>
      </c>
      <c r="AE15" s="1"/>
      <c r="AG15" s="1" t="s">
        <v>1950</v>
      </c>
      <c r="AH15" s="1" t="s">
        <v>1835</v>
      </c>
      <c r="AI15" s="1" t="s">
        <v>1738</v>
      </c>
      <c r="AJ15" s="1" t="s">
        <v>1739</v>
      </c>
      <c r="AK15">
        <v>328440520</v>
      </c>
      <c r="AL15" s="1" t="s">
        <v>1920</v>
      </c>
      <c r="AM15" s="1" t="s">
        <v>1858</v>
      </c>
      <c r="AN15" s="1" t="s">
        <v>1740</v>
      </c>
      <c r="AO15" s="1" t="s">
        <v>1741</v>
      </c>
      <c r="AP15">
        <v>328440522</v>
      </c>
      <c r="AQ15" s="1" t="s">
        <v>1730</v>
      </c>
      <c r="AR15" s="1" t="s">
        <v>1740</v>
      </c>
      <c r="AS15" s="1" t="s">
        <v>1742</v>
      </c>
      <c r="AT15" s="1" t="s">
        <v>1743</v>
      </c>
      <c r="AU15">
        <v>328440526</v>
      </c>
      <c r="AV15" s="1" t="s">
        <v>1850</v>
      </c>
      <c r="AW15" s="1" t="s">
        <v>1955</v>
      </c>
      <c r="AX15" s="1" t="s">
        <v>1744</v>
      </c>
      <c r="AY15">
        <v>617425651</v>
      </c>
      <c r="AZ15" s="1" t="s">
        <v>660</v>
      </c>
      <c r="BA15">
        <v>678409252</v>
      </c>
      <c r="BB15" s="1" t="s">
        <v>1745</v>
      </c>
      <c r="BC15" s="1" t="s">
        <v>1746</v>
      </c>
      <c r="BD15">
        <v>59</v>
      </c>
      <c r="BE15">
        <v>328440520</v>
      </c>
      <c r="BF15">
        <v>50.731689453125</v>
      </c>
      <c r="BG15">
        <v>2.7461013793945299</v>
      </c>
      <c r="BH15">
        <v>454647903</v>
      </c>
      <c r="BI15">
        <v>629</v>
      </c>
      <c r="BJ15" s="2">
        <v>37650</v>
      </c>
      <c r="BK15" s="1" t="s">
        <v>3295</v>
      </c>
      <c r="BL15" s="1" t="s">
        <v>290</v>
      </c>
      <c r="BM15" s="1" t="s">
        <v>291</v>
      </c>
      <c r="BN15" s="1" t="s">
        <v>292</v>
      </c>
      <c r="BO15" s="1" t="s">
        <v>291</v>
      </c>
      <c r="BP15" s="1" t="s">
        <v>293</v>
      </c>
      <c r="BQ15" s="1" t="s">
        <v>294</v>
      </c>
      <c r="BR15">
        <v>80</v>
      </c>
      <c r="BS15">
        <v>25860198.350000001</v>
      </c>
      <c r="BT15" s="1" t="s">
        <v>295</v>
      </c>
      <c r="BU15" s="1" t="s">
        <v>296</v>
      </c>
      <c r="BV15">
        <v>429816</v>
      </c>
      <c r="BW15">
        <v>1.0785289305075413E-2</v>
      </c>
      <c r="BX15">
        <v>57.199775829102698</v>
      </c>
      <c r="BY15">
        <v>3.369030350981296</v>
      </c>
      <c r="BZ15">
        <v>3.2307861365684265</v>
      </c>
      <c r="CA15">
        <v>63.799592316652422</v>
      </c>
      <c r="CB15" s="1" t="s">
        <v>443</v>
      </c>
      <c r="CC15">
        <v>1</v>
      </c>
      <c r="CD15" s="1" t="s">
        <v>298</v>
      </c>
      <c r="CE15" s="1" t="s">
        <v>299</v>
      </c>
      <c r="CF15">
        <v>1101</v>
      </c>
      <c r="CG15" s="1" t="s">
        <v>300</v>
      </c>
      <c r="CH15" s="1" t="s">
        <v>1474</v>
      </c>
      <c r="CI15" s="1" t="s">
        <v>1475</v>
      </c>
      <c r="CJ15" s="1" t="s">
        <v>1474</v>
      </c>
      <c r="CK15" s="1" t="s">
        <v>1475</v>
      </c>
      <c r="CL15" s="1" t="s">
        <v>1476</v>
      </c>
      <c r="CM15">
        <v>3020409000010</v>
      </c>
      <c r="CO15" s="1" t="s">
        <v>1747</v>
      </c>
      <c r="CP15" s="1" t="s">
        <v>1748</v>
      </c>
      <c r="CQ15" s="1" t="s">
        <v>766</v>
      </c>
      <c r="CR15" s="1" t="s">
        <v>306</v>
      </c>
      <c r="CS15">
        <v>6179</v>
      </c>
      <c r="CT15">
        <v>3633</v>
      </c>
      <c r="CU15">
        <v>3700</v>
      </c>
      <c r="CV15" s="1" t="s">
        <v>307</v>
      </c>
      <c r="CW15" s="1" t="s">
        <v>308</v>
      </c>
      <c r="CY15">
        <v>3262</v>
      </c>
      <c r="CZ15">
        <v>3000</v>
      </c>
      <c r="DA15" s="1" t="s">
        <v>309</v>
      </c>
      <c r="DB15">
        <v>2546</v>
      </c>
      <c r="DC15">
        <v>2546</v>
      </c>
      <c r="DD15">
        <v>0</v>
      </c>
      <c r="DE15">
        <v>0</v>
      </c>
      <c r="DF15">
        <v>988</v>
      </c>
      <c r="DG15">
        <v>1558</v>
      </c>
      <c r="DH15">
        <v>0</v>
      </c>
      <c r="DI15">
        <v>0</v>
      </c>
      <c r="DJ15">
        <v>0</v>
      </c>
      <c r="DK15" s="1" t="s">
        <v>369</v>
      </c>
      <c r="DL15" s="1" t="s">
        <v>741</v>
      </c>
      <c r="DN15" s="1"/>
      <c r="DO15">
        <v>799</v>
      </c>
      <c r="DP15">
        <v>0</v>
      </c>
      <c r="DQ15">
        <v>799</v>
      </c>
      <c r="DR15" s="1"/>
      <c r="DS15">
        <v>952</v>
      </c>
      <c r="DT15">
        <v>100</v>
      </c>
      <c r="DU15">
        <v>227</v>
      </c>
      <c r="DV15">
        <v>227</v>
      </c>
      <c r="DW15" s="1" t="s">
        <v>371</v>
      </c>
      <c r="DX15">
        <v>20</v>
      </c>
      <c r="DZ15">
        <v>2</v>
      </c>
      <c r="EA15">
        <v>1</v>
      </c>
      <c r="EB15">
        <v>9</v>
      </c>
      <c r="EC15">
        <v>2</v>
      </c>
      <c r="ED15">
        <v>0</v>
      </c>
      <c r="EE15">
        <v>0</v>
      </c>
      <c r="EF15">
        <v>12</v>
      </c>
      <c r="EG15">
        <v>2010</v>
      </c>
      <c r="EI15" s="1"/>
      <c r="EJ15" s="1" t="s">
        <v>313</v>
      </c>
      <c r="EK15" s="1" t="s">
        <v>314</v>
      </c>
      <c r="EL15">
        <v>25</v>
      </c>
      <c r="EM15">
        <v>20</v>
      </c>
      <c r="EN15">
        <v>13</v>
      </c>
      <c r="EO15" s="1" t="s">
        <v>315</v>
      </c>
      <c r="EP15">
        <v>13</v>
      </c>
      <c r="EQ15">
        <v>71.873576143802381</v>
      </c>
      <c r="ER15" s="1" t="s">
        <v>316</v>
      </c>
      <c r="ES15">
        <v>8.2842542406944037</v>
      </c>
      <c r="ET15">
        <v>1</v>
      </c>
      <c r="EU15" s="1" t="s">
        <v>1749</v>
      </c>
      <c r="EV15">
        <v>100.13975843728284</v>
      </c>
      <c r="EW15">
        <v>0</v>
      </c>
      <c r="EX15" t="s">
        <v>316</v>
      </c>
      <c r="EY15">
        <v>1</v>
      </c>
      <c r="EZ15" s="1" t="s">
        <v>1381</v>
      </c>
      <c r="FA15" s="2"/>
      <c r="FB15" s="1" t="s">
        <v>1382</v>
      </c>
      <c r="FC15">
        <v>1</v>
      </c>
      <c r="FD15" s="1"/>
      <c r="FE15" s="2"/>
      <c r="FF15" s="1"/>
      <c r="FG15" s="1" t="s">
        <v>322</v>
      </c>
      <c r="FH15" s="1" t="s">
        <v>322</v>
      </c>
      <c r="FI15" s="1" t="s">
        <v>322</v>
      </c>
      <c r="FJ15" s="1" t="s">
        <v>322</v>
      </c>
      <c r="FK15" s="1" t="s">
        <v>320</v>
      </c>
      <c r="FL15">
        <v>18.920000000000002</v>
      </c>
      <c r="FM15">
        <v>4235.1579804560261</v>
      </c>
      <c r="FN15" s="1" t="s">
        <v>321</v>
      </c>
      <c r="FO15" s="1" t="s">
        <v>322</v>
      </c>
      <c r="FP15" s="1" t="s">
        <v>323</v>
      </c>
      <c r="FQ15" s="1" t="s">
        <v>324</v>
      </c>
      <c r="FR15" s="1" t="s">
        <v>1750</v>
      </c>
      <c r="FS15" s="1"/>
      <c r="FT15" s="1" t="s">
        <v>1751</v>
      </c>
      <c r="FV15" s="1" t="s">
        <v>322</v>
      </c>
      <c r="FW15" s="1" t="s">
        <v>322</v>
      </c>
      <c r="FX15" s="1" t="s">
        <v>322</v>
      </c>
      <c r="FY15" s="1" t="s">
        <v>1752</v>
      </c>
      <c r="FZ15" s="1" t="s">
        <v>322</v>
      </c>
      <c r="GA15" s="1" t="s">
        <v>322</v>
      </c>
      <c r="GB15" s="1" t="s">
        <v>322</v>
      </c>
      <c r="GC15" s="1" t="s">
        <v>322</v>
      </c>
      <c r="GD15" s="1" t="s">
        <v>319</v>
      </c>
      <c r="GE15" s="1" t="s">
        <v>322</v>
      </c>
      <c r="GF15" s="1" t="s">
        <v>327</v>
      </c>
      <c r="GG15" s="1"/>
      <c r="GH15" s="1" t="s">
        <v>319</v>
      </c>
      <c r="GI15" s="1"/>
      <c r="GJ15" s="1" t="s">
        <v>322</v>
      </c>
      <c r="GK15" s="2">
        <v>42005</v>
      </c>
      <c r="GL15" s="1" t="s">
        <v>322</v>
      </c>
      <c r="GM15" s="1" t="s">
        <v>322</v>
      </c>
      <c r="GN15">
        <v>42954</v>
      </c>
      <c r="GO15" s="1" t="s">
        <v>322</v>
      </c>
      <c r="GP15">
        <v>43070</v>
      </c>
      <c r="GQ15" s="1" t="s">
        <v>1753</v>
      </c>
      <c r="GR15" s="1" t="s">
        <v>322</v>
      </c>
      <c r="GS15" s="1" t="s">
        <v>377</v>
      </c>
      <c r="GT15" s="1" t="s">
        <v>322</v>
      </c>
      <c r="GU15" s="1" t="s">
        <v>1479</v>
      </c>
      <c r="GV15" s="1" t="s">
        <v>322</v>
      </c>
      <c r="GW15" s="1" t="s">
        <v>319</v>
      </c>
      <c r="GX15" s="1" t="s">
        <v>322</v>
      </c>
      <c r="GY15" s="1" t="s">
        <v>319</v>
      </c>
      <c r="GZ15" s="1" t="s">
        <v>319</v>
      </c>
      <c r="HA15" s="2">
        <v>44063</v>
      </c>
      <c r="HB15" s="2">
        <v>42653</v>
      </c>
      <c r="HC15" s="1"/>
      <c r="HD15" s="1"/>
      <c r="HE15" s="1"/>
      <c r="HF15" s="1"/>
      <c r="HG15" s="1"/>
      <c r="HH15" s="1"/>
      <c r="HI15" s="1" t="s">
        <v>322</v>
      </c>
      <c r="HJ15" s="1" t="s">
        <v>1122</v>
      </c>
      <c r="HK15" s="2">
        <v>43101</v>
      </c>
      <c r="HL15" s="1"/>
      <c r="HM15" s="1" t="s">
        <v>322</v>
      </c>
      <c r="HN15" s="1" t="s">
        <v>322</v>
      </c>
      <c r="HO15" s="1" t="s">
        <v>322</v>
      </c>
      <c r="HP15" s="1"/>
      <c r="HQ15" s="1"/>
      <c r="HR15" s="1"/>
      <c r="HS15" s="1"/>
      <c r="HT15" s="1"/>
      <c r="HU15" s="1" t="s">
        <v>331</v>
      </c>
      <c r="HV15">
        <v>4621977014</v>
      </c>
      <c r="HW15">
        <v>40638511</v>
      </c>
      <c r="HX15">
        <v>99102567848</v>
      </c>
      <c r="HY15" s="1" t="s">
        <v>1754</v>
      </c>
      <c r="HZ15">
        <v>4320766</v>
      </c>
      <c r="IA15">
        <v>4321086</v>
      </c>
      <c r="IB15" s="1" t="s">
        <v>1755</v>
      </c>
      <c r="IC15">
        <v>830212</v>
      </c>
      <c r="ID15" s="1" t="s">
        <v>1756</v>
      </c>
      <c r="IE15">
        <v>2.89</v>
      </c>
      <c r="IF15">
        <v>3.89</v>
      </c>
      <c r="IG15">
        <v>4.8</v>
      </c>
      <c r="IH15">
        <v>5.88</v>
      </c>
      <c r="II15">
        <v>5.76</v>
      </c>
      <c r="IJ15">
        <v>4.33</v>
      </c>
      <c r="IK15">
        <v>4.33</v>
      </c>
    </row>
    <row r="16" spans="1:246" x14ac:dyDescent="0.3">
      <c r="A16">
        <v>1953</v>
      </c>
      <c r="B16">
        <v>2717</v>
      </c>
      <c r="C16" s="1" t="s">
        <v>1682</v>
      </c>
      <c r="D16" s="1" t="s">
        <v>1074</v>
      </c>
      <c r="E16" t="s">
        <v>3275</v>
      </c>
      <c r="F16" s="1" t="s">
        <v>3300</v>
      </c>
      <c r="G16" s="1" t="s">
        <v>1452</v>
      </c>
      <c r="H16">
        <v>625291561</v>
      </c>
      <c r="I16" s="1" t="s">
        <v>1683</v>
      </c>
      <c r="J16" s="1" t="s">
        <v>1684</v>
      </c>
      <c r="K16">
        <v>685095585</v>
      </c>
      <c r="L16">
        <v>44564</v>
      </c>
      <c r="M16" s="1" t="s">
        <v>1685</v>
      </c>
      <c r="N16" s="1" t="s">
        <v>1686</v>
      </c>
      <c r="O16">
        <v>645389953</v>
      </c>
      <c r="P16" s="1" t="s">
        <v>273</v>
      </c>
      <c r="Q16" s="1" t="s">
        <v>1683</v>
      </c>
      <c r="R16" s="1" t="s">
        <v>1685</v>
      </c>
      <c r="S16" s="1" t="s">
        <v>524</v>
      </c>
      <c r="T16" s="1"/>
      <c r="V16" s="1"/>
      <c r="W16" s="1" t="s">
        <v>1459</v>
      </c>
      <c r="X16" s="1" t="s">
        <v>1560</v>
      </c>
      <c r="Y16" s="1" t="s">
        <v>1687</v>
      </c>
      <c r="Z16" s="1" t="s">
        <v>1688</v>
      </c>
      <c r="AA16">
        <v>169191295</v>
      </c>
      <c r="AB16" s="1" t="s">
        <v>1530</v>
      </c>
      <c r="AC16" s="1" t="s">
        <v>1637</v>
      </c>
      <c r="AD16" s="1" t="s">
        <v>1689</v>
      </c>
      <c r="AE16" s="1" t="s">
        <v>1690</v>
      </c>
      <c r="AF16">
        <v>160575904</v>
      </c>
      <c r="AG16" s="1" t="s">
        <v>1617</v>
      </c>
      <c r="AH16" s="1" t="s">
        <v>1689</v>
      </c>
      <c r="AI16" s="1" t="s">
        <v>1691</v>
      </c>
      <c r="AJ16" s="1" t="s">
        <v>1692</v>
      </c>
      <c r="AK16">
        <v>169191295</v>
      </c>
      <c r="AL16" s="1" t="s">
        <v>1658</v>
      </c>
      <c r="AM16" s="1" t="s">
        <v>1668</v>
      </c>
      <c r="AN16" s="1" t="s">
        <v>1693</v>
      </c>
      <c r="AO16" s="1" t="s">
        <v>1694</v>
      </c>
      <c r="AP16">
        <v>169723752</v>
      </c>
      <c r="AQ16" s="1" t="s">
        <v>1453</v>
      </c>
      <c r="AR16" s="1" t="s">
        <v>1466</v>
      </c>
      <c r="AS16" s="1" t="s">
        <v>1695</v>
      </c>
      <c r="AT16" s="1" t="s">
        <v>1696</v>
      </c>
      <c r="AU16">
        <v>169191295</v>
      </c>
      <c r="AV16" s="1" t="s">
        <v>1582</v>
      </c>
      <c r="AW16" s="1" t="s">
        <v>1695</v>
      </c>
      <c r="AX16" s="1" t="s">
        <v>1470</v>
      </c>
      <c r="AY16">
        <v>609519432</v>
      </c>
      <c r="AZ16" s="1" t="s">
        <v>1471</v>
      </c>
      <c r="BA16">
        <v>784179659</v>
      </c>
      <c r="BB16" s="1" t="s">
        <v>1697</v>
      </c>
      <c r="BC16" s="1" t="s">
        <v>1698</v>
      </c>
      <c r="BD16">
        <v>91</v>
      </c>
      <c r="BE16">
        <v>169191295</v>
      </c>
      <c r="BF16">
        <v>48.672186000000004</v>
      </c>
      <c r="BG16">
        <v>2.2825419999999998</v>
      </c>
      <c r="BH16">
        <v>452647903</v>
      </c>
      <c r="BI16">
        <v>1452</v>
      </c>
      <c r="BJ16" s="2">
        <v>44335</v>
      </c>
      <c r="BK16" s="1" t="s">
        <v>3305</v>
      </c>
      <c r="BL16" s="1" t="s">
        <v>290</v>
      </c>
      <c r="BM16" s="1" t="s">
        <v>291</v>
      </c>
      <c r="BN16" s="1" t="s">
        <v>292</v>
      </c>
      <c r="BO16" s="1" t="s">
        <v>1502</v>
      </c>
      <c r="BP16" s="1" t="s">
        <v>293</v>
      </c>
      <c r="BQ16" s="1" t="s">
        <v>1093</v>
      </c>
      <c r="BR16">
        <v>88</v>
      </c>
      <c r="BS16">
        <v>12687748.699999999</v>
      </c>
      <c r="BT16" s="1" t="s">
        <v>295</v>
      </c>
      <c r="BU16" s="1" t="s">
        <v>1699</v>
      </c>
      <c r="BV16">
        <v>181629</v>
      </c>
      <c r="BW16">
        <v>1.1212725514721217E-2</v>
      </c>
      <c r="BX16">
        <v>61.514406276785103</v>
      </c>
      <c r="BY16">
        <v>7.6311969167510849</v>
      </c>
      <c r="BZ16">
        <v>1.9331783916836993</v>
      </c>
      <c r="CA16">
        <v>71.078781585219886</v>
      </c>
      <c r="CB16" s="1" t="s">
        <v>443</v>
      </c>
      <c r="CC16">
        <v>1</v>
      </c>
      <c r="CD16" s="1" t="s">
        <v>361</v>
      </c>
      <c r="CE16" s="1"/>
      <c r="CF16">
        <v>1101</v>
      </c>
      <c r="CG16" s="1" t="s">
        <v>300</v>
      </c>
      <c r="CH16" s="1" t="s">
        <v>301</v>
      </c>
      <c r="CI16" s="1" t="s">
        <v>302</v>
      </c>
      <c r="CJ16" s="1" t="s">
        <v>301</v>
      </c>
      <c r="CK16" s="1" t="s">
        <v>302</v>
      </c>
      <c r="CL16" s="1" t="s">
        <v>303</v>
      </c>
      <c r="CM16">
        <v>3601651117009</v>
      </c>
      <c r="CO16" s="1"/>
      <c r="CP16" s="1" t="s">
        <v>1700</v>
      </c>
      <c r="CQ16" s="1" t="s">
        <v>406</v>
      </c>
      <c r="CR16" s="1" t="s">
        <v>1701</v>
      </c>
      <c r="CT16">
        <v>4200</v>
      </c>
      <c r="CU16" t="s">
        <v>693</v>
      </c>
      <c r="CV16" s="1"/>
      <c r="CW16" s="1"/>
      <c r="CY16">
        <v>3710</v>
      </c>
      <c r="CZ16" t="s">
        <v>1702</v>
      </c>
      <c r="DA16" s="1"/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 s="1"/>
      <c r="DL16" s="1"/>
      <c r="DN16" s="1"/>
      <c r="DO16">
        <v>0</v>
      </c>
      <c r="DP16">
        <v>0</v>
      </c>
      <c r="DQ16">
        <v>0</v>
      </c>
      <c r="DR16" s="1"/>
      <c r="DS16">
        <v>0</v>
      </c>
      <c r="DT16">
        <v>0</v>
      </c>
      <c r="DU16">
        <v>0</v>
      </c>
      <c r="DV16">
        <v>473</v>
      </c>
      <c r="DW16" s="1"/>
      <c r="EH16">
        <v>4</v>
      </c>
      <c r="EI16" s="1" t="s">
        <v>1703</v>
      </c>
      <c r="EJ16" s="1"/>
      <c r="EK16" s="1"/>
      <c r="EO16" s="1"/>
      <c r="ER16" s="1" t="s">
        <v>316</v>
      </c>
      <c r="EU16" s="1"/>
      <c r="EX16" t="s">
        <v>316</v>
      </c>
      <c r="EY16">
        <v>0</v>
      </c>
      <c r="EZ16" s="1" t="s">
        <v>412</v>
      </c>
      <c r="FA16" s="2">
        <v>44197</v>
      </c>
      <c r="FB16" s="1" t="s">
        <v>818</v>
      </c>
      <c r="FC16">
        <v>1</v>
      </c>
      <c r="FD16" s="1"/>
      <c r="FE16" s="2"/>
      <c r="FF16" s="1"/>
      <c r="FG16" s="1"/>
      <c r="FH16" s="1"/>
      <c r="FI16" s="1"/>
      <c r="FJ16" s="1"/>
      <c r="FK16" s="1"/>
      <c r="FN16" s="1"/>
      <c r="FO16" s="1"/>
      <c r="FP16" s="1"/>
      <c r="FQ16" s="1"/>
      <c r="FR16" s="1"/>
      <c r="FS16" s="1"/>
      <c r="FT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 t="s">
        <v>322</v>
      </c>
      <c r="GI16" s="1"/>
      <c r="GJ16" s="1" t="s">
        <v>322</v>
      </c>
      <c r="GK16" s="2">
        <v>44197</v>
      </c>
      <c r="GL16" s="1" t="s">
        <v>322</v>
      </c>
      <c r="GM16" s="1" t="s">
        <v>322</v>
      </c>
      <c r="GO16" s="1" t="s">
        <v>322</v>
      </c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2"/>
      <c r="HB16" s="2"/>
      <c r="HC16" s="1"/>
      <c r="HD16" s="1"/>
      <c r="HE16" s="1"/>
      <c r="HF16" s="1"/>
      <c r="HG16" s="1"/>
      <c r="HH16" s="1"/>
      <c r="HI16" s="1"/>
      <c r="HJ16" s="1" t="s">
        <v>330</v>
      </c>
      <c r="HK16" s="2"/>
      <c r="HL16" s="1"/>
      <c r="HM16" s="1"/>
      <c r="HN16" s="1"/>
      <c r="HO16" s="1"/>
      <c r="HP16" s="1"/>
      <c r="HQ16" s="1"/>
      <c r="HR16" s="1"/>
      <c r="HS16" s="1"/>
      <c r="HT16" s="1"/>
      <c r="HU16" s="1" t="s">
        <v>331</v>
      </c>
      <c r="HY16" s="1"/>
      <c r="IB16" s="1" t="s">
        <v>1704</v>
      </c>
      <c r="IC16">
        <v>831605</v>
      </c>
      <c r="ID16" s="1" t="s">
        <v>1705</v>
      </c>
      <c r="IK16">
        <v>2.7</v>
      </c>
    </row>
    <row r="17" spans="1:245" x14ac:dyDescent="0.3">
      <c r="A17">
        <v>1720</v>
      </c>
      <c r="B17">
        <v>2345</v>
      </c>
      <c r="C17" s="1" t="s">
        <v>2208</v>
      </c>
      <c r="D17" s="1" t="s">
        <v>1451</v>
      </c>
      <c r="E17" t="s">
        <v>3275</v>
      </c>
      <c r="F17" s="1" t="s">
        <v>2181</v>
      </c>
      <c r="G17" s="1" t="s">
        <v>2182</v>
      </c>
      <c r="H17">
        <v>686016869</v>
      </c>
      <c r="I17" s="1" t="s">
        <v>2209</v>
      </c>
      <c r="J17" s="1" t="s">
        <v>2210</v>
      </c>
      <c r="L17">
        <v>44011</v>
      </c>
      <c r="M17" s="1" t="s">
        <v>2211</v>
      </c>
      <c r="N17" s="1" t="s">
        <v>2212</v>
      </c>
      <c r="O17">
        <v>344123838</v>
      </c>
      <c r="P17" s="1" t="s">
        <v>273</v>
      </c>
      <c r="Q17" s="1" t="s">
        <v>2324</v>
      </c>
      <c r="R17" s="1" t="s">
        <v>2260</v>
      </c>
      <c r="S17" s="1" t="s">
        <v>2213</v>
      </c>
      <c r="T17" s="1" t="s">
        <v>2214</v>
      </c>
      <c r="U17">
        <v>344123836</v>
      </c>
      <c r="V17" s="1" t="s">
        <v>276</v>
      </c>
      <c r="W17" s="1" t="s">
        <v>2324</v>
      </c>
      <c r="X17" s="1" t="s">
        <v>2187</v>
      </c>
      <c r="Y17" s="1" t="s">
        <v>2215</v>
      </c>
      <c r="Z17" s="1" t="s">
        <v>2216</v>
      </c>
      <c r="AA17">
        <v>344123835</v>
      </c>
      <c r="AB17" s="1" t="s">
        <v>2183</v>
      </c>
      <c r="AC17" s="1" t="s">
        <v>2353</v>
      </c>
      <c r="AD17" s="1" t="s">
        <v>2217</v>
      </c>
      <c r="AE17" s="1" t="s">
        <v>2218</v>
      </c>
      <c r="AF17">
        <v>344123838</v>
      </c>
      <c r="AG17" s="1" t="s">
        <v>2233</v>
      </c>
      <c r="AH17" s="1" t="s">
        <v>2217</v>
      </c>
      <c r="AI17" s="1" t="s">
        <v>2219</v>
      </c>
      <c r="AJ17" s="1" t="s">
        <v>2220</v>
      </c>
      <c r="AK17">
        <v>344123838</v>
      </c>
      <c r="AL17" s="1" t="s">
        <v>2391</v>
      </c>
      <c r="AM17" s="1" t="s">
        <v>2401</v>
      </c>
      <c r="AN17" s="1" t="s">
        <v>2221</v>
      </c>
      <c r="AO17" s="1" t="s">
        <v>2222</v>
      </c>
      <c r="AP17">
        <v>344123832</v>
      </c>
      <c r="AQ17" s="1" t="s">
        <v>2345</v>
      </c>
      <c r="AR17" s="1" t="s">
        <v>2289</v>
      </c>
      <c r="AS17" s="1" t="s">
        <v>2223</v>
      </c>
      <c r="AT17" s="1" t="s">
        <v>2224</v>
      </c>
      <c r="AU17">
        <v>344123841</v>
      </c>
      <c r="AV17" s="1" t="s">
        <v>2368</v>
      </c>
      <c r="AW17" s="1" t="s">
        <v>2223</v>
      </c>
      <c r="AX17" s="1" t="s">
        <v>2199</v>
      </c>
      <c r="AY17">
        <v>620112922</v>
      </c>
      <c r="AZ17" s="1" t="s">
        <v>356</v>
      </c>
      <c r="BA17">
        <v>678408517</v>
      </c>
      <c r="BB17" s="1" t="s">
        <v>2225</v>
      </c>
      <c r="BC17" s="1" t="s">
        <v>2226</v>
      </c>
      <c r="BD17">
        <v>60</v>
      </c>
      <c r="BE17">
        <v>344123838</v>
      </c>
      <c r="BF17">
        <v>49.4119873046875</v>
      </c>
      <c r="BG17">
        <v>2.1139831542968701</v>
      </c>
      <c r="BH17">
        <v>451647903</v>
      </c>
      <c r="BI17">
        <v>637</v>
      </c>
      <c r="BJ17" s="2">
        <v>35765</v>
      </c>
      <c r="BK17" s="1" t="s">
        <v>3313</v>
      </c>
      <c r="BL17" s="1" t="s">
        <v>290</v>
      </c>
      <c r="BM17" s="1" t="s">
        <v>291</v>
      </c>
      <c r="BN17" s="1" t="s">
        <v>292</v>
      </c>
      <c r="BO17" s="1" t="s">
        <v>291</v>
      </c>
      <c r="BP17" s="1" t="s">
        <v>293</v>
      </c>
      <c r="BQ17" s="1" t="s">
        <v>294</v>
      </c>
      <c r="BR17">
        <v>80</v>
      </c>
      <c r="BS17">
        <v>28856367.27</v>
      </c>
      <c r="BT17" s="1" t="s">
        <v>295</v>
      </c>
      <c r="BU17" s="1" t="s">
        <v>401</v>
      </c>
      <c r="BV17">
        <v>434766</v>
      </c>
      <c r="BW17">
        <v>1.5619274656333009E-2</v>
      </c>
      <c r="BX17">
        <v>65.199973626953295</v>
      </c>
      <c r="BY17">
        <v>10.209495395705588</v>
      </c>
      <c r="BZ17">
        <v>3.9812037098085753</v>
      </c>
      <c r="CA17">
        <v>79.390672732467465</v>
      </c>
      <c r="CB17" s="1" t="s">
        <v>443</v>
      </c>
      <c r="CC17">
        <v>2</v>
      </c>
      <c r="CD17" s="1" t="s">
        <v>298</v>
      </c>
      <c r="CE17" s="1" t="s">
        <v>299</v>
      </c>
      <c r="CF17">
        <v>1101</v>
      </c>
      <c r="CG17" s="1" t="s">
        <v>300</v>
      </c>
      <c r="CH17" s="1" t="s">
        <v>1474</v>
      </c>
      <c r="CI17" s="1" t="s">
        <v>1475</v>
      </c>
      <c r="CJ17" s="1" t="s">
        <v>1474</v>
      </c>
      <c r="CK17" s="1" t="s">
        <v>1475</v>
      </c>
      <c r="CL17" s="1" t="s">
        <v>1476</v>
      </c>
      <c r="CM17">
        <v>3020409000010</v>
      </c>
      <c r="CO17" s="1"/>
      <c r="CP17" s="1" t="s">
        <v>1424</v>
      </c>
      <c r="CQ17" s="1" t="s">
        <v>406</v>
      </c>
      <c r="CR17" s="1" t="s">
        <v>306</v>
      </c>
      <c r="CS17">
        <v>7292</v>
      </c>
      <c r="CT17">
        <v>3925</v>
      </c>
      <c r="CU17">
        <v>3700</v>
      </c>
      <c r="CV17" s="1" t="s">
        <v>307</v>
      </c>
      <c r="CW17" s="1" t="s">
        <v>408</v>
      </c>
      <c r="CX17">
        <v>300</v>
      </c>
      <c r="CY17">
        <v>3367</v>
      </c>
      <c r="CZ17">
        <v>3500</v>
      </c>
      <c r="DA17" s="1" t="s">
        <v>307</v>
      </c>
      <c r="DB17">
        <v>3367</v>
      </c>
      <c r="DC17">
        <v>3367</v>
      </c>
      <c r="DD17">
        <v>0</v>
      </c>
      <c r="DE17">
        <v>0</v>
      </c>
      <c r="DF17">
        <v>997</v>
      </c>
      <c r="DG17">
        <v>2370</v>
      </c>
      <c r="DH17">
        <v>0</v>
      </c>
      <c r="DI17">
        <v>0</v>
      </c>
      <c r="DJ17">
        <v>0</v>
      </c>
      <c r="DK17" s="1" t="s">
        <v>369</v>
      </c>
      <c r="DL17" s="1" t="s">
        <v>410</v>
      </c>
      <c r="DN17" s="1"/>
      <c r="DO17">
        <v>408</v>
      </c>
      <c r="DP17">
        <v>105</v>
      </c>
      <c r="DQ17">
        <v>408</v>
      </c>
      <c r="DR17" s="1"/>
      <c r="DS17">
        <v>1583</v>
      </c>
      <c r="DT17">
        <v>100.32</v>
      </c>
      <c r="DU17">
        <v>256</v>
      </c>
      <c r="DV17">
        <v>251</v>
      </c>
      <c r="DW17" s="1" t="s">
        <v>558</v>
      </c>
      <c r="DX17">
        <v>23</v>
      </c>
      <c r="DZ17">
        <v>2</v>
      </c>
      <c r="EA17">
        <v>2</v>
      </c>
      <c r="EB17">
        <v>12</v>
      </c>
      <c r="EC17">
        <v>3</v>
      </c>
      <c r="ED17">
        <v>0</v>
      </c>
      <c r="EE17">
        <v>0</v>
      </c>
      <c r="EF17">
        <v>17</v>
      </c>
      <c r="EG17">
        <v>2010</v>
      </c>
      <c r="EI17" s="1"/>
      <c r="EJ17" s="1" t="s">
        <v>313</v>
      </c>
      <c r="EK17" s="1" t="s">
        <v>314</v>
      </c>
      <c r="EL17">
        <v>39</v>
      </c>
      <c r="EM17">
        <v>21</v>
      </c>
      <c r="EN17">
        <v>14</v>
      </c>
      <c r="EO17" s="1" t="s">
        <v>315</v>
      </c>
      <c r="EP17">
        <v>30</v>
      </c>
      <c r="EQ17">
        <v>94.15917701186774</v>
      </c>
      <c r="ER17" s="1" t="s">
        <v>316</v>
      </c>
      <c r="ES17">
        <v>5.9080267929015058</v>
      </c>
      <c r="ET17">
        <v>0</v>
      </c>
      <c r="EU17" s="1"/>
      <c r="EV17">
        <v>85.789472388590625</v>
      </c>
      <c r="EW17">
        <v>3</v>
      </c>
      <c r="EX17" t="s">
        <v>316</v>
      </c>
      <c r="EY17">
        <v>3</v>
      </c>
      <c r="EZ17" s="1" t="s">
        <v>412</v>
      </c>
      <c r="FA17" s="2">
        <v>44197</v>
      </c>
      <c r="FB17" s="1" t="s">
        <v>507</v>
      </c>
      <c r="FC17">
        <v>1</v>
      </c>
      <c r="FD17" s="1"/>
      <c r="FE17" s="2"/>
      <c r="FF17" s="1"/>
      <c r="FG17" s="1" t="s">
        <v>319</v>
      </c>
      <c r="FH17" s="1" t="s">
        <v>319</v>
      </c>
      <c r="FI17" s="1" t="s">
        <v>319</v>
      </c>
      <c r="FJ17" s="1" t="s">
        <v>319</v>
      </c>
      <c r="FK17" s="1" t="s">
        <v>320</v>
      </c>
      <c r="FL17">
        <v>18.920000000000002</v>
      </c>
      <c r="FM17">
        <v>7426.8248280854141</v>
      </c>
      <c r="FN17" s="1" t="s">
        <v>321</v>
      </c>
      <c r="FO17" s="1" t="s">
        <v>322</v>
      </c>
      <c r="FP17" s="1" t="s">
        <v>323</v>
      </c>
      <c r="FQ17" s="1" t="s">
        <v>1198</v>
      </c>
      <c r="FR17" s="1" t="s">
        <v>325</v>
      </c>
      <c r="FS17" s="1"/>
      <c r="FT17" s="1" t="s">
        <v>326</v>
      </c>
      <c r="FU17">
        <v>494198191</v>
      </c>
      <c r="FV17" s="1" t="s">
        <v>322</v>
      </c>
      <c r="FW17" s="1" t="s">
        <v>319</v>
      </c>
      <c r="FX17" s="1" t="s">
        <v>322</v>
      </c>
      <c r="FY17" s="1" t="s">
        <v>322</v>
      </c>
      <c r="FZ17" s="1" t="s">
        <v>322</v>
      </c>
      <c r="GA17" s="1" t="s">
        <v>322</v>
      </c>
      <c r="GB17" s="1" t="s">
        <v>319</v>
      </c>
      <c r="GC17" s="1" t="s">
        <v>322</v>
      </c>
      <c r="GD17" s="1" t="s">
        <v>319</v>
      </c>
      <c r="GE17" s="1" t="s">
        <v>319</v>
      </c>
      <c r="GF17" s="1" t="s">
        <v>327</v>
      </c>
      <c r="GG17" s="1"/>
      <c r="GH17" s="1" t="s">
        <v>322</v>
      </c>
      <c r="GI17" s="1" t="s">
        <v>636</v>
      </c>
      <c r="GJ17" s="1" t="s">
        <v>322</v>
      </c>
      <c r="GK17" s="2">
        <v>41640</v>
      </c>
      <c r="GL17" s="1" t="s">
        <v>322</v>
      </c>
      <c r="GM17" s="1" t="s">
        <v>322</v>
      </c>
      <c r="GN17">
        <v>42989</v>
      </c>
      <c r="GO17" s="1" t="s">
        <v>322</v>
      </c>
      <c r="GP17">
        <v>44075</v>
      </c>
      <c r="GQ17" s="1" t="s">
        <v>2227</v>
      </c>
      <c r="GR17" s="1" t="s">
        <v>322</v>
      </c>
      <c r="GS17" s="1" t="s">
        <v>448</v>
      </c>
      <c r="GT17" s="1" t="s">
        <v>319</v>
      </c>
      <c r="GU17" s="1" t="s">
        <v>319</v>
      </c>
      <c r="GV17" s="1" t="s">
        <v>319</v>
      </c>
      <c r="GW17" s="1" t="s">
        <v>319</v>
      </c>
      <c r="GX17" s="1" t="s">
        <v>319</v>
      </c>
      <c r="GY17" s="1" t="s">
        <v>319</v>
      </c>
      <c r="GZ17" s="1" t="s">
        <v>319</v>
      </c>
      <c r="HA17" s="2">
        <v>44063</v>
      </c>
      <c r="HB17" s="2">
        <v>42660</v>
      </c>
      <c r="HC17" s="1"/>
      <c r="HD17" s="1"/>
      <c r="HE17" s="1"/>
      <c r="HF17" s="1" t="s">
        <v>322</v>
      </c>
      <c r="HG17" s="1"/>
      <c r="HH17" s="1"/>
      <c r="HI17" s="1" t="s">
        <v>322</v>
      </c>
      <c r="HJ17" s="1" t="s">
        <v>330</v>
      </c>
      <c r="HK17" s="2"/>
      <c r="HL17" s="1"/>
      <c r="HM17" s="1" t="s">
        <v>322</v>
      </c>
      <c r="HN17" s="1" t="s">
        <v>322</v>
      </c>
      <c r="HO17" s="1" t="s">
        <v>322</v>
      </c>
      <c r="HP17" s="1"/>
      <c r="HQ17" s="1"/>
      <c r="HR17" s="1"/>
      <c r="HS17" s="1"/>
      <c r="HT17" s="1"/>
      <c r="HU17" s="1" t="s">
        <v>331</v>
      </c>
      <c r="HV17">
        <v>4621976010</v>
      </c>
      <c r="HW17">
        <v>40638741</v>
      </c>
      <c r="HX17">
        <v>99102567587</v>
      </c>
      <c r="HY17" s="1" t="s">
        <v>2228</v>
      </c>
      <c r="HZ17">
        <v>4242217</v>
      </c>
      <c r="IA17">
        <v>4321152</v>
      </c>
      <c r="IB17" s="1" t="s">
        <v>2229</v>
      </c>
      <c r="IC17">
        <v>830087</v>
      </c>
      <c r="ID17" s="1" t="s">
        <v>2230</v>
      </c>
      <c r="IE17">
        <v>3.46</v>
      </c>
      <c r="IF17">
        <v>3.46</v>
      </c>
      <c r="IG17">
        <v>4.08</v>
      </c>
      <c r="IH17">
        <v>5.03</v>
      </c>
      <c r="II17">
        <v>6.21</v>
      </c>
      <c r="IJ17">
        <v>5.2656338028169012</v>
      </c>
      <c r="IK17">
        <v>5.27</v>
      </c>
    </row>
    <row r="18" spans="1:245" x14ac:dyDescent="0.3">
      <c r="A18">
        <v>1713</v>
      </c>
      <c r="B18">
        <v>2339</v>
      </c>
      <c r="C18" s="1" t="s">
        <v>2231</v>
      </c>
      <c r="D18" s="1" t="s">
        <v>2232</v>
      </c>
      <c r="E18" t="s">
        <v>3275</v>
      </c>
      <c r="F18" s="1" t="s">
        <v>2181</v>
      </c>
      <c r="G18" s="1" t="s">
        <v>2182</v>
      </c>
      <c r="H18">
        <v>686016869</v>
      </c>
      <c r="I18" s="1" t="s">
        <v>2233</v>
      </c>
      <c r="J18" s="1" t="s">
        <v>2234</v>
      </c>
      <c r="L18">
        <v>43137</v>
      </c>
      <c r="M18" s="1" t="s">
        <v>2235</v>
      </c>
      <c r="N18" s="1" t="s">
        <v>2236</v>
      </c>
      <c r="O18">
        <v>232474003</v>
      </c>
      <c r="P18" s="1" t="s">
        <v>273</v>
      </c>
      <c r="Q18" s="1" t="s">
        <v>2324</v>
      </c>
      <c r="R18" s="1" t="s">
        <v>2260</v>
      </c>
      <c r="S18" s="1" t="s">
        <v>2237</v>
      </c>
      <c r="T18" s="1" t="s">
        <v>2238</v>
      </c>
      <c r="U18">
        <v>232474006</v>
      </c>
      <c r="V18" s="1" t="s">
        <v>276</v>
      </c>
      <c r="W18" s="1" t="s">
        <v>2324</v>
      </c>
      <c r="X18" s="1" t="s">
        <v>2187</v>
      </c>
      <c r="Y18" s="1" t="s">
        <v>2239</v>
      </c>
      <c r="Z18" s="1" t="s">
        <v>2240</v>
      </c>
      <c r="AA18">
        <v>232474004</v>
      </c>
      <c r="AB18" s="1" t="s">
        <v>2183</v>
      </c>
      <c r="AC18" s="1" t="s">
        <v>2353</v>
      </c>
      <c r="AD18" s="1" t="s">
        <v>2241</v>
      </c>
      <c r="AE18" s="1" t="s">
        <v>2242</v>
      </c>
      <c r="AF18">
        <v>232474007</v>
      </c>
      <c r="AG18" s="1" t="s">
        <v>2233</v>
      </c>
      <c r="AH18" s="1" t="s">
        <v>2217</v>
      </c>
      <c r="AI18" s="1" t="s">
        <v>2243</v>
      </c>
      <c r="AJ18" s="1" t="s">
        <v>2244</v>
      </c>
      <c r="AK18">
        <v>232474005</v>
      </c>
      <c r="AL18" s="1" t="s">
        <v>2391</v>
      </c>
      <c r="AM18" s="1" t="s">
        <v>2401</v>
      </c>
      <c r="AN18" s="1" t="s">
        <v>2245</v>
      </c>
      <c r="AO18" s="1" t="s">
        <v>2246</v>
      </c>
      <c r="AP18">
        <v>232474002</v>
      </c>
      <c r="AQ18" s="1" t="s">
        <v>2345</v>
      </c>
      <c r="AR18" s="1" t="s">
        <v>2289</v>
      </c>
      <c r="AS18" s="1" t="s">
        <v>2247</v>
      </c>
      <c r="AT18" s="1" t="s">
        <v>2248</v>
      </c>
      <c r="AU18">
        <v>232474002</v>
      </c>
      <c r="AV18" s="1" t="s">
        <v>2368</v>
      </c>
      <c r="AW18" s="1" t="s">
        <v>2223</v>
      </c>
      <c r="AX18" s="1" t="s">
        <v>2199</v>
      </c>
      <c r="AY18">
        <v>620112923</v>
      </c>
      <c r="AZ18" s="1" t="s">
        <v>356</v>
      </c>
      <c r="BA18">
        <v>678408518</v>
      </c>
      <c r="BB18" s="1" t="s">
        <v>2249</v>
      </c>
      <c r="BC18" s="1" t="s">
        <v>2250</v>
      </c>
      <c r="BD18">
        <v>27</v>
      </c>
      <c r="BE18">
        <v>232474000</v>
      </c>
      <c r="BF18">
        <v>49.1517333984375</v>
      </c>
      <c r="BG18">
        <v>0.67171478271484297</v>
      </c>
      <c r="BH18">
        <v>451647903</v>
      </c>
      <c r="BI18">
        <v>405</v>
      </c>
      <c r="BJ18" s="2">
        <v>35529</v>
      </c>
      <c r="BK18" s="1" t="s">
        <v>3286</v>
      </c>
      <c r="BL18" s="1" t="s">
        <v>290</v>
      </c>
      <c r="BM18" s="1" t="s">
        <v>291</v>
      </c>
      <c r="BN18" s="1" t="s">
        <v>292</v>
      </c>
      <c r="BO18" s="1" t="s">
        <v>291</v>
      </c>
      <c r="BP18" s="1" t="s">
        <v>293</v>
      </c>
      <c r="BQ18" s="1" t="s">
        <v>294</v>
      </c>
      <c r="BR18">
        <v>80</v>
      </c>
      <c r="BS18">
        <v>28374727.309999999</v>
      </c>
      <c r="BT18" s="1" t="s">
        <v>295</v>
      </c>
      <c r="BU18" s="1" t="s">
        <v>401</v>
      </c>
      <c r="BV18">
        <v>339526</v>
      </c>
      <c r="BW18">
        <v>1.2403135167435882E-2</v>
      </c>
      <c r="BX18">
        <v>60.371398430803701</v>
      </c>
      <c r="BY18">
        <v>9.457231709193211</v>
      </c>
      <c r="BZ18">
        <v>6.5960764598580246</v>
      </c>
      <c r="CA18">
        <v>76.424706599854943</v>
      </c>
      <c r="CB18" s="1" t="s">
        <v>360</v>
      </c>
      <c r="CC18">
        <v>1</v>
      </c>
      <c r="CD18" s="1" t="s">
        <v>298</v>
      </c>
      <c r="CE18" s="1" t="s">
        <v>361</v>
      </c>
      <c r="CF18">
        <v>1101</v>
      </c>
      <c r="CG18" s="1" t="s">
        <v>300</v>
      </c>
      <c r="CH18" s="1" t="s">
        <v>301</v>
      </c>
      <c r="CI18" s="1" t="s">
        <v>302</v>
      </c>
      <c r="CJ18" s="1" t="s">
        <v>301</v>
      </c>
      <c r="CK18" s="1" t="s">
        <v>302</v>
      </c>
      <c r="CL18" s="1" t="s">
        <v>303</v>
      </c>
      <c r="CM18">
        <v>3601651117009</v>
      </c>
      <c r="CO18" s="1"/>
      <c r="CP18" s="1" t="s">
        <v>716</v>
      </c>
      <c r="CQ18" s="1" t="s">
        <v>367</v>
      </c>
      <c r="CR18" s="1" t="s">
        <v>306</v>
      </c>
      <c r="CS18">
        <v>6747</v>
      </c>
      <c r="CT18">
        <v>3297</v>
      </c>
      <c r="CU18">
        <v>3000</v>
      </c>
      <c r="CV18" s="1" t="s">
        <v>309</v>
      </c>
      <c r="CW18" s="1" t="s">
        <v>308</v>
      </c>
      <c r="CY18">
        <v>3500</v>
      </c>
      <c r="CZ18">
        <v>3500</v>
      </c>
      <c r="DA18" s="1" t="s">
        <v>307</v>
      </c>
      <c r="DB18">
        <v>3450</v>
      </c>
      <c r="DC18">
        <v>3450</v>
      </c>
      <c r="DD18">
        <v>0</v>
      </c>
      <c r="DE18">
        <v>0</v>
      </c>
      <c r="DF18">
        <v>1470</v>
      </c>
      <c r="DG18">
        <v>1980</v>
      </c>
      <c r="DH18">
        <v>0</v>
      </c>
      <c r="DI18">
        <v>0</v>
      </c>
      <c r="DJ18">
        <v>0</v>
      </c>
      <c r="DK18" s="1" t="s">
        <v>409</v>
      </c>
      <c r="DL18" s="1" t="s">
        <v>445</v>
      </c>
      <c r="DN18" s="1"/>
      <c r="DO18">
        <v>1101</v>
      </c>
      <c r="DP18">
        <v>0</v>
      </c>
      <c r="DQ18">
        <v>1101</v>
      </c>
      <c r="DR18" s="1"/>
      <c r="DS18">
        <v>800</v>
      </c>
      <c r="DT18">
        <v>152</v>
      </c>
      <c r="DU18">
        <v>266</v>
      </c>
      <c r="DV18">
        <v>429</v>
      </c>
      <c r="DW18" s="1" t="s">
        <v>371</v>
      </c>
      <c r="DX18">
        <v>21</v>
      </c>
      <c r="DZ18">
        <v>2</v>
      </c>
      <c r="EA18">
        <v>2</v>
      </c>
      <c r="EB18">
        <v>10</v>
      </c>
      <c r="EC18">
        <v>3</v>
      </c>
      <c r="ED18">
        <v>0</v>
      </c>
      <c r="EE18">
        <v>0</v>
      </c>
      <c r="EF18">
        <v>15</v>
      </c>
      <c r="EG18">
        <v>2010</v>
      </c>
      <c r="EI18" s="1"/>
      <c r="EJ18" s="1" t="s">
        <v>313</v>
      </c>
      <c r="EK18" s="1" t="s">
        <v>314</v>
      </c>
      <c r="EL18">
        <v>38</v>
      </c>
      <c r="EM18">
        <v>30</v>
      </c>
      <c r="EN18">
        <v>10</v>
      </c>
      <c r="EO18" s="1" t="s">
        <v>315</v>
      </c>
      <c r="EP18">
        <v>22</v>
      </c>
      <c r="EQ18">
        <v>60.133944065123337</v>
      </c>
      <c r="ER18" s="1" t="s">
        <v>316</v>
      </c>
      <c r="ES18">
        <v>3.0926028376349151</v>
      </c>
      <c r="ET18">
        <v>0</v>
      </c>
      <c r="EU18" s="1"/>
      <c r="EV18">
        <v>127.65577268681898</v>
      </c>
      <c r="EW18">
        <v>8</v>
      </c>
      <c r="EX18" t="s">
        <v>446</v>
      </c>
      <c r="EY18">
        <v>8</v>
      </c>
      <c r="EZ18" s="1" t="s">
        <v>412</v>
      </c>
      <c r="FA18" s="2">
        <v>44197</v>
      </c>
      <c r="FB18" s="1" t="s">
        <v>507</v>
      </c>
      <c r="FC18">
        <v>1</v>
      </c>
      <c r="FD18" s="1"/>
      <c r="FE18" s="2"/>
      <c r="FF18" s="1"/>
      <c r="FG18" s="1" t="s">
        <v>319</v>
      </c>
      <c r="FH18" s="1" t="s">
        <v>319</v>
      </c>
      <c r="FI18" s="1" t="s">
        <v>319</v>
      </c>
      <c r="FJ18" s="1" t="s">
        <v>319</v>
      </c>
      <c r="FK18" s="1" t="s">
        <v>320</v>
      </c>
      <c r="FL18">
        <v>18.920000000000002</v>
      </c>
      <c r="FM18">
        <v>4351.685305826999</v>
      </c>
      <c r="FN18" s="1" t="s">
        <v>321</v>
      </c>
      <c r="FO18" s="1" t="s">
        <v>322</v>
      </c>
      <c r="FP18" s="1" t="s">
        <v>323</v>
      </c>
      <c r="FQ18" s="1" t="s">
        <v>324</v>
      </c>
      <c r="FR18" s="1" t="s">
        <v>325</v>
      </c>
      <c r="FS18" s="1"/>
      <c r="FT18" s="1" t="s">
        <v>326</v>
      </c>
      <c r="FU18">
        <v>494198191</v>
      </c>
      <c r="FV18" s="1" t="s">
        <v>322</v>
      </c>
      <c r="FW18" s="1" t="s">
        <v>322</v>
      </c>
      <c r="FX18" s="1" t="s">
        <v>322</v>
      </c>
      <c r="FY18" s="1" t="s">
        <v>322</v>
      </c>
      <c r="FZ18" s="1" t="s">
        <v>322</v>
      </c>
      <c r="GA18" s="1" t="s">
        <v>322</v>
      </c>
      <c r="GB18" s="1" t="s">
        <v>319</v>
      </c>
      <c r="GC18" s="1" t="s">
        <v>322</v>
      </c>
      <c r="GD18" s="1" t="s">
        <v>322</v>
      </c>
      <c r="GE18" s="1" t="s">
        <v>319</v>
      </c>
      <c r="GF18" s="1" t="s">
        <v>415</v>
      </c>
      <c r="GG18" s="1"/>
      <c r="GH18" s="1" t="s">
        <v>319</v>
      </c>
      <c r="GI18" s="1"/>
      <c r="GJ18" s="1" t="s">
        <v>322</v>
      </c>
      <c r="GK18" s="2">
        <v>41640</v>
      </c>
      <c r="GL18" s="1" t="s">
        <v>322</v>
      </c>
      <c r="GM18" s="1" t="s">
        <v>322</v>
      </c>
      <c r="GN18">
        <v>43045</v>
      </c>
      <c r="GO18" s="1" t="s">
        <v>322</v>
      </c>
      <c r="GP18">
        <v>40575</v>
      </c>
      <c r="GQ18" s="1" t="s">
        <v>609</v>
      </c>
      <c r="GR18" s="1" t="s">
        <v>322</v>
      </c>
      <c r="GS18" s="1" t="s">
        <v>448</v>
      </c>
      <c r="GT18" s="1" t="s">
        <v>322</v>
      </c>
      <c r="GU18" s="1" t="s">
        <v>2251</v>
      </c>
      <c r="GV18" s="1" t="s">
        <v>2252</v>
      </c>
      <c r="GW18" s="1" t="s">
        <v>2253</v>
      </c>
      <c r="GX18" s="1" t="s">
        <v>322</v>
      </c>
      <c r="GY18" s="1" t="s">
        <v>319</v>
      </c>
      <c r="GZ18" s="1" t="s">
        <v>319</v>
      </c>
      <c r="HA18" s="2">
        <v>44064</v>
      </c>
      <c r="HB18" s="2">
        <v>42667</v>
      </c>
      <c r="HC18" s="1"/>
      <c r="HD18" s="1"/>
      <c r="HE18" s="1"/>
      <c r="HF18" s="1"/>
      <c r="HG18" s="1"/>
      <c r="HH18" s="1"/>
      <c r="HI18" s="1" t="s">
        <v>322</v>
      </c>
      <c r="HJ18" s="1" t="s">
        <v>330</v>
      </c>
      <c r="HK18" s="2"/>
      <c r="HL18" s="1"/>
      <c r="HM18" s="1" t="s">
        <v>322</v>
      </c>
      <c r="HN18" s="1" t="s">
        <v>322</v>
      </c>
      <c r="HO18" s="1" t="s">
        <v>322</v>
      </c>
      <c r="HP18" s="1"/>
      <c r="HQ18" s="1"/>
      <c r="HR18" s="1"/>
      <c r="HS18" s="1"/>
      <c r="HT18" s="1"/>
      <c r="HU18" s="1" t="s">
        <v>331</v>
      </c>
      <c r="HV18">
        <v>4621966012</v>
      </c>
      <c r="HW18">
        <v>40638758</v>
      </c>
      <c r="HX18">
        <v>99102569781</v>
      </c>
      <c r="HY18" s="1" t="s">
        <v>2254</v>
      </c>
      <c r="HZ18">
        <v>4242218</v>
      </c>
      <c r="IA18">
        <v>4321906</v>
      </c>
      <c r="IB18" s="1" t="s">
        <v>2255</v>
      </c>
      <c r="IC18">
        <v>830018</v>
      </c>
      <c r="ID18" s="1" t="s">
        <v>2256</v>
      </c>
      <c r="IE18">
        <v>5</v>
      </c>
      <c r="IF18">
        <v>6.25</v>
      </c>
      <c r="IG18">
        <v>7.81</v>
      </c>
      <c r="IH18">
        <v>8.8699999999999992</v>
      </c>
      <c r="II18">
        <v>7.58</v>
      </c>
      <c r="IJ18">
        <v>3.71</v>
      </c>
      <c r="IK18">
        <v>3.71</v>
      </c>
    </row>
    <row r="19" spans="1:245" x14ac:dyDescent="0.3">
      <c r="A19">
        <v>1716</v>
      </c>
      <c r="B19">
        <v>2341</v>
      </c>
      <c r="C19" s="1" t="s">
        <v>955</v>
      </c>
      <c r="D19" s="1" t="s">
        <v>926</v>
      </c>
      <c r="E19" t="s">
        <v>3275</v>
      </c>
      <c r="F19" s="1" t="s">
        <v>927</v>
      </c>
      <c r="G19" s="1" t="s">
        <v>928</v>
      </c>
      <c r="H19">
        <v>603611633</v>
      </c>
      <c r="I19" s="1" t="s">
        <v>956</v>
      </c>
      <c r="J19" s="1" t="s">
        <v>957</v>
      </c>
      <c r="K19">
        <v>675758958</v>
      </c>
      <c r="L19">
        <v>44088</v>
      </c>
      <c r="M19" s="1" t="s">
        <v>958</v>
      </c>
      <c r="N19" s="1" t="s">
        <v>959</v>
      </c>
      <c r="O19">
        <v>381474090</v>
      </c>
      <c r="P19" s="1"/>
      <c r="Q19" s="1" t="s">
        <v>929</v>
      </c>
      <c r="R19" s="1" t="s">
        <v>931</v>
      </c>
      <c r="S19" s="1" t="s">
        <v>960</v>
      </c>
      <c r="T19" s="1" t="s">
        <v>961</v>
      </c>
      <c r="U19">
        <v>381474090</v>
      </c>
      <c r="V19" s="1"/>
      <c r="W19" s="1" t="s">
        <v>1180</v>
      </c>
      <c r="X19" s="1" t="s">
        <v>1007</v>
      </c>
      <c r="Y19" s="1" t="s">
        <v>389</v>
      </c>
      <c r="Z19" s="1"/>
      <c r="AB19" s="1" t="s">
        <v>1104</v>
      </c>
      <c r="AC19" s="1" t="s">
        <v>1058</v>
      </c>
      <c r="AD19" s="1" t="s">
        <v>962</v>
      </c>
      <c r="AE19" s="1" t="s">
        <v>963</v>
      </c>
      <c r="AF19">
        <v>619491355</v>
      </c>
      <c r="AG19" s="1" t="s">
        <v>956</v>
      </c>
      <c r="AH19" s="1" t="s">
        <v>937</v>
      </c>
      <c r="AI19" s="1" t="s">
        <v>964</v>
      </c>
      <c r="AJ19" s="1" t="s">
        <v>965</v>
      </c>
      <c r="AK19">
        <v>381474094</v>
      </c>
      <c r="AL19" s="1" t="s">
        <v>1003</v>
      </c>
      <c r="AM19" s="1" t="s">
        <v>1190</v>
      </c>
      <c r="AN19" s="1" t="s">
        <v>966</v>
      </c>
      <c r="AO19" s="1" t="s">
        <v>967</v>
      </c>
      <c r="AP19">
        <v>381474092</v>
      </c>
      <c r="AQ19" s="1" t="s">
        <v>992</v>
      </c>
      <c r="AR19" s="1" t="s">
        <v>1087</v>
      </c>
      <c r="AS19" s="1" t="s">
        <v>968</v>
      </c>
      <c r="AT19" s="1" t="s">
        <v>969</v>
      </c>
      <c r="AU19">
        <v>381475077</v>
      </c>
      <c r="AV19" s="1" t="s">
        <v>1204</v>
      </c>
      <c r="AW19" s="1" t="s">
        <v>1216</v>
      </c>
      <c r="AX19" s="1" t="s">
        <v>945</v>
      </c>
      <c r="AY19">
        <v>770016945</v>
      </c>
      <c r="AZ19" s="1" t="s">
        <v>946</v>
      </c>
      <c r="BA19">
        <v>629385382</v>
      </c>
      <c r="BB19" s="1" t="s">
        <v>970</v>
      </c>
      <c r="BC19" s="1" t="s">
        <v>971</v>
      </c>
      <c r="BD19">
        <v>25</v>
      </c>
      <c r="BE19">
        <v>381474090</v>
      </c>
      <c r="BF19">
        <v>47.26220703125</v>
      </c>
      <c r="BG19">
        <v>6.0579528808593697</v>
      </c>
      <c r="BH19">
        <v>451647903</v>
      </c>
      <c r="BI19">
        <v>157</v>
      </c>
      <c r="BJ19" s="2">
        <v>35543</v>
      </c>
      <c r="BK19" s="1" t="s">
        <v>3292</v>
      </c>
      <c r="BL19" s="1" t="s">
        <v>290</v>
      </c>
      <c r="BM19" s="1" t="s">
        <v>291</v>
      </c>
      <c r="BN19" s="1" t="s">
        <v>292</v>
      </c>
      <c r="BO19" s="1" t="s">
        <v>291</v>
      </c>
      <c r="BP19" s="1" t="s">
        <v>293</v>
      </c>
      <c r="BQ19" s="1" t="s">
        <v>294</v>
      </c>
      <c r="BR19">
        <v>80</v>
      </c>
      <c r="BS19">
        <v>19795851.199999999</v>
      </c>
      <c r="BT19" s="1" t="s">
        <v>295</v>
      </c>
      <c r="BU19" s="1" t="s">
        <v>359</v>
      </c>
      <c r="BV19">
        <v>320146</v>
      </c>
      <c r="BW19">
        <v>1.0869644477288736E-2</v>
      </c>
      <c r="BX19">
        <v>57.400013186523402</v>
      </c>
      <c r="BY19">
        <v>2.5119063317289752</v>
      </c>
      <c r="BZ19">
        <v>5.5424660996461625</v>
      </c>
      <c r="CA19">
        <v>65.454385617898538</v>
      </c>
      <c r="CB19" s="1" t="s">
        <v>443</v>
      </c>
      <c r="CC19">
        <v>2</v>
      </c>
      <c r="CD19" s="1" t="s">
        <v>402</v>
      </c>
      <c r="CE19" s="1" t="s">
        <v>504</v>
      </c>
      <c r="CF19">
        <v>1106</v>
      </c>
      <c r="CG19" s="1" t="s">
        <v>362</v>
      </c>
      <c r="CH19" s="1" t="s">
        <v>972</v>
      </c>
      <c r="CI19" s="1" t="s">
        <v>973</v>
      </c>
      <c r="CJ19" s="1" t="s">
        <v>972</v>
      </c>
      <c r="CK19" s="1" t="s">
        <v>302</v>
      </c>
      <c r="CL19" s="1" t="s">
        <v>974</v>
      </c>
      <c r="CM19">
        <v>3020409000020</v>
      </c>
      <c r="CO19" s="1"/>
      <c r="CP19" s="1" t="s">
        <v>872</v>
      </c>
      <c r="CQ19" s="1" t="s">
        <v>406</v>
      </c>
      <c r="CR19" s="1" t="s">
        <v>505</v>
      </c>
      <c r="CS19">
        <v>5749</v>
      </c>
      <c r="CT19">
        <v>2902</v>
      </c>
      <c r="CU19">
        <v>3000</v>
      </c>
      <c r="CV19" s="1" t="s">
        <v>309</v>
      </c>
      <c r="CW19" s="1" t="s">
        <v>308</v>
      </c>
      <c r="CX19">
        <v>500</v>
      </c>
      <c r="CY19">
        <v>2630</v>
      </c>
      <c r="CZ19" t="s">
        <v>368</v>
      </c>
      <c r="DA19" s="1" t="s">
        <v>309</v>
      </c>
      <c r="DB19">
        <v>2931</v>
      </c>
      <c r="DC19">
        <v>2847</v>
      </c>
      <c r="DD19">
        <v>84</v>
      </c>
      <c r="DE19">
        <v>0</v>
      </c>
      <c r="DF19">
        <v>1285</v>
      </c>
      <c r="DG19">
        <v>1562</v>
      </c>
      <c r="DH19">
        <v>0</v>
      </c>
      <c r="DI19">
        <v>0</v>
      </c>
      <c r="DJ19">
        <v>0</v>
      </c>
      <c r="DK19" s="1" t="s">
        <v>557</v>
      </c>
      <c r="DL19" s="1" t="s">
        <v>741</v>
      </c>
      <c r="DM19">
        <v>500</v>
      </c>
      <c r="DN19" s="1"/>
      <c r="DO19">
        <v>676</v>
      </c>
      <c r="DP19">
        <v>0</v>
      </c>
      <c r="DQ19">
        <v>676</v>
      </c>
      <c r="DR19" s="1"/>
      <c r="DS19">
        <v>1386</v>
      </c>
      <c r="DT19">
        <v>60</v>
      </c>
      <c r="DU19">
        <v>391</v>
      </c>
      <c r="DV19">
        <v>76</v>
      </c>
      <c r="DW19" s="1" t="s">
        <v>558</v>
      </c>
      <c r="DX19">
        <v>17</v>
      </c>
      <c r="DZ19">
        <v>3</v>
      </c>
      <c r="EA19">
        <v>2</v>
      </c>
      <c r="EB19">
        <v>8</v>
      </c>
      <c r="EC19">
        <v>2</v>
      </c>
      <c r="ED19">
        <v>0</v>
      </c>
      <c r="EE19">
        <v>0</v>
      </c>
      <c r="EF19">
        <v>12</v>
      </c>
      <c r="EG19">
        <v>2010</v>
      </c>
      <c r="EI19" s="1"/>
      <c r="EJ19" s="1" t="s">
        <v>313</v>
      </c>
      <c r="EK19" s="1" t="s">
        <v>314</v>
      </c>
      <c r="EL19">
        <v>26</v>
      </c>
      <c r="EM19">
        <v>23</v>
      </c>
      <c r="EN19">
        <v>11</v>
      </c>
      <c r="EO19" s="1" t="s">
        <v>315</v>
      </c>
      <c r="EP19">
        <v>21</v>
      </c>
      <c r="EQ19">
        <v>129.23080395856337</v>
      </c>
      <c r="ER19" s="1" t="s">
        <v>480</v>
      </c>
      <c r="ES19">
        <v>8.4648998226133223</v>
      </c>
      <c r="ET19">
        <v>0</v>
      </c>
      <c r="EU19" s="1"/>
      <c r="EV19">
        <v>167.41690760279681</v>
      </c>
      <c r="EW19">
        <v>0</v>
      </c>
      <c r="EX19" t="s">
        <v>316</v>
      </c>
      <c r="EY19">
        <v>0</v>
      </c>
      <c r="EZ19" s="1" t="s">
        <v>317</v>
      </c>
      <c r="FA19" s="2"/>
      <c r="FB19" s="1" t="s">
        <v>318</v>
      </c>
      <c r="FC19">
        <v>2</v>
      </c>
      <c r="FD19" s="1"/>
      <c r="FE19" s="2"/>
      <c r="FF19" s="1"/>
      <c r="FG19" s="1" t="s">
        <v>322</v>
      </c>
      <c r="FH19" s="1" t="s">
        <v>322</v>
      </c>
      <c r="FI19" s="1" t="s">
        <v>322</v>
      </c>
      <c r="FJ19" s="1" t="s">
        <v>322</v>
      </c>
      <c r="FK19" s="1" t="s">
        <v>320</v>
      </c>
      <c r="FL19">
        <v>18.920000000000002</v>
      </c>
      <c r="FM19">
        <v>5551.8659066232349</v>
      </c>
      <c r="FN19" s="1" t="s">
        <v>321</v>
      </c>
      <c r="FO19" s="1" t="s">
        <v>319</v>
      </c>
      <c r="FP19" s="1" t="s">
        <v>323</v>
      </c>
      <c r="FQ19" s="1" t="s">
        <v>559</v>
      </c>
      <c r="FR19" s="1" t="s">
        <v>325</v>
      </c>
      <c r="FS19" s="1"/>
      <c r="FT19" s="1" t="s">
        <v>326</v>
      </c>
      <c r="FU19">
        <v>494198191</v>
      </c>
      <c r="FV19" s="1" t="s">
        <v>322</v>
      </c>
      <c r="FW19" s="1" t="s">
        <v>322</v>
      </c>
      <c r="FX19" s="1" t="s">
        <v>322</v>
      </c>
      <c r="FY19" s="1" t="s">
        <v>322</v>
      </c>
      <c r="FZ19" s="1" t="s">
        <v>322</v>
      </c>
      <c r="GA19" s="1" t="s">
        <v>322</v>
      </c>
      <c r="GB19" s="1" t="s">
        <v>319</v>
      </c>
      <c r="GC19" s="1" t="s">
        <v>319</v>
      </c>
      <c r="GD19" s="1" t="s">
        <v>319</v>
      </c>
      <c r="GE19" s="1" t="s">
        <v>319</v>
      </c>
      <c r="GF19" s="1" t="s">
        <v>415</v>
      </c>
      <c r="GG19" s="1"/>
      <c r="GH19" s="1" t="s">
        <v>319</v>
      </c>
      <c r="GI19" s="1"/>
      <c r="GJ19" s="1" t="s">
        <v>322</v>
      </c>
      <c r="GK19" s="2">
        <v>42370</v>
      </c>
      <c r="GL19" s="1" t="s">
        <v>322</v>
      </c>
      <c r="GM19" s="1" t="s">
        <v>322</v>
      </c>
      <c r="GN19">
        <v>43188</v>
      </c>
      <c r="GO19" s="1" t="s">
        <v>319</v>
      </c>
      <c r="GQ19" s="1"/>
      <c r="GR19" s="1"/>
      <c r="GS19" s="1"/>
      <c r="GT19" s="1" t="s">
        <v>322</v>
      </c>
      <c r="GU19" s="1" t="s">
        <v>975</v>
      </c>
      <c r="GV19" s="1" t="s">
        <v>322</v>
      </c>
      <c r="GW19" s="1" t="s">
        <v>319</v>
      </c>
      <c r="GX19" s="1" t="s">
        <v>322</v>
      </c>
      <c r="GY19" s="1" t="s">
        <v>319</v>
      </c>
      <c r="GZ19" s="1" t="s">
        <v>319</v>
      </c>
      <c r="HA19" s="2">
        <v>44091</v>
      </c>
      <c r="HB19" s="2">
        <v>42625</v>
      </c>
      <c r="HC19" s="1"/>
      <c r="HD19" s="1"/>
      <c r="HE19" s="1"/>
      <c r="HF19" s="1"/>
      <c r="HG19" s="1"/>
      <c r="HH19" s="1"/>
      <c r="HI19" s="1" t="s">
        <v>322</v>
      </c>
      <c r="HJ19" s="1" t="s">
        <v>330</v>
      </c>
      <c r="HK19" s="2"/>
      <c r="HL19" s="1" t="s">
        <v>322</v>
      </c>
      <c r="HM19" s="1" t="s">
        <v>322</v>
      </c>
      <c r="HN19" s="1" t="s">
        <v>322</v>
      </c>
      <c r="HO19" s="1"/>
      <c r="HP19" s="1"/>
      <c r="HQ19" s="1"/>
      <c r="HR19" s="1"/>
      <c r="HS19" s="1"/>
      <c r="HT19" s="1"/>
      <c r="HU19" s="1" t="s">
        <v>331</v>
      </c>
      <c r="HV19">
        <v>4621969010</v>
      </c>
      <c r="HW19">
        <v>40638161</v>
      </c>
      <c r="HX19">
        <v>99102564303</v>
      </c>
      <c r="HY19" s="1" t="s">
        <v>976</v>
      </c>
      <c r="HZ19">
        <v>4320716</v>
      </c>
      <c r="IA19">
        <v>4321029</v>
      </c>
      <c r="IB19" s="1" t="s">
        <v>977</v>
      </c>
      <c r="IC19">
        <v>830112</v>
      </c>
      <c r="ID19" s="1" t="s">
        <v>978</v>
      </c>
      <c r="IE19">
        <v>1.43</v>
      </c>
      <c r="IF19">
        <v>2.13</v>
      </c>
      <c r="IG19">
        <v>2.23</v>
      </c>
      <c r="IH19">
        <v>2.14</v>
      </c>
      <c r="II19">
        <v>3.12</v>
      </c>
      <c r="IJ19">
        <v>4.3499999999999996</v>
      </c>
      <c r="IK19">
        <v>4.3499999999999996</v>
      </c>
    </row>
    <row r="20" spans="1:245" x14ac:dyDescent="0.3">
      <c r="A20">
        <v>1784</v>
      </c>
      <c r="B20">
        <v>2398</v>
      </c>
      <c r="C20" s="1" t="s">
        <v>1757</v>
      </c>
      <c r="D20" s="1" t="s">
        <v>1451</v>
      </c>
      <c r="E20" t="s">
        <v>3275</v>
      </c>
      <c r="F20" s="1" t="s">
        <v>1728</v>
      </c>
      <c r="G20" s="1" t="s">
        <v>1729</v>
      </c>
      <c r="H20">
        <v>626529799</v>
      </c>
      <c r="I20" s="1" t="s">
        <v>1758</v>
      </c>
      <c r="J20" s="1" t="s">
        <v>1759</v>
      </c>
      <c r="K20">
        <v>624947443</v>
      </c>
      <c r="L20">
        <v>44375</v>
      </c>
      <c r="M20" s="1" t="s">
        <v>524</v>
      </c>
      <c r="N20" s="1"/>
      <c r="P20" s="1"/>
      <c r="Q20" s="1" t="s">
        <v>1898</v>
      </c>
      <c r="R20" s="1" t="s">
        <v>1875</v>
      </c>
      <c r="S20" s="1" t="s">
        <v>1760</v>
      </c>
      <c r="T20" s="1" t="s">
        <v>1761</v>
      </c>
      <c r="U20">
        <v>321637300</v>
      </c>
      <c r="V20" s="1" t="s">
        <v>276</v>
      </c>
      <c r="W20" s="1" t="s">
        <v>1873</v>
      </c>
      <c r="X20" s="1" t="s">
        <v>1734</v>
      </c>
      <c r="Y20" s="1" t="s">
        <v>1762</v>
      </c>
      <c r="Z20" s="1" t="s">
        <v>1763</v>
      </c>
      <c r="AA20">
        <v>320282676</v>
      </c>
      <c r="AB20" s="1" t="s">
        <v>1764</v>
      </c>
      <c r="AC20" s="1" t="s">
        <v>1806</v>
      </c>
      <c r="AD20" s="1" t="s">
        <v>1765</v>
      </c>
      <c r="AE20" s="1" t="s">
        <v>1766</v>
      </c>
      <c r="AF20">
        <v>321637300</v>
      </c>
      <c r="AG20" s="1" t="s">
        <v>1950</v>
      </c>
      <c r="AH20" s="1" t="s">
        <v>1835</v>
      </c>
      <c r="AI20" s="1" t="s">
        <v>1767</v>
      </c>
      <c r="AJ20" s="1" t="s">
        <v>1768</v>
      </c>
      <c r="AK20">
        <v>698542765</v>
      </c>
      <c r="AL20" s="1" t="s">
        <v>1920</v>
      </c>
      <c r="AM20" s="1" t="s">
        <v>1858</v>
      </c>
      <c r="AN20" s="1" t="s">
        <v>1769</v>
      </c>
      <c r="AO20" s="1" t="s">
        <v>1770</v>
      </c>
      <c r="AP20">
        <v>321637302</v>
      </c>
      <c r="AQ20" s="1" t="s">
        <v>1730</v>
      </c>
      <c r="AR20" s="1" t="s">
        <v>1740</v>
      </c>
      <c r="AS20" s="1" t="s">
        <v>1771</v>
      </c>
      <c r="AT20" s="1" t="s">
        <v>1772</v>
      </c>
      <c r="AU20">
        <v>321637314</v>
      </c>
      <c r="AV20" s="1" t="s">
        <v>1850</v>
      </c>
      <c r="AW20" s="1" t="s">
        <v>1955</v>
      </c>
      <c r="AX20" s="1" t="s">
        <v>1744</v>
      </c>
      <c r="AY20">
        <v>617425652</v>
      </c>
      <c r="AZ20" s="1" t="s">
        <v>660</v>
      </c>
      <c r="BA20">
        <v>678409252</v>
      </c>
      <c r="BB20" s="1" t="s">
        <v>1773</v>
      </c>
      <c r="BC20" s="1" t="s">
        <v>1774</v>
      </c>
      <c r="BD20">
        <v>62</v>
      </c>
      <c r="BE20">
        <v>321637300</v>
      </c>
      <c r="BF20">
        <v>50.5419921875</v>
      </c>
      <c r="BG20">
        <v>2.6501007080078098</v>
      </c>
      <c r="BH20">
        <v>451647903</v>
      </c>
      <c r="BI20">
        <v>777</v>
      </c>
      <c r="BJ20" s="2">
        <v>38919</v>
      </c>
      <c r="BK20" s="1" t="s">
        <v>3306</v>
      </c>
      <c r="BL20" s="1" t="s">
        <v>290</v>
      </c>
      <c r="BM20" s="1" t="s">
        <v>291</v>
      </c>
      <c r="BN20" s="1" t="s">
        <v>292</v>
      </c>
      <c r="BO20" s="1" t="s">
        <v>291</v>
      </c>
      <c r="BP20" s="1" t="s">
        <v>293</v>
      </c>
      <c r="BQ20" s="1" t="s">
        <v>294</v>
      </c>
      <c r="BR20">
        <v>80</v>
      </c>
      <c r="BS20">
        <v>15004909.460000001</v>
      </c>
      <c r="BT20" s="1" t="s">
        <v>295</v>
      </c>
      <c r="BU20" s="1" t="s">
        <v>663</v>
      </c>
      <c r="BV20">
        <v>255803</v>
      </c>
      <c r="BW20">
        <v>1.3331408096891744E-2</v>
      </c>
      <c r="BX20">
        <v>44.314168919364398</v>
      </c>
      <c r="BY20">
        <v>4.5500208786620053</v>
      </c>
      <c r="BZ20">
        <v>2.0511411837102482</v>
      </c>
      <c r="CA20">
        <v>50.915330981736652</v>
      </c>
      <c r="CB20" s="1" t="s">
        <v>297</v>
      </c>
      <c r="CC20">
        <v>1</v>
      </c>
      <c r="CD20" s="1" t="s">
        <v>298</v>
      </c>
      <c r="CE20" s="1" t="s">
        <v>299</v>
      </c>
      <c r="CF20">
        <v>1101</v>
      </c>
      <c r="CG20" s="1" t="s">
        <v>300</v>
      </c>
      <c r="CH20" s="1" t="s">
        <v>1474</v>
      </c>
      <c r="CI20" s="1" t="s">
        <v>1475</v>
      </c>
      <c r="CJ20" s="1" t="s">
        <v>1474</v>
      </c>
      <c r="CK20" s="1" t="s">
        <v>1475</v>
      </c>
      <c r="CL20" s="1" t="s">
        <v>1476</v>
      </c>
      <c r="CM20">
        <v>3020409000010</v>
      </c>
      <c r="CO20" s="1"/>
      <c r="CP20" s="1" t="s">
        <v>304</v>
      </c>
      <c r="CQ20" s="1" t="s">
        <v>406</v>
      </c>
      <c r="CR20" s="1" t="s">
        <v>306</v>
      </c>
      <c r="CS20">
        <v>8647</v>
      </c>
      <c r="CT20">
        <v>4970</v>
      </c>
      <c r="CU20" t="s">
        <v>693</v>
      </c>
      <c r="CV20" s="1" t="s">
        <v>478</v>
      </c>
      <c r="CW20" s="1" t="s">
        <v>308</v>
      </c>
      <c r="CY20">
        <v>3677</v>
      </c>
      <c r="CZ20">
        <v>3500</v>
      </c>
      <c r="DA20" s="1" t="s">
        <v>307</v>
      </c>
      <c r="DB20">
        <v>3677</v>
      </c>
      <c r="DC20">
        <v>3677</v>
      </c>
      <c r="DD20">
        <v>0</v>
      </c>
      <c r="DE20">
        <v>0</v>
      </c>
      <c r="DF20">
        <v>1911</v>
      </c>
      <c r="DG20">
        <v>1766</v>
      </c>
      <c r="DH20">
        <v>0</v>
      </c>
      <c r="DI20">
        <v>0</v>
      </c>
      <c r="DJ20">
        <v>0</v>
      </c>
      <c r="DK20" s="1" t="s">
        <v>409</v>
      </c>
      <c r="DL20" s="1" t="s">
        <v>1775</v>
      </c>
      <c r="DN20" s="1"/>
      <c r="DO20">
        <v>1200</v>
      </c>
      <c r="DP20">
        <v>0</v>
      </c>
      <c r="DQ20">
        <v>1200</v>
      </c>
      <c r="DR20" s="1" t="s">
        <v>479</v>
      </c>
      <c r="DS20">
        <v>690</v>
      </c>
      <c r="DT20">
        <v>83</v>
      </c>
      <c r="DU20">
        <v>278</v>
      </c>
      <c r="DV20">
        <v>253</v>
      </c>
      <c r="DW20" s="1" t="s">
        <v>371</v>
      </c>
      <c r="DX20">
        <v>12</v>
      </c>
      <c r="DZ20">
        <v>2</v>
      </c>
      <c r="EA20">
        <v>2</v>
      </c>
      <c r="EB20">
        <v>8</v>
      </c>
      <c r="EC20">
        <v>2</v>
      </c>
      <c r="ED20">
        <v>0</v>
      </c>
      <c r="EE20">
        <v>0</v>
      </c>
      <c r="EF20">
        <v>12</v>
      </c>
      <c r="EG20">
        <v>2012</v>
      </c>
      <c r="EI20" s="1"/>
      <c r="EJ20" s="1" t="s">
        <v>313</v>
      </c>
      <c r="EK20" s="1" t="s">
        <v>314</v>
      </c>
      <c r="EL20">
        <v>25</v>
      </c>
      <c r="EM20">
        <v>17</v>
      </c>
      <c r="EN20">
        <v>11</v>
      </c>
      <c r="EO20" s="1" t="s">
        <v>1290</v>
      </c>
      <c r="EP20">
        <v>20</v>
      </c>
      <c r="EQ20">
        <v>75.872687789964957</v>
      </c>
      <c r="ER20" s="1" t="s">
        <v>316</v>
      </c>
      <c r="ES20">
        <v>6.5477319534044494</v>
      </c>
      <c r="ET20">
        <v>0</v>
      </c>
      <c r="EU20" s="1"/>
      <c r="EV20">
        <v>87.820611045146279</v>
      </c>
      <c r="EW20">
        <v>0</v>
      </c>
      <c r="EX20" t="s">
        <v>316</v>
      </c>
      <c r="EY20">
        <v>0</v>
      </c>
      <c r="EZ20" s="1" t="s">
        <v>317</v>
      </c>
      <c r="FA20" s="2"/>
      <c r="FB20" s="1" t="s">
        <v>318</v>
      </c>
      <c r="FC20">
        <v>1</v>
      </c>
      <c r="FD20" s="1"/>
      <c r="FE20" s="2"/>
      <c r="FF20" s="1"/>
      <c r="FG20" s="1" t="s">
        <v>319</v>
      </c>
      <c r="FH20" s="1" t="s">
        <v>319</v>
      </c>
      <c r="FI20" s="1" t="s">
        <v>319</v>
      </c>
      <c r="FJ20" s="1" t="s">
        <v>319</v>
      </c>
      <c r="FK20" s="1" t="s">
        <v>320</v>
      </c>
      <c r="FL20">
        <v>18.920000000000002</v>
      </c>
      <c r="FM20">
        <v>4085.3546869344914</v>
      </c>
      <c r="FN20" s="1" t="s">
        <v>1525</v>
      </c>
      <c r="FO20" s="1" t="s">
        <v>322</v>
      </c>
      <c r="FP20" s="1" t="s">
        <v>323</v>
      </c>
      <c r="FQ20" s="1" t="s">
        <v>559</v>
      </c>
      <c r="FR20" s="1" t="s">
        <v>325</v>
      </c>
      <c r="FS20" s="1" t="s">
        <v>1750</v>
      </c>
      <c r="FT20" s="1" t="s">
        <v>326</v>
      </c>
      <c r="FU20">
        <v>494198191</v>
      </c>
      <c r="FV20" s="1" t="s">
        <v>322</v>
      </c>
      <c r="FW20" s="1" t="s">
        <v>319</v>
      </c>
      <c r="FX20" s="1" t="s">
        <v>322</v>
      </c>
      <c r="FY20" s="1" t="s">
        <v>1752</v>
      </c>
      <c r="FZ20" s="1" t="s">
        <v>322</v>
      </c>
      <c r="GA20" s="1" t="s">
        <v>322</v>
      </c>
      <c r="GB20" s="1"/>
      <c r="GC20" s="1"/>
      <c r="GD20" s="1" t="s">
        <v>319</v>
      </c>
      <c r="GE20" s="1" t="s">
        <v>319</v>
      </c>
      <c r="GF20" s="1" t="s">
        <v>415</v>
      </c>
      <c r="GG20" s="1"/>
      <c r="GH20" s="1" t="s">
        <v>319</v>
      </c>
      <c r="GI20" s="1" t="s">
        <v>1776</v>
      </c>
      <c r="GJ20" s="1" t="s">
        <v>322</v>
      </c>
      <c r="GK20" s="2">
        <v>42005</v>
      </c>
      <c r="GL20" s="1" t="s">
        <v>322</v>
      </c>
      <c r="GM20" s="1" t="s">
        <v>322</v>
      </c>
      <c r="GN20">
        <v>42954</v>
      </c>
      <c r="GO20" s="1" t="s">
        <v>319</v>
      </c>
      <c r="GQ20" s="1"/>
      <c r="GR20" s="1"/>
      <c r="GS20" s="1"/>
      <c r="GT20" s="1" t="s">
        <v>322</v>
      </c>
      <c r="GU20" s="1" t="s">
        <v>1777</v>
      </c>
      <c r="GV20" s="1" t="s">
        <v>322</v>
      </c>
      <c r="GW20" s="1" t="s">
        <v>322</v>
      </c>
      <c r="GX20" s="1" t="s">
        <v>319</v>
      </c>
      <c r="GY20" s="1" t="s">
        <v>319</v>
      </c>
      <c r="GZ20" s="1" t="s">
        <v>319</v>
      </c>
      <c r="HA20" s="2">
        <v>44081</v>
      </c>
      <c r="HB20" s="2">
        <v>42653</v>
      </c>
      <c r="HC20" s="1"/>
      <c r="HD20" s="1"/>
      <c r="HE20" s="1"/>
      <c r="HF20" s="1"/>
      <c r="HG20" s="1"/>
      <c r="HH20" s="1"/>
      <c r="HI20" s="1" t="s">
        <v>319</v>
      </c>
      <c r="HJ20" s="1" t="s">
        <v>921</v>
      </c>
      <c r="HK20" s="2">
        <v>42736</v>
      </c>
      <c r="HL20" s="1"/>
      <c r="HM20" s="1" t="s">
        <v>322</v>
      </c>
      <c r="HN20" s="1" t="s">
        <v>322</v>
      </c>
      <c r="HO20" s="1"/>
      <c r="HP20" s="1"/>
      <c r="HQ20" s="1"/>
      <c r="HR20" s="1"/>
      <c r="HS20" s="1"/>
      <c r="HT20" s="1"/>
      <c r="HU20" s="1" t="s">
        <v>331</v>
      </c>
      <c r="HV20">
        <v>4624430016</v>
      </c>
      <c r="HW20">
        <v>40638528</v>
      </c>
      <c r="HX20">
        <v>99102567850</v>
      </c>
      <c r="HY20" s="1" t="s">
        <v>1778</v>
      </c>
      <c r="HZ20">
        <v>4319347</v>
      </c>
      <c r="IA20">
        <v>4321787</v>
      </c>
      <c r="IB20" s="1" t="s">
        <v>1779</v>
      </c>
      <c r="IC20">
        <v>830257</v>
      </c>
      <c r="ID20" s="1" t="s">
        <v>1780</v>
      </c>
      <c r="IE20">
        <v>6.65</v>
      </c>
      <c r="IF20">
        <v>8.31</v>
      </c>
      <c r="IG20">
        <v>6.64</v>
      </c>
      <c r="IH20">
        <v>5.31</v>
      </c>
      <c r="II20">
        <v>5.7</v>
      </c>
      <c r="IJ20">
        <v>8.6999999999999993</v>
      </c>
      <c r="IK20">
        <v>8.6999999999999993</v>
      </c>
    </row>
    <row r="21" spans="1:245" x14ac:dyDescent="0.3">
      <c r="A21">
        <v>1902</v>
      </c>
      <c r="B21">
        <v>2412</v>
      </c>
      <c r="C21" s="1" t="s">
        <v>3112</v>
      </c>
      <c r="D21" s="1" t="s">
        <v>336</v>
      </c>
      <c r="E21" t="s">
        <v>3275</v>
      </c>
      <c r="F21" s="1" t="s">
        <v>1149</v>
      </c>
      <c r="G21" s="1" t="s">
        <v>1150</v>
      </c>
      <c r="H21">
        <v>617425644</v>
      </c>
      <c r="I21" s="1" t="s">
        <v>3113</v>
      </c>
      <c r="J21" s="1" t="s">
        <v>3114</v>
      </c>
      <c r="L21">
        <v>44205</v>
      </c>
      <c r="M21" s="1" t="s">
        <v>3115</v>
      </c>
      <c r="N21" s="1" t="s">
        <v>3116</v>
      </c>
      <c r="O21">
        <v>467097668</v>
      </c>
      <c r="P21" s="1" t="s">
        <v>273</v>
      </c>
      <c r="Q21" s="1" t="s">
        <v>1151</v>
      </c>
      <c r="R21" s="1" t="s">
        <v>3117</v>
      </c>
      <c r="S21" s="1" t="s">
        <v>3118</v>
      </c>
      <c r="T21" s="1" t="s">
        <v>3119</v>
      </c>
      <c r="U21">
        <v>467097660</v>
      </c>
      <c r="V21" s="1" t="s">
        <v>276</v>
      </c>
      <c r="W21" s="1" t="s">
        <v>3159</v>
      </c>
      <c r="X21" s="1" t="s">
        <v>3232</v>
      </c>
      <c r="Y21" s="1" t="s">
        <v>3120</v>
      </c>
      <c r="Z21" s="1" t="s">
        <v>3121</v>
      </c>
      <c r="AA21">
        <v>467097664</v>
      </c>
      <c r="AB21" s="1" t="s">
        <v>3248</v>
      </c>
      <c r="AC21" s="1" t="s">
        <v>1157</v>
      </c>
      <c r="AD21" s="1" t="s">
        <v>3122</v>
      </c>
      <c r="AE21" s="1" t="s">
        <v>3123</v>
      </c>
      <c r="AF21">
        <v>467097666</v>
      </c>
      <c r="AG21" s="1" t="s">
        <v>3204</v>
      </c>
      <c r="AH21" s="1" t="s">
        <v>3236</v>
      </c>
      <c r="AI21" s="1" t="s">
        <v>3124</v>
      </c>
      <c r="AJ21" s="1" t="s">
        <v>3125</v>
      </c>
      <c r="AK21">
        <v>633338694</v>
      </c>
      <c r="AL21" s="1" t="s">
        <v>3090</v>
      </c>
      <c r="AM21" s="1" t="s">
        <v>3124</v>
      </c>
      <c r="AN21" s="1" t="s">
        <v>3126</v>
      </c>
      <c r="AO21" s="1" t="s">
        <v>3127</v>
      </c>
      <c r="AP21">
        <v>467097662</v>
      </c>
      <c r="AQ21" s="1" t="s">
        <v>3228</v>
      </c>
      <c r="AR21" s="1" t="s">
        <v>1165</v>
      </c>
      <c r="AS21" s="1" t="s">
        <v>3128</v>
      </c>
      <c r="AT21" s="1" t="s">
        <v>3129</v>
      </c>
      <c r="AU21">
        <v>467097667</v>
      </c>
      <c r="AV21" s="1" t="s">
        <v>3138</v>
      </c>
      <c r="AW21" s="1" t="s">
        <v>1168</v>
      </c>
      <c r="AX21" s="1" t="s">
        <v>1169</v>
      </c>
      <c r="AY21">
        <v>628020683</v>
      </c>
      <c r="AZ21" s="1" t="s">
        <v>946</v>
      </c>
      <c r="BA21">
        <v>629385381</v>
      </c>
      <c r="BB21" s="1" t="s">
        <v>3130</v>
      </c>
      <c r="BC21" s="1" t="s">
        <v>3131</v>
      </c>
      <c r="BD21">
        <v>34</v>
      </c>
      <c r="BE21">
        <v>467097660</v>
      </c>
      <c r="BF21">
        <v>43.3084716796875</v>
      </c>
      <c r="BG21">
        <v>3.1692733764648402</v>
      </c>
      <c r="BH21">
        <v>451647903</v>
      </c>
      <c r="BI21">
        <v>983</v>
      </c>
      <c r="BJ21" s="2">
        <v>39540</v>
      </c>
      <c r="BK21" s="1" t="s">
        <v>3327</v>
      </c>
      <c r="BL21" s="1" t="s">
        <v>290</v>
      </c>
      <c r="BM21" s="1" t="s">
        <v>291</v>
      </c>
      <c r="BN21" s="1" t="s">
        <v>292</v>
      </c>
      <c r="BO21" s="1" t="s">
        <v>291</v>
      </c>
      <c r="BP21" s="1" t="s">
        <v>293</v>
      </c>
      <c r="BQ21" s="1" t="s">
        <v>294</v>
      </c>
      <c r="BR21">
        <v>80</v>
      </c>
      <c r="BS21">
        <v>34381147.07</v>
      </c>
      <c r="BT21" s="1" t="s">
        <v>295</v>
      </c>
      <c r="BU21" s="1" t="s">
        <v>555</v>
      </c>
      <c r="BV21">
        <v>494225</v>
      </c>
      <c r="BW21">
        <v>8.3625018032133184E-3</v>
      </c>
      <c r="BX21">
        <v>71.828311465682106</v>
      </c>
      <c r="BY21">
        <v>1.1309476714797466</v>
      </c>
      <c r="BZ21">
        <v>6.5347519834728898</v>
      </c>
      <c r="CA21">
        <v>79.494011120634738</v>
      </c>
      <c r="CB21" s="1" t="s">
        <v>476</v>
      </c>
      <c r="CC21">
        <v>1</v>
      </c>
      <c r="CD21" s="1" t="s">
        <v>361</v>
      </c>
      <c r="CE21" s="1" t="s">
        <v>361</v>
      </c>
      <c r="CF21">
        <v>1106</v>
      </c>
      <c r="CG21" s="1" t="s">
        <v>362</v>
      </c>
      <c r="CH21" s="1" t="s">
        <v>363</v>
      </c>
      <c r="CI21" s="1" t="s">
        <v>364</v>
      </c>
      <c r="CJ21" s="1" t="s">
        <v>363</v>
      </c>
      <c r="CK21" s="1" t="s">
        <v>364</v>
      </c>
      <c r="CL21" s="1" t="s">
        <v>365</v>
      </c>
      <c r="CM21">
        <v>3601651110000</v>
      </c>
      <c r="CO21" s="1"/>
      <c r="CP21" s="1" t="s">
        <v>444</v>
      </c>
      <c r="CQ21" s="1" t="s">
        <v>367</v>
      </c>
      <c r="CR21" s="1" t="s">
        <v>306</v>
      </c>
      <c r="CS21">
        <v>7819</v>
      </c>
      <c r="CT21">
        <v>5814</v>
      </c>
      <c r="CU21" t="s">
        <v>477</v>
      </c>
      <c r="CV21" s="1" t="s">
        <v>478</v>
      </c>
      <c r="CW21" s="1" t="s">
        <v>308</v>
      </c>
      <c r="CY21">
        <v>2005</v>
      </c>
      <c r="CZ21" t="s">
        <v>368</v>
      </c>
      <c r="DA21" s="1" t="s">
        <v>309</v>
      </c>
      <c r="DB21">
        <v>2005</v>
      </c>
      <c r="DC21">
        <v>2005</v>
      </c>
      <c r="DD21">
        <v>0</v>
      </c>
      <c r="DE21">
        <v>1600</v>
      </c>
      <c r="DF21">
        <v>0</v>
      </c>
      <c r="DG21">
        <v>2005</v>
      </c>
      <c r="DH21">
        <v>0</v>
      </c>
      <c r="DI21">
        <v>0</v>
      </c>
      <c r="DJ21">
        <v>0</v>
      </c>
      <c r="DK21" s="1" t="s">
        <v>369</v>
      </c>
      <c r="DL21" s="1"/>
      <c r="DN21" s="1"/>
      <c r="DO21">
        <v>1230</v>
      </c>
      <c r="DP21">
        <v>0</v>
      </c>
      <c r="DQ21">
        <v>1230</v>
      </c>
      <c r="DR21" s="1"/>
      <c r="DS21">
        <v>900</v>
      </c>
      <c r="DT21">
        <v>106</v>
      </c>
      <c r="DU21">
        <v>358</v>
      </c>
      <c r="DV21">
        <v>400</v>
      </c>
      <c r="DW21" s="1" t="s">
        <v>371</v>
      </c>
      <c r="DX21">
        <v>19</v>
      </c>
      <c r="DY21">
        <v>2018</v>
      </c>
      <c r="DZ21">
        <v>2</v>
      </c>
      <c r="EA21">
        <v>2</v>
      </c>
      <c r="EB21">
        <v>11</v>
      </c>
      <c r="EC21">
        <v>2</v>
      </c>
      <c r="ED21">
        <v>2</v>
      </c>
      <c r="EE21">
        <v>1</v>
      </c>
      <c r="EF21">
        <v>18</v>
      </c>
      <c r="EG21">
        <v>2014</v>
      </c>
      <c r="EI21" s="1"/>
      <c r="EJ21" s="1" t="s">
        <v>313</v>
      </c>
      <c r="EK21" s="1" t="s">
        <v>314</v>
      </c>
      <c r="EL21">
        <v>32</v>
      </c>
      <c r="EM21">
        <v>15</v>
      </c>
      <c r="EN21">
        <v>16</v>
      </c>
      <c r="EO21" s="1" t="s">
        <v>315</v>
      </c>
      <c r="EP21">
        <v>25</v>
      </c>
      <c r="EQ21">
        <v>77.62832226647221</v>
      </c>
      <c r="ER21" s="1" t="s">
        <v>316</v>
      </c>
      <c r="ES21">
        <v>6.8697630324311705</v>
      </c>
      <c r="ET21">
        <v>0</v>
      </c>
      <c r="EU21" s="1"/>
      <c r="EV21">
        <v>89.405058893497085</v>
      </c>
      <c r="EW21">
        <v>0</v>
      </c>
      <c r="EX21" t="s">
        <v>316</v>
      </c>
      <c r="EY21">
        <v>0</v>
      </c>
      <c r="EZ21" s="1" t="s">
        <v>412</v>
      </c>
      <c r="FA21" s="2">
        <v>44197</v>
      </c>
      <c r="FB21" s="1" t="s">
        <v>413</v>
      </c>
      <c r="FC21">
        <v>1</v>
      </c>
      <c r="FD21" s="1"/>
      <c r="FE21" s="2">
        <v>42005</v>
      </c>
      <c r="FF21" s="1"/>
      <c r="FG21" s="1" t="s">
        <v>322</v>
      </c>
      <c r="FH21" s="1" t="s">
        <v>322</v>
      </c>
      <c r="FI21" s="1" t="s">
        <v>322</v>
      </c>
      <c r="FJ21" s="1" t="s">
        <v>319</v>
      </c>
      <c r="FK21" s="1" t="s">
        <v>1143</v>
      </c>
      <c r="FL21">
        <v>18.97</v>
      </c>
      <c r="FM21">
        <v>7828.9737318840589</v>
      </c>
      <c r="FN21" s="1" t="s">
        <v>321</v>
      </c>
      <c r="FO21" s="1" t="s">
        <v>322</v>
      </c>
      <c r="FP21" s="1" t="s">
        <v>323</v>
      </c>
      <c r="FQ21" s="1" t="s">
        <v>559</v>
      </c>
      <c r="FR21" s="1" t="s">
        <v>325</v>
      </c>
      <c r="FS21" s="1"/>
      <c r="FT21" s="1" t="s">
        <v>326</v>
      </c>
      <c r="FU21">
        <v>494198191</v>
      </c>
      <c r="FV21" s="1" t="s">
        <v>319</v>
      </c>
      <c r="FW21" s="1" t="s">
        <v>322</v>
      </c>
      <c r="FX21" s="1" t="s">
        <v>322</v>
      </c>
      <c r="FY21" s="1" t="s">
        <v>322</v>
      </c>
      <c r="FZ21" s="1" t="s">
        <v>322</v>
      </c>
      <c r="GA21" s="1" t="s">
        <v>322</v>
      </c>
      <c r="GB21" s="1" t="s">
        <v>322</v>
      </c>
      <c r="GC21" s="1" t="s">
        <v>322</v>
      </c>
      <c r="GD21" s="1" t="s">
        <v>322</v>
      </c>
      <c r="GE21" s="1" t="s">
        <v>322</v>
      </c>
      <c r="GF21" s="1" t="s">
        <v>415</v>
      </c>
      <c r="GG21" s="1"/>
      <c r="GH21" s="1" t="s">
        <v>319</v>
      </c>
      <c r="GI21" s="1"/>
      <c r="GJ21" s="1" t="s">
        <v>322</v>
      </c>
      <c r="GK21" s="2">
        <v>42005</v>
      </c>
      <c r="GL21" s="1" t="s">
        <v>322</v>
      </c>
      <c r="GM21" s="1" t="s">
        <v>322</v>
      </c>
      <c r="GN21">
        <v>42989</v>
      </c>
      <c r="GO21" s="1" t="s">
        <v>319</v>
      </c>
      <c r="GQ21" s="1"/>
      <c r="GR21" s="1"/>
      <c r="GS21" s="1"/>
      <c r="GT21" s="1" t="s">
        <v>322</v>
      </c>
      <c r="GU21" s="1" t="s">
        <v>3133</v>
      </c>
      <c r="GV21" s="1" t="s">
        <v>319</v>
      </c>
      <c r="GW21" s="1" t="s">
        <v>322</v>
      </c>
      <c r="GX21" s="1" t="s">
        <v>319</v>
      </c>
      <c r="GY21" s="1" t="s">
        <v>319</v>
      </c>
      <c r="GZ21" s="1" t="s">
        <v>319</v>
      </c>
      <c r="HA21" s="2">
        <v>44065</v>
      </c>
      <c r="HB21" s="2">
        <v>42674</v>
      </c>
      <c r="HC21" s="1"/>
      <c r="HD21" s="1"/>
      <c r="HE21" s="1"/>
      <c r="HF21" s="1"/>
      <c r="HG21" s="1"/>
      <c r="HH21" s="1"/>
      <c r="HI21" s="1" t="s">
        <v>322</v>
      </c>
      <c r="HJ21" s="1" t="s">
        <v>794</v>
      </c>
      <c r="HK21" s="2">
        <v>43101</v>
      </c>
      <c r="HL21" s="1"/>
      <c r="HM21" s="1" t="s">
        <v>322</v>
      </c>
      <c r="HN21" s="1" t="s">
        <v>322</v>
      </c>
      <c r="HO21" s="1" t="s">
        <v>322</v>
      </c>
      <c r="HP21" s="1"/>
      <c r="HQ21" s="1"/>
      <c r="HR21" s="1"/>
      <c r="HS21" s="1"/>
      <c r="HT21" s="1"/>
      <c r="HU21" s="1" t="s">
        <v>331</v>
      </c>
      <c r="HV21">
        <v>4626865014</v>
      </c>
      <c r="HW21">
        <v>40639114</v>
      </c>
      <c r="HX21">
        <v>99102571071</v>
      </c>
      <c r="HY21" s="1" t="s">
        <v>3134</v>
      </c>
      <c r="HZ21">
        <v>4310172</v>
      </c>
      <c r="IA21">
        <v>4321325</v>
      </c>
      <c r="IB21" s="1" t="s">
        <v>3135</v>
      </c>
      <c r="IC21">
        <v>830173</v>
      </c>
      <c r="ID21" s="1" t="s">
        <v>3136</v>
      </c>
      <c r="IE21">
        <v>3.14</v>
      </c>
      <c r="IF21">
        <v>2.34</v>
      </c>
      <c r="IG21">
        <v>3.34</v>
      </c>
      <c r="IH21">
        <v>4.34</v>
      </c>
      <c r="II21">
        <v>4.16</v>
      </c>
      <c r="IJ21">
        <v>3.36</v>
      </c>
      <c r="IK21">
        <v>3.36</v>
      </c>
    </row>
    <row r="22" spans="1:245" x14ac:dyDescent="0.3">
      <c r="A22">
        <v>1712</v>
      </c>
      <c r="B22">
        <v>2338</v>
      </c>
      <c r="C22" s="1" t="s">
        <v>699</v>
      </c>
      <c r="D22" s="1" t="s">
        <v>700</v>
      </c>
      <c r="E22" t="s">
        <v>3275</v>
      </c>
      <c r="F22" s="1" t="s">
        <v>643</v>
      </c>
      <c r="G22" s="1" t="s">
        <v>644</v>
      </c>
      <c r="H22">
        <v>610920310</v>
      </c>
      <c r="I22" s="1" t="s">
        <v>701</v>
      </c>
      <c r="J22" s="1" t="s">
        <v>702</v>
      </c>
      <c r="K22">
        <v>619366301</v>
      </c>
      <c r="L22" t="s">
        <v>703</v>
      </c>
      <c r="M22" s="1" t="s">
        <v>704</v>
      </c>
      <c r="N22" s="1" t="s">
        <v>436</v>
      </c>
      <c r="O22">
        <v>254524756</v>
      </c>
      <c r="P22" s="1" t="s">
        <v>273</v>
      </c>
      <c r="Q22" s="1" t="s">
        <v>723</v>
      </c>
      <c r="R22" s="1" t="s">
        <v>647</v>
      </c>
      <c r="S22" s="1" t="s">
        <v>704</v>
      </c>
      <c r="T22" s="1" t="s">
        <v>436</v>
      </c>
      <c r="U22">
        <v>254524756</v>
      </c>
      <c r="V22" s="1"/>
      <c r="W22" s="1" t="s">
        <v>645</v>
      </c>
      <c r="X22" s="1" t="s">
        <v>857</v>
      </c>
      <c r="Y22" s="1" t="s">
        <v>389</v>
      </c>
      <c r="Z22" s="1"/>
      <c r="AB22" s="1" t="s">
        <v>853</v>
      </c>
      <c r="AC22" s="1" t="s">
        <v>777</v>
      </c>
      <c r="AD22" s="1" t="s">
        <v>705</v>
      </c>
      <c r="AE22" s="1" t="s">
        <v>706</v>
      </c>
      <c r="AF22">
        <v>254524747</v>
      </c>
      <c r="AG22" s="1" t="s">
        <v>645</v>
      </c>
      <c r="AH22" s="1" t="s">
        <v>838</v>
      </c>
      <c r="AI22" s="1" t="s">
        <v>707</v>
      </c>
      <c r="AJ22" s="1" t="s">
        <v>708</v>
      </c>
      <c r="AK22">
        <v>254524741</v>
      </c>
      <c r="AL22" s="1" t="s">
        <v>748</v>
      </c>
      <c r="AM22" s="1" t="s">
        <v>685</v>
      </c>
      <c r="AN22" s="1" t="s">
        <v>709</v>
      </c>
      <c r="AO22" s="1" t="s">
        <v>710</v>
      </c>
      <c r="AP22">
        <v>254524744</v>
      </c>
      <c r="AQ22" s="1" t="s">
        <v>830</v>
      </c>
      <c r="AR22" s="1" t="s">
        <v>734</v>
      </c>
      <c r="AS22" s="1" t="s">
        <v>711</v>
      </c>
      <c r="AT22" s="1" t="s">
        <v>712</v>
      </c>
      <c r="AU22">
        <v>254524745</v>
      </c>
      <c r="AV22" s="1" t="s">
        <v>787</v>
      </c>
      <c r="AW22" s="1"/>
      <c r="AX22" s="1" t="s">
        <v>659</v>
      </c>
      <c r="AY22">
        <v>617425663</v>
      </c>
      <c r="AZ22" s="1" t="s">
        <v>660</v>
      </c>
      <c r="BA22">
        <v>678409252</v>
      </c>
      <c r="BB22" s="1" t="s">
        <v>713</v>
      </c>
      <c r="BC22" s="1" t="s">
        <v>714</v>
      </c>
      <c r="BD22">
        <v>41</v>
      </c>
      <c r="BE22">
        <v>254524747</v>
      </c>
      <c r="BF22">
        <v>47.623779296875</v>
      </c>
      <c r="BG22">
        <v>1.29500579833984</v>
      </c>
      <c r="BH22">
        <v>451647903</v>
      </c>
      <c r="BI22">
        <v>389</v>
      </c>
      <c r="BJ22" s="2">
        <v>35508</v>
      </c>
      <c r="BK22" s="1" t="s">
        <v>3286</v>
      </c>
      <c r="BL22" s="1" t="s">
        <v>290</v>
      </c>
      <c r="BM22" s="1" t="s">
        <v>291</v>
      </c>
      <c r="BN22" s="1" t="s">
        <v>292</v>
      </c>
      <c r="BO22" s="1" t="s">
        <v>291</v>
      </c>
      <c r="BP22" s="1" t="s">
        <v>293</v>
      </c>
      <c r="BQ22" s="1" t="s">
        <v>294</v>
      </c>
      <c r="BR22">
        <v>80</v>
      </c>
      <c r="BS22">
        <v>18110325.370000001</v>
      </c>
      <c r="BT22" s="1" t="s">
        <v>295</v>
      </c>
      <c r="BU22" s="1" t="s">
        <v>359</v>
      </c>
      <c r="BV22">
        <v>280861</v>
      </c>
      <c r="BW22">
        <v>7.7520282561564999E-3</v>
      </c>
      <c r="BX22">
        <v>47.657018527065297</v>
      </c>
      <c r="BY22">
        <v>4.3618821564361232</v>
      </c>
      <c r="BZ22">
        <v>4.4995192413353555</v>
      </c>
      <c r="CA22">
        <v>56.518419924836778</v>
      </c>
      <c r="CB22" s="1" t="s">
        <v>715</v>
      </c>
      <c r="CC22">
        <v>1</v>
      </c>
      <c r="CD22" s="1" t="s">
        <v>298</v>
      </c>
      <c r="CE22" s="1" t="s">
        <v>504</v>
      </c>
      <c r="CF22">
        <v>1101</v>
      </c>
      <c r="CG22" s="1" t="s">
        <v>300</v>
      </c>
      <c r="CH22" s="1" t="s">
        <v>301</v>
      </c>
      <c r="CI22" s="1" t="s">
        <v>302</v>
      </c>
      <c r="CJ22" s="1" t="s">
        <v>301</v>
      </c>
      <c r="CK22" s="1" t="s">
        <v>302</v>
      </c>
      <c r="CL22" s="1" t="s">
        <v>303</v>
      </c>
      <c r="CM22">
        <v>3601651117009</v>
      </c>
      <c r="CO22" s="1" t="s">
        <v>322</v>
      </c>
      <c r="CP22" s="1" t="s">
        <v>716</v>
      </c>
      <c r="CQ22" s="1" t="s">
        <v>556</v>
      </c>
      <c r="CR22" s="1" t="s">
        <v>505</v>
      </c>
      <c r="CS22">
        <v>5102</v>
      </c>
      <c r="CT22">
        <v>3790</v>
      </c>
      <c r="CU22">
        <v>3700</v>
      </c>
      <c r="CV22" s="1" t="s">
        <v>307</v>
      </c>
      <c r="CW22" s="1" t="s">
        <v>717</v>
      </c>
      <c r="CY22">
        <v>1312</v>
      </c>
      <c r="CZ22" t="s">
        <v>368</v>
      </c>
      <c r="DA22" s="1" t="s">
        <v>309</v>
      </c>
      <c r="DB22">
        <v>312</v>
      </c>
      <c r="DC22">
        <v>312</v>
      </c>
      <c r="DD22">
        <v>24</v>
      </c>
      <c r="DE22">
        <v>0</v>
      </c>
      <c r="DF22">
        <v>0</v>
      </c>
      <c r="DG22">
        <v>312</v>
      </c>
      <c r="DH22">
        <v>1000</v>
      </c>
      <c r="DI22">
        <v>600</v>
      </c>
      <c r="DJ22">
        <v>400</v>
      </c>
      <c r="DK22" s="1" t="s">
        <v>369</v>
      </c>
      <c r="DL22" s="1" t="s">
        <v>370</v>
      </c>
      <c r="DN22" s="1"/>
      <c r="DO22">
        <v>640</v>
      </c>
      <c r="DP22">
        <v>0</v>
      </c>
      <c r="DQ22">
        <v>640</v>
      </c>
      <c r="DR22" s="1"/>
      <c r="DS22">
        <v>425</v>
      </c>
      <c r="DT22">
        <v>90</v>
      </c>
      <c r="DU22">
        <v>417</v>
      </c>
      <c r="DV22">
        <v>140</v>
      </c>
      <c r="DW22" s="1" t="s">
        <v>558</v>
      </c>
      <c r="DX22">
        <v>20</v>
      </c>
      <c r="DZ22">
        <v>2</v>
      </c>
      <c r="EA22">
        <v>2</v>
      </c>
      <c r="EB22">
        <v>7</v>
      </c>
      <c r="EC22">
        <v>2</v>
      </c>
      <c r="ED22">
        <v>0</v>
      </c>
      <c r="EE22">
        <v>0</v>
      </c>
      <c r="EF22">
        <v>11</v>
      </c>
      <c r="EG22">
        <v>2010</v>
      </c>
      <c r="EI22" s="1"/>
      <c r="EJ22" s="1" t="s">
        <v>313</v>
      </c>
      <c r="EK22" s="1" t="s">
        <v>314</v>
      </c>
      <c r="EL22">
        <v>26</v>
      </c>
      <c r="EM22">
        <v>24</v>
      </c>
      <c r="EN22">
        <v>11</v>
      </c>
      <c r="EO22" s="1" t="s">
        <v>315</v>
      </c>
      <c r="EP22">
        <v>20</v>
      </c>
      <c r="EQ22">
        <v>62.248882349612352</v>
      </c>
      <c r="ER22" s="1" t="s">
        <v>411</v>
      </c>
      <c r="ES22">
        <v>2.382732338741143</v>
      </c>
      <c r="ET22">
        <v>1</v>
      </c>
      <c r="EU22" s="1" t="s">
        <v>249</v>
      </c>
      <c r="EV22">
        <v>130.15675400373493</v>
      </c>
      <c r="EW22">
        <v>0</v>
      </c>
      <c r="EX22" t="s">
        <v>316</v>
      </c>
      <c r="EY22">
        <v>1</v>
      </c>
      <c r="EZ22" s="1" t="s">
        <v>317</v>
      </c>
      <c r="FA22" s="2"/>
      <c r="FB22" s="1" t="s">
        <v>318</v>
      </c>
      <c r="FC22">
        <v>1</v>
      </c>
      <c r="FD22" s="1"/>
      <c r="FE22" s="2"/>
      <c r="FF22" s="1"/>
      <c r="FG22" s="1" t="s">
        <v>319</v>
      </c>
      <c r="FH22" s="1" t="s">
        <v>319</v>
      </c>
      <c r="FI22" s="1" t="s">
        <v>319</v>
      </c>
      <c r="FJ22" s="1" t="s">
        <v>319</v>
      </c>
      <c r="FK22" s="1" t="s">
        <v>320</v>
      </c>
      <c r="FL22">
        <v>18.920000000000002</v>
      </c>
      <c r="FM22">
        <v>4847.8376764386521</v>
      </c>
      <c r="FN22" s="1" t="s">
        <v>321</v>
      </c>
      <c r="FO22" s="1" t="s">
        <v>322</v>
      </c>
      <c r="FP22" s="1" t="s">
        <v>718</v>
      </c>
      <c r="FQ22" s="1" t="s">
        <v>324</v>
      </c>
      <c r="FR22" s="1" t="s">
        <v>325</v>
      </c>
      <c r="FS22" s="1"/>
      <c r="FT22" s="1" t="s">
        <v>326</v>
      </c>
      <c r="FU22">
        <v>494198191</v>
      </c>
      <c r="FV22" s="1" t="s">
        <v>322</v>
      </c>
      <c r="FW22" s="1" t="s">
        <v>322</v>
      </c>
      <c r="FX22" s="1" t="s">
        <v>322</v>
      </c>
      <c r="FY22" s="1" t="s">
        <v>322</v>
      </c>
      <c r="FZ22" s="1" t="s">
        <v>322</v>
      </c>
      <c r="GA22" s="1" t="s">
        <v>322</v>
      </c>
      <c r="GB22" s="1" t="s">
        <v>319</v>
      </c>
      <c r="GC22" s="1" t="s">
        <v>322</v>
      </c>
      <c r="GD22" s="1" t="s">
        <v>319</v>
      </c>
      <c r="GE22" s="1" t="s">
        <v>319</v>
      </c>
      <c r="GF22" s="1" t="s">
        <v>327</v>
      </c>
      <c r="GG22" s="1"/>
      <c r="GH22" s="1" t="s">
        <v>319</v>
      </c>
      <c r="GI22" s="1" t="s">
        <v>416</v>
      </c>
      <c r="GJ22" s="1" t="s">
        <v>319</v>
      </c>
      <c r="GK22" s="2">
        <v>42005</v>
      </c>
      <c r="GL22" s="1" t="s">
        <v>322</v>
      </c>
      <c r="GM22" s="1" t="s">
        <v>322</v>
      </c>
      <c r="GN22">
        <v>42989</v>
      </c>
      <c r="GO22" s="1" t="s">
        <v>319</v>
      </c>
      <c r="GQ22" s="1"/>
      <c r="GR22" s="1"/>
      <c r="GS22" s="1"/>
      <c r="GT22" s="1" t="s">
        <v>319</v>
      </c>
      <c r="GU22" s="1" t="s">
        <v>319</v>
      </c>
      <c r="GV22" s="1" t="s">
        <v>319</v>
      </c>
      <c r="GW22" s="1" t="s">
        <v>319</v>
      </c>
      <c r="GX22" s="1" t="s">
        <v>319</v>
      </c>
      <c r="GY22" s="1" t="s">
        <v>319</v>
      </c>
      <c r="GZ22" s="1" t="s">
        <v>319</v>
      </c>
      <c r="HA22" s="2">
        <v>44063</v>
      </c>
      <c r="HB22" s="2">
        <v>42667</v>
      </c>
      <c r="HC22" s="1"/>
      <c r="HD22" s="1"/>
      <c r="HE22" s="1"/>
      <c r="HF22" s="1"/>
      <c r="HG22" s="1"/>
      <c r="HH22" s="1"/>
      <c r="HI22" s="1" t="s">
        <v>319</v>
      </c>
      <c r="HJ22" s="1" t="s">
        <v>330</v>
      </c>
      <c r="HK22" s="2"/>
      <c r="HL22" s="1"/>
      <c r="HM22" s="1" t="s">
        <v>322</v>
      </c>
      <c r="HN22" s="1" t="s">
        <v>322</v>
      </c>
      <c r="HO22" s="1"/>
      <c r="HP22" s="1"/>
      <c r="HQ22" s="1"/>
      <c r="HR22" s="1"/>
      <c r="HS22" s="1"/>
      <c r="HT22" s="1"/>
      <c r="HU22" s="1" t="s">
        <v>331</v>
      </c>
      <c r="HV22">
        <v>4621947013</v>
      </c>
      <c r="HW22">
        <v>40638050</v>
      </c>
      <c r="HX22">
        <v>99102519451</v>
      </c>
      <c r="HY22" s="1" t="s">
        <v>719</v>
      </c>
      <c r="HZ22">
        <v>4318802</v>
      </c>
      <c r="IA22">
        <v>4321523</v>
      </c>
      <c r="IB22" s="1" t="s">
        <v>720</v>
      </c>
      <c r="IC22">
        <v>830242</v>
      </c>
      <c r="ID22" s="1" t="s">
        <v>721</v>
      </c>
      <c r="IE22">
        <v>4.38</v>
      </c>
      <c r="IF22">
        <v>3.5</v>
      </c>
      <c r="IG22">
        <v>2.4300000000000002</v>
      </c>
      <c r="IH22">
        <v>3.43</v>
      </c>
      <c r="II22">
        <v>3.58</v>
      </c>
      <c r="IJ22">
        <v>3.67</v>
      </c>
      <c r="IK22">
        <v>3.67</v>
      </c>
    </row>
    <row r="23" spans="1:245" x14ac:dyDescent="0.3">
      <c r="A23">
        <v>1756</v>
      </c>
      <c r="B23">
        <v>2371</v>
      </c>
      <c r="C23" s="1" t="s">
        <v>453</v>
      </c>
      <c r="D23" s="1" t="s">
        <v>382</v>
      </c>
      <c r="E23" t="s">
        <v>3275</v>
      </c>
      <c r="F23" s="1" t="s">
        <v>337</v>
      </c>
      <c r="G23" s="1" t="s">
        <v>338</v>
      </c>
      <c r="H23">
        <v>614540304</v>
      </c>
      <c r="I23" s="1" t="s">
        <v>454</v>
      </c>
      <c r="J23" s="1" t="s">
        <v>455</v>
      </c>
      <c r="K23">
        <v>616900913</v>
      </c>
      <c r="L23">
        <v>44228</v>
      </c>
      <c r="M23" s="1" t="s">
        <v>456</v>
      </c>
      <c r="N23" s="1" t="s">
        <v>457</v>
      </c>
      <c r="O23">
        <v>557779520</v>
      </c>
      <c r="P23" s="1" t="s">
        <v>458</v>
      </c>
      <c r="Q23" s="1" t="s">
        <v>454</v>
      </c>
      <c r="R23" s="1" t="s">
        <v>567</v>
      </c>
      <c r="S23" s="1" t="s">
        <v>459</v>
      </c>
      <c r="T23" s="1" t="s">
        <v>460</v>
      </c>
      <c r="U23">
        <v>557779543</v>
      </c>
      <c r="V23" s="1" t="s">
        <v>276</v>
      </c>
      <c r="W23" s="1" t="s">
        <v>454</v>
      </c>
      <c r="X23" s="1" t="s">
        <v>494</v>
      </c>
      <c r="Y23" s="1" t="s">
        <v>461</v>
      </c>
      <c r="Z23" s="1" t="s">
        <v>462</v>
      </c>
      <c r="AA23">
        <v>557779532</v>
      </c>
      <c r="AB23" s="1" t="s">
        <v>615</v>
      </c>
      <c r="AC23" s="1" t="s">
        <v>571</v>
      </c>
      <c r="AD23" s="1" t="s">
        <v>463</v>
      </c>
      <c r="AE23" s="1" t="s">
        <v>464</v>
      </c>
      <c r="AF23">
        <v>557779520</v>
      </c>
      <c r="AG23" s="1" t="s">
        <v>490</v>
      </c>
      <c r="AH23" s="1"/>
      <c r="AI23" s="1" t="s">
        <v>465</v>
      </c>
      <c r="AJ23" s="1" t="s">
        <v>466</v>
      </c>
      <c r="AK23">
        <v>557779520</v>
      </c>
      <c r="AL23" s="1" t="s">
        <v>565</v>
      </c>
      <c r="AM23" s="1" t="s">
        <v>392</v>
      </c>
      <c r="AN23" s="1" t="s">
        <v>467</v>
      </c>
      <c r="AO23" s="1" t="s">
        <v>468</v>
      </c>
      <c r="AP23">
        <v>557779537</v>
      </c>
      <c r="AQ23" s="1" t="s">
        <v>590</v>
      </c>
      <c r="AR23" s="1" t="s">
        <v>467</v>
      </c>
      <c r="AS23" s="1" t="s">
        <v>469</v>
      </c>
      <c r="AT23" s="1" t="s">
        <v>470</v>
      </c>
      <c r="AU23">
        <v>557779536</v>
      </c>
      <c r="AV23" s="1" t="s">
        <v>383</v>
      </c>
      <c r="AW23" s="1"/>
      <c r="AX23" s="1" t="s">
        <v>355</v>
      </c>
      <c r="AY23">
        <v>623422347</v>
      </c>
      <c r="AZ23" s="1" t="s">
        <v>356</v>
      </c>
      <c r="BA23">
        <v>678408519</v>
      </c>
      <c r="BB23" s="1" t="s">
        <v>471</v>
      </c>
      <c r="BC23" s="1" t="s">
        <v>472</v>
      </c>
      <c r="BD23">
        <v>33</v>
      </c>
      <c r="BE23">
        <v>557779520</v>
      </c>
      <c r="BF23">
        <v>44.8690185546875</v>
      </c>
      <c r="BG23">
        <v>-0.49374008178710899</v>
      </c>
      <c r="BH23">
        <v>451647903</v>
      </c>
      <c r="BI23">
        <v>355</v>
      </c>
      <c r="BJ23" s="2">
        <v>37162</v>
      </c>
      <c r="BK23" s="1" t="s">
        <v>848</v>
      </c>
      <c r="BL23" s="1" t="s">
        <v>290</v>
      </c>
      <c r="BM23" s="1" t="s">
        <v>291</v>
      </c>
      <c r="BN23" s="1" t="s">
        <v>292</v>
      </c>
      <c r="BO23" s="1" t="s">
        <v>291</v>
      </c>
      <c r="BP23" s="1" t="s">
        <v>293</v>
      </c>
      <c r="BQ23" s="1" t="s">
        <v>474</v>
      </c>
      <c r="BR23">
        <v>83</v>
      </c>
      <c r="BS23">
        <v>52865449.899999999</v>
      </c>
      <c r="BT23" s="1" t="s">
        <v>295</v>
      </c>
      <c r="BU23" s="1" t="s">
        <v>475</v>
      </c>
      <c r="BV23">
        <v>609302</v>
      </c>
      <c r="BW23">
        <v>1.5277731404177411E-2</v>
      </c>
      <c r="BX23">
        <v>104.171227006</v>
      </c>
      <c r="BY23">
        <v>7.0118184215731425</v>
      </c>
      <c r="BZ23">
        <v>6.685965693061692</v>
      </c>
      <c r="CA23">
        <v>117.86901112063482</v>
      </c>
      <c r="CB23" s="1" t="s">
        <v>476</v>
      </c>
      <c r="CC23">
        <v>1</v>
      </c>
      <c r="CD23" s="1" t="s">
        <v>402</v>
      </c>
      <c r="CE23" s="1" t="s">
        <v>361</v>
      </c>
      <c r="CF23">
        <v>1106</v>
      </c>
      <c r="CG23" s="1" t="s">
        <v>362</v>
      </c>
      <c r="CH23" s="1" t="s">
        <v>403</v>
      </c>
      <c r="CI23" s="1" t="s">
        <v>404</v>
      </c>
      <c r="CJ23" s="1" t="s">
        <v>301</v>
      </c>
      <c r="CK23" s="1" t="s">
        <v>302</v>
      </c>
      <c r="CL23" s="1" t="s">
        <v>365</v>
      </c>
      <c r="CM23">
        <v>3601651110000</v>
      </c>
      <c r="CO23" s="1"/>
      <c r="CP23" s="1" t="s">
        <v>304</v>
      </c>
      <c r="CQ23" s="1" t="s">
        <v>406</v>
      </c>
      <c r="CR23" s="1" t="s">
        <v>306</v>
      </c>
      <c r="CS23">
        <v>9660</v>
      </c>
      <c r="CT23">
        <v>6160</v>
      </c>
      <c r="CU23" t="s">
        <v>477</v>
      </c>
      <c r="CV23" s="1" t="s">
        <v>478</v>
      </c>
      <c r="CW23" s="1" t="s">
        <v>308</v>
      </c>
      <c r="CY23">
        <v>2837</v>
      </c>
      <c r="CZ23" t="s">
        <v>368</v>
      </c>
      <c r="DA23" s="1" t="s">
        <v>309</v>
      </c>
      <c r="DB23">
        <v>3500</v>
      </c>
      <c r="DC23">
        <v>3500</v>
      </c>
      <c r="DD23">
        <v>0</v>
      </c>
      <c r="DE23">
        <v>1650</v>
      </c>
      <c r="DF23">
        <v>1820</v>
      </c>
      <c r="DG23">
        <v>1680</v>
      </c>
      <c r="DH23">
        <v>0</v>
      </c>
      <c r="DI23">
        <v>0</v>
      </c>
      <c r="DJ23">
        <v>0</v>
      </c>
      <c r="DK23" s="1" t="s">
        <v>409</v>
      </c>
      <c r="DL23" s="1" t="s">
        <v>370</v>
      </c>
      <c r="DN23" s="1"/>
      <c r="DO23">
        <v>1281</v>
      </c>
      <c r="DP23">
        <v>0</v>
      </c>
      <c r="DQ23">
        <v>1281</v>
      </c>
      <c r="DR23" s="1" t="s">
        <v>479</v>
      </c>
      <c r="DS23">
        <v>1617</v>
      </c>
      <c r="DT23">
        <v>136</v>
      </c>
      <c r="DU23">
        <v>450</v>
      </c>
      <c r="DV23">
        <v>496</v>
      </c>
      <c r="DW23" s="1" t="s">
        <v>371</v>
      </c>
      <c r="DX23">
        <v>27</v>
      </c>
      <c r="DZ23">
        <v>2</v>
      </c>
      <c r="EA23">
        <v>2</v>
      </c>
      <c r="EB23">
        <v>13</v>
      </c>
      <c r="EC23">
        <v>2</v>
      </c>
      <c r="ED23">
        <v>3</v>
      </c>
      <c r="EE23">
        <v>0</v>
      </c>
      <c r="EF23">
        <v>20</v>
      </c>
      <c r="EG23">
        <v>2010</v>
      </c>
      <c r="EI23" s="1"/>
      <c r="EJ23" s="1" t="s">
        <v>313</v>
      </c>
      <c r="EK23" s="1" t="s">
        <v>314</v>
      </c>
      <c r="EL23">
        <v>70</v>
      </c>
      <c r="EM23">
        <v>36</v>
      </c>
      <c r="EN23">
        <v>22</v>
      </c>
      <c r="EO23" s="1" t="s">
        <v>315</v>
      </c>
      <c r="EP23">
        <v>57</v>
      </c>
      <c r="EQ23">
        <v>169.23889624727167</v>
      </c>
      <c r="ER23" s="1" t="s">
        <v>480</v>
      </c>
      <c r="ES23">
        <v>5.2755266909997403</v>
      </c>
      <c r="ET23">
        <v>0</v>
      </c>
      <c r="EU23" s="1"/>
      <c r="EV23">
        <v>118.66418036955416</v>
      </c>
      <c r="EW23">
        <v>2</v>
      </c>
      <c r="EX23" t="s">
        <v>481</v>
      </c>
      <c r="EY23">
        <v>2</v>
      </c>
      <c r="EZ23" s="1" t="s">
        <v>412</v>
      </c>
      <c r="FA23" s="2">
        <v>43334</v>
      </c>
      <c r="FB23" s="1" t="s">
        <v>482</v>
      </c>
      <c r="FC23">
        <v>1</v>
      </c>
      <c r="FD23" s="1"/>
      <c r="FE23" s="2">
        <v>42005</v>
      </c>
      <c r="FF23" s="1" t="s">
        <v>483</v>
      </c>
      <c r="FG23" s="1" t="s">
        <v>319</v>
      </c>
      <c r="FH23" s="1" t="s">
        <v>322</v>
      </c>
      <c r="FI23" s="1" t="s">
        <v>322</v>
      </c>
      <c r="FJ23" s="1" t="s">
        <v>322</v>
      </c>
      <c r="FK23" s="1" t="s">
        <v>373</v>
      </c>
      <c r="FL23">
        <v>18.59</v>
      </c>
      <c r="FM23">
        <v>11738.798710865563</v>
      </c>
      <c r="FN23" s="1" t="s">
        <v>321</v>
      </c>
      <c r="FO23" s="1" t="s">
        <v>322</v>
      </c>
      <c r="FP23" s="1" t="s">
        <v>323</v>
      </c>
      <c r="FQ23" s="1" t="s">
        <v>324</v>
      </c>
      <c r="FR23" s="1" t="s">
        <v>325</v>
      </c>
      <c r="FS23" s="1"/>
      <c r="FT23" s="1" t="s">
        <v>326</v>
      </c>
      <c r="FU23">
        <v>494198191</v>
      </c>
      <c r="FV23" s="1" t="s">
        <v>322</v>
      </c>
      <c r="FW23" s="1" t="s">
        <v>322</v>
      </c>
      <c r="FX23" s="1" t="s">
        <v>322</v>
      </c>
      <c r="FY23" s="1" t="s">
        <v>322</v>
      </c>
      <c r="FZ23" s="1" t="s">
        <v>322</v>
      </c>
      <c r="GA23" s="1" t="s">
        <v>322</v>
      </c>
      <c r="GB23" s="1" t="s">
        <v>322</v>
      </c>
      <c r="GC23" s="1" t="s">
        <v>322</v>
      </c>
      <c r="GD23" s="1" t="s">
        <v>322</v>
      </c>
      <c r="GE23" s="1" t="s">
        <v>319</v>
      </c>
      <c r="GF23" s="1" t="s">
        <v>415</v>
      </c>
      <c r="GG23" s="1"/>
      <c r="GH23" s="1" t="s">
        <v>322</v>
      </c>
      <c r="GI23" s="1" t="s">
        <v>484</v>
      </c>
      <c r="GJ23" s="1" t="s">
        <v>322</v>
      </c>
      <c r="GK23" s="2">
        <v>41640</v>
      </c>
      <c r="GL23" s="1" t="s">
        <v>322</v>
      </c>
      <c r="GM23" s="1" t="s">
        <v>322</v>
      </c>
      <c r="GN23">
        <v>42996</v>
      </c>
      <c r="GO23" s="1" t="s">
        <v>319</v>
      </c>
      <c r="GQ23" s="1"/>
      <c r="GR23" s="1"/>
      <c r="GS23" s="1"/>
      <c r="GT23" s="1" t="s">
        <v>322</v>
      </c>
      <c r="GU23" s="1" t="s">
        <v>449</v>
      </c>
      <c r="GV23" s="1" t="s">
        <v>319</v>
      </c>
      <c r="GW23" s="1" t="s">
        <v>319</v>
      </c>
      <c r="GX23" s="1" t="s">
        <v>322</v>
      </c>
      <c r="GY23" s="1" t="s">
        <v>319</v>
      </c>
      <c r="GZ23" s="1" t="s">
        <v>319</v>
      </c>
      <c r="HA23" s="2">
        <v>44077</v>
      </c>
      <c r="HB23" s="2">
        <v>42625</v>
      </c>
      <c r="HC23" s="1"/>
      <c r="HD23" s="1"/>
      <c r="HE23" s="1" t="s">
        <v>322</v>
      </c>
      <c r="HF23" s="1" t="s">
        <v>322</v>
      </c>
      <c r="HG23" s="1"/>
      <c r="HH23" s="1"/>
      <c r="HI23" s="1" t="s">
        <v>322</v>
      </c>
      <c r="HJ23" s="1" t="s">
        <v>485</v>
      </c>
      <c r="HK23" s="2">
        <v>42736</v>
      </c>
      <c r="HL23" s="1" t="s">
        <v>322</v>
      </c>
      <c r="HM23" s="1" t="s">
        <v>322</v>
      </c>
      <c r="HN23" s="1" t="s">
        <v>322</v>
      </c>
      <c r="HO23" s="1" t="s">
        <v>322</v>
      </c>
      <c r="HP23" s="1"/>
      <c r="HQ23" s="1"/>
      <c r="HR23" s="1"/>
      <c r="HS23" s="1"/>
      <c r="HT23" s="1"/>
      <c r="HU23" s="1" t="s">
        <v>331</v>
      </c>
      <c r="HV23">
        <v>4622025012</v>
      </c>
      <c r="HW23">
        <v>40637990</v>
      </c>
      <c r="HX23">
        <v>99102563878</v>
      </c>
      <c r="HY23" s="1" t="s">
        <v>486</v>
      </c>
      <c r="HZ23">
        <v>4242196</v>
      </c>
      <c r="IA23">
        <v>4321268</v>
      </c>
      <c r="IB23" s="1" t="s">
        <v>487</v>
      </c>
      <c r="IC23">
        <v>830165</v>
      </c>
      <c r="ID23" s="1" t="s">
        <v>488</v>
      </c>
      <c r="IE23">
        <v>6.29</v>
      </c>
      <c r="IF23">
        <v>5.3</v>
      </c>
      <c r="IG23">
        <v>6.62</v>
      </c>
      <c r="IH23">
        <v>7.79</v>
      </c>
      <c r="II23">
        <v>7.97</v>
      </c>
      <c r="IJ23">
        <v>7.26</v>
      </c>
      <c r="IK23">
        <v>7.26</v>
      </c>
    </row>
    <row r="24" spans="1:245" x14ac:dyDescent="0.3">
      <c r="A24">
        <v>1772</v>
      </c>
      <c r="B24">
        <v>2386</v>
      </c>
      <c r="C24" s="1" t="s">
        <v>1781</v>
      </c>
      <c r="D24" s="1" t="s">
        <v>1451</v>
      </c>
      <c r="E24" t="s">
        <v>3275</v>
      </c>
      <c r="F24" s="1" t="s">
        <v>1728</v>
      </c>
      <c r="G24" s="1" t="s">
        <v>1729</v>
      </c>
      <c r="H24">
        <v>626529799</v>
      </c>
      <c r="I24" s="1" t="s">
        <v>1782</v>
      </c>
      <c r="J24" s="1" t="s">
        <v>1783</v>
      </c>
      <c r="K24">
        <v>617624841</v>
      </c>
      <c r="L24">
        <v>43739</v>
      </c>
      <c r="M24" s="1" t="s">
        <v>524</v>
      </c>
      <c r="N24" s="1"/>
      <c r="P24" s="1"/>
      <c r="Q24" s="1" t="s">
        <v>1898</v>
      </c>
      <c r="R24" s="1" t="s">
        <v>1875</v>
      </c>
      <c r="S24" s="1" t="s">
        <v>524</v>
      </c>
      <c r="T24" s="1"/>
      <c r="V24" s="1"/>
      <c r="W24" s="1" t="s">
        <v>1873</v>
      </c>
      <c r="X24" s="1" t="s">
        <v>1734</v>
      </c>
      <c r="Y24" s="1" t="s">
        <v>1784</v>
      </c>
      <c r="Z24" s="1" t="s">
        <v>1785</v>
      </c>
      <c r="AA24">
        <v>321109004</v>
      </c>
      <c r="AB24" s="1" t="s">
        <v>1764</v>
      </c>
      <c r="AC24" s="1" t="s">
        <v>1806</v>
      </c>
      <c r="AD24" s="1" t="s">
        <v>524</v>
      </c>
      <c r="AE24" s="1"/>
      <c r="AG24" s="1" t="s">
        <v>1950</v>
      </c>
      <c r="AH24" s="1" t="s">
        <v>1835</v>
      </c>
      <c r="AI24" s="1" t="s">
        <v>1786</v>
      </c>
      <c r="AJ24" s="1" t="s">
        <v>1787</v>
      </c>
      <c r="AK24">
        <v>321109000</v>
      </c>
      <c r="AL24" s="1" t="s">
        <v>1920</v>
      </c>
      <c r="AM24" s="1" t="s">
        <v>1858</v>
      </c>
      <c r="AN24" s="1" t="s">
        <v>1788</v>
      </c>
      <c r="AO24" s="1" t="s">
        <v>1789</v>
      </c>
      <c r="AP24">
        <v>321109009</v>
      </c>
      <c r="AQ24" s="1" t="s">
        <v>1730</v>
      </c>
      <c r="AR24" s="1" t="s">
        <v>1740</v>
      </c>
      <c r="AS24" s="1" t="s">
        <v>524</v>
      </c>
      <c r="AT24" s="1"/>
      <c r="AV24" s="1" t="s">
        <v>1850</v>
      </c>
      <c r="AW24" s="1" t="s">
        <v>1955</v>
      </c>
      <c r="AX24" s="1" t="s">
        <v>1744</v>
      </c>
      <c r="AY24">
        <v>617425653</v>
      </c>
      <c r="AZ24" s="1" t="s">
        <v>660</v>
      </c>
      <c r="BA24">
        <v>678409252</v>
      </c>
      <c r="BB24" s="1" t="s">
        <v>1790</v>
      </c>
      <c r="BC24" s="1" t="s">
        <v>1791</v>
      </c>
      <c r="BD24">
        <v>62</v>
      </c>
      <c r="BE24">
        <v>321109000</v>
      </c>
      <c r="BF24">
        <v>50.7279052734375</v>
      </c>
      <c r="BG24">
        <v>1.6427307128906199</v>
      </c>
      <c r="BH24">
        <v>451647903</v>
      </c>
      <c r="BI24">
        <v>686</v>
      </c>
      <c r="BJ24" s="2">
        <v>38560</v>
      </c>
      <c r="BK24" s="1" t="s">
        <v>3291</v>
      </c>
      <c r="BL24" s="1" t="s">
        <v>290</v>
      </c>
      <c r="BM24" s="1" t="s">
        <v>291</v>
      </c>
      <c r="BN24" s="1" t="s">
        <v>292</v>
      </c>
      <c r="BO24" s="1" t="s">
        <v>291</v>
      </c>
      <c r="BP24" s="1" t="s">
        <v>293</v>
      </c>
      <c r="BQ24" s="1" t="s">
        <v>294</v>
      </c>
      <c r="BR24">
        <v>80</v>
      </c>
      <c r="BS24">
        <v>19767321.43</v>
      </c>
      <c r="BT24" s="1" t="s">
        <v>295</v>
      </c>
      <c r="BU24" s="1" t="s">
        <v>359</v>
      </c>
      <c r="BV24">
        <v>323861</v>
      </c>
      <c r="BW24">
        <v>1.2129911897322081E-2</v>
      </c>
      <c r="BX24">
        <v>42.257137205775699</v>
      </c>
      <c r="BY24">
        <v>5.7642908947056108</v>
      </c>
      <c r="BZ24">
        <v>2.7775829102657084</v>
      </c>
      <c r="CA24">
        <v>50.799011010747016</v>
      </c>
      <c r="CB24" s="1" t="s">
        <v>443</v>
      </c>
      <c r="CC24">
        <v>1</v>
      </c>
      <c r="CD24" s="1" t="s">
        <v>298</v>
      </c>
      <c r="CE24" s="1" t="s">
        <v>504</v>
      </c>
      <c r="CF24">
        <v>1101</v>
      </c>
      <c r="CG24" s="1" t="s">
        <v>300</v>
      </c>
      <c r="CH24" s="1" t="s">
        <v>1474</v>
      </c>
      <c r="CI24" s="1" t="s">
        <v>1475</v>
      </c>
      <c r="CJ24" s="1" t="s">
        <v>1474</v>
      </c>
      <c r="CK24" s="1" t="s">
        <v>1475</v>
      </c>
      <c r="CL24" s="1" t="s">
        <v>1476</v>
      </c>
      <c r="CM24">
        <v>3020409000010</v>
      </c>
      <c r="CO24" s="1"/>
      <c r="CP24" s="1" t="s">
        <v>304</v>
      </c>
      <c r="CQ24" s="1" t="s">
        <v>406</v>
      </c>
      <c r="CR24" s="1" t="s">
        <v>306</v>
      </c>
      <c r="CS24">
        <v>6480</v>
      </c>
      <c r="CT24">
        <v>3625</v>
      </c>
      <c r="CU24">
        <v>3700</v>
      </c>
      <c r="CV24" s="1" t="s">
        <v>307</v>
      </c>
      <c r="CW24" s="1" t="s">
        <v>308</v>
      </c>
      <c r="CY24">
        <v>2855</v>
      </c>
      <c r="CZ24" t="s">
        <v>368</v>
      </c>
      <c r="DA24" s="1" t="s">
        <v>309</v>
      </c>
      <c r="DB24">
        <v>2855</v>
      </c>
      <c r="DC24">
        <v>2855</v>
      </c>
      <c r="DD24">
        <v>0</v>
      </c>
      <c r="DE24">
        <v>0</v>
      </c>
      <c r="DF24">
        <v>2855</v>
      </c>
      <c r="DG24">
        <v>0</v>
      </c>
      <c r="DH24">
        <v>0</v>
      </c>
      <c r="DI24">
        <v>0</v>
      </c>
      <c r="DJ24">
        <v>0</v>
      </c>
      <c r="DK24" s="1" t="s">
        <v>409</v>
      </c>
      <c r="DL24" s="1" t="s">
        <v>370</v>
      </c>
      <c r="DN24" s="1"/>
      <c r="DO24">
        <v>1245</v>
      </c>
      <c r="DP24">
        <v>0</v>
      </c>
      <c r="DQ24">
        <v>1245</v>
      </c>
      <c r="DR24" s="1" t="s">
        <v>790</v>
      </c>
      <c r="DS24">
        <v>800</v>
      </c>
      <c r="DT24">
        <v>100</v>
      </c>
      <c r="DU24">
        <v>474</v>
      </c>
      <c r="DV24">
        <v>459</v>
      </c>
      <c r="DW24" s="1" t="s">
        <v>371</v>
      </c>
      <c r="DX24">
        <v>16</v>
      </c>
      <c r="DZ24">
        <v>2</v>
      </c>
      <c r="EA24">
        <v>2</v>
      </c>
      <c r="EB24">
        <v>8</v>
      </c>
      <c r="EC24">
        <v>2</v>
      </c>
      <c r="ED24">
        <v>0</v>
      </c>
      <c r="EE24">
        <v>0</v>
      </c>
      <c r="EF24">
        <v>12</v>
      </c>
      <c r="EG24">
        <v>2010</v>
      </c>
      <c r="EI24" s="1"/>
      <c r="EJ24" s="1" t="s">
        <v>313</v>
      </c>
      <c r="EK24" s="1" t="s">
        <v>314</v>
      </c>
      <c r="EL24">
        <v>29</v>
      </c>
      <c r="EM24">
        <v>19</v>
      </c>
      <c r="EN24">
        <v>13</v>
      </c>
      <c r="EO24" s="1" t="s">
        <v>315</v>
      </c>
      <c r="EP24">
        <v>20</v>
      </c>
      <c r="EQ24">
        <v>75.872687789964957</v>
      </c>
      <c r="ER24" s="1" t="s">
        <v>411</v>
      </c>
      <c r="ES24">
        <v>6.5477319534044494</v>
      </c>
      <c r="ET24">
        <v>0</v>
      </c>
      <c r="EU24" s="1"/>
      <c r="EV24">
        <v>87.820611045146279</v>
      </c>
      <c r="EW24">
        <v>1</v>
      </c>
      <c r="EX24" t="s">
        <v>481</v>
      </c>
      <c r="EY24">
        <v>1</v>
      </c>
      <c r="EZ24" s="1" t="s">
        <v>412</v>
      </c>
      <c r="FA24" s="2">
        <v>43831</v>
      </c>
      <c r="FB24" s="1" t="s">
        <v>818</v>
      </c>
      <c r="FC24">
        <v>1</v>
      </c>
      <c r="FD24" s="1"/>
      <c r="FE24" s="2"/>
      <c r="FF24" s="1"/>
      <c r="FG24" s="1" t="s">
        <v>322</v>
      </c>
      <c r="FH24" s="1" t="s">
        <v>319</v>
      </c>
      <c r="FI24" s="1" t="s">
        <v>319</v>
      </c>
      <c r="FJ24" s="1" t="s">
        <v>319</v>
      </c>
      <c r="FK24" s="1" t="s">
        <v>320</v>
      </c>
      <c r="FL24">
        <v>18.920000000000002</v>
      </c>
      <c r="FM24">
        <v>4125.7260224393767</v>
      </c>
      <c r="FN24" s="1" t="s">
        <v>321</v>
      </c>
      <c r="FO24" s="1" t="s">
        <v>322</v>
      </c>
      <c r="FP24" s="1" t="s">
        <v>323</v>
      </c>
      <c r="FQ24" s="1" t="s">
        <v>1792</v>
      </c>
      <c r="FR24" s="1" t="s">
        <v>1793</v>
      </c>
      <c r="FS24" s="1" t="s">
        <v>1750</v>
      </c>
      <c r="FT24" s="1" t="s">
        <v>1794</v>
      </c>
      <c r="FV24" s="1" t="s">
        <v>322</v>
      </c>
      <c r="FW24" s="1" t="s">
        <v>319</v>
      </c>
      <c r="FX24" s="1" t="s">
        <v>319</v>
      </c>
      <c r="FY24" s="1" t="s">
        <v>1795</v>
      </c>
      <c r="FZ24" s="1" t="s">
        <v>322</v>
      </c>
      <c r="GA24" s="1" t="s">
        <v>319</v>
      </c>
      <c r="GB24" s="1"/>
      <c r="GC24" s="1"/>
      <c r="GD24" s="1" t="s">
        <v>322</v>
      </c>
      <c r="GE24" s="1" t="s">
        <v>319</v>
      </c>
      <c r="GF24" s="1" t="s">
        <v>415</v>
      </c>
      <c r="GG24" s="1"/>
      <c r="GH24" s="1" t="s">
        <v>319</v>
      </c>
      <c r="GI24" s="1"/>
      <c r="GJ24" s="1" t="s">
        <v>322</v>
      </c>
      <c r="GK24" s="2">
        <v>42005</v>
      </c>
      <c r="GL24" s="1" t="s">
        <v>322</v>
      </c>
      <c r="GM24" s="1" t="s">
        <v>322</v>
      </c>
      <c r="GN24">
        <v>42954</v>
      </c>
      <c r="GO24" s="1" t="s">
        <v>322</v>
      </c>
      <c r="GP24">
        <v>42996</v>
      </c>
      <c r="GQ24" s="1" t="s">
        <v>1796</v>
      </c>
      <c r="GR24" s="1" t="s">
        <v>322</v>
      </c>
      <c r="GS24" s="1" t="s">
        <v>448</v>
      </c>
      <c r="GT24" s="1" t="s">
        <v>322</v>
      </c>
      <c r="GU24" s="1" t="s">
        <v>1797</v>
      </c>
      <c r="GV24" s="1" t="s">
        <v>322</v>
      </c>
      <c r="GW24" s="1" t="s">
        <v>322</v>
      </c>
      <c r="GX24" s="1" t="s">
        <v>319</v>
      </c>
      <c r="GY24" s="1" t="s">
        <v>319</v>
      </c>
      <c r="GZ24" s="1" t="s">
        <v>319</v>
      </c>
      <c r="HA24" s="2">
        <v>44063</v>
      </c>
      <c r="HB24" s="2">
        <v>42625</v>
      </c>
      <c r="HC24" s="1"/>
      <c r="HD24" s="1"/>
      <c r="HE24" s="1"/>
      <c r="HF24" s="1"/>
      <c r="HG24" s="1"/>
      <c r="HH24" s="1"/>
      <c r="HI24" s="1" t="s">
        <v>322</v>
      </c>
      <c r="HJ24" s="1" t="s">
        <v>794</v>
      </c>
      <c r="HK24" s="2">
        <v>42736</v>
      </c>
      <c r="HL24" s="1"/>
      <c r="HM24" s="1" t="s">
        <v>322</v>
      </c>
      <c r="HN24" s="1" t="s">
        <v>322</v>
      </c>
      <c r="HO24" s="1"/>
      <c r="HP24" s="1"/>
      <c r="HQ24" s="1"/>
      <c r="HR24" s="1"/>
      <c r="HS24" s="1"/>
      <c r="HT24" s="1"/>
      <c r="HU24" s="1" t="s">
        <v>331</v>
      </c>
      <c r="HV24">
        <v>4623158011</v>
      </c>
      <c r="HW24">
        <v>40638534</v>
      </c>
      <c r="HX24">
        <v>99102567862</v>
      </c>
      <c r="HY24" s="1" t="s">
        <v>1798</v>
      </c>
      <c r="HZ24">
        <v>4319164</v>
      </c>
      <c r="IA24">
        <v>4321649</v>
      </c>
      <c r="IB24" s="1" t="s">
        <v>1799</v>
      </c>
      <c r="IC24">
        <v>830256</v>
      </c>
      <c r="ID24" s="1" t="s">
        <v>1800</v>
      </c>
      <c r="IE24">
        <v>5.4</v>
      </c>
      <c r="IF24">
        <v>6.75</v>
      </c>
      <c r="IG24">
        <v>5.4</v>
      </c>
      <c r="IH24">
        <v>4.32</v>
      </c>
      <c r="II24">
        <v>5.36</v>
      </c>
      <c r="IJ24">
        <v>7.9919298245614039</v>
      </c>
      <c r="IK24">
        <v>6.25</v>
      </c>
    </row>
    <row r="25" spans="1:245" x14ac:dyDescent="0.3">
      <c r="A25">
        <v>1705</v>
      </c>
      <c r="B25">
        <v>2333</v>
      </c>
      <c r="C25" s="1" t="s">
        <v>979</v>
      </c>
      <c r="D25" s="1" t="s">
        <v>700</v>
      </c>
      <c r="E25" t="s">
        <v>3275</v>
      </c>
      <c r="F25" s="1" t="s">
        <v>927</v>
      </c>
      <c r="G25" s="1" t="s">
        <v>928</v>
      </c>
      <c r="H25">
        <v>603611633</v>
      </c>
      <c r="I25" s="1" t="s">
        <v>980</v>
      </c>
      <c r="J25" s="1" t="s">
        <v>981</v>
      </c>
      <c r="K25">
        <v>248230101</v>
      </c>
      <c r="L25">
        <v>44348</v>
      </c>
      <c r="M25" s="1" t="s">
        <v>982</v>
      </c>
      <c r="N25" s="1" t="s">
        <v>983</v>
      </c>
      <c r="O25">
        <v>248230108</v>
      </c>
      <c r="P25" s="1"/>
      <c r="Q25" s="1" t="s">
        <v>929</v>
      </c>
      <c r="R25" s="1" t="s">
        <v>931</v>
      </c>
      <c r="S25" s="1" t="s">
        <v>984</v>
      </c>
      <c r="T25" s="1" t="s">
        <v>985</v>
      </c>
      <c r="U25">
        <v>248230101</v>
      </c>
      <c r="V25" s="1" t="s">
        <v>276</v>
      </c>
      <c r="W25" s="1" t="s">
        <v>1180</v>
      </c>
      <c r="X25" s="1" t="s">
        <v>1007</v>
      </c>
      <c r="Y25" s="1" t="s">
        <v>389</v>
      </c>
      <c r="Z25" s="1"/>
      <c r="AB25" s="1" t="s">
        <v>1104</v>
      </c>
      <c r="AC25" s="1" t="s">
        <v>1058</v>
      </c>
      <c r="AD25" s="1" t="s">
        <v>986</v>
      </c>
      <c r="AE25" s="1" t="s">
        <v>987</v>
      </c>
      <c r="AG25" s="1" t="s">
        <v>956</v>
      </c>
      <c r="AH25" s="1" t="s">
        <v>937</v>
      </c>
      <c r="AI25" s="1" t="s">
        <v>988</v>
      </c>
      <c r="AJ25" s="1" t="s">
        <v>989</v>
      </c>
      <c r="AK25">
        <v>248230101</v>
      </c>
      <c r="AL25" s="1" t="s">
        <v>1003</v>
      </c>
      <c r="AM25" s="1" t="s">
        <v>1190</v>
      </c>
      <c r="AN25" s="1" t="s">
        <v>990</v>
      </c>
      <c r="AO25" s="1" t="s">
        <v>991</v>
      </c>
      <c r="AP25">
        <v>248230103</v>
      </c>
      <c r="AQ25" s="1" t="s">
        <v>992</v>
      </c>
      <c r="AR25" s="1" t="s">
        <v>1087</v>
      </c>
      <c r="AS25" s="1" t="s">
        <v>993</v>
      </c>
      <c r="AT25" s="1" t="s">
        <v>994</v>
      </c>
      <c r="AU25">
        <v>248280101</v>
      </c>
      <c r="AV25" s="1" t="s">
        <v>1204</v>
      </c>
      <c r="AW25" s="1" t="s">
        <v>1216</v>
      </c>
      <c r="AX25" s="1" t="s">
        <v>945</v>
      </c>
      <c r="AY25">
        <v>770016945</v>
      </c>
      <c r="AZ25" s="1" t="s">
        <v>946</v>
      </c>
      <c r="BA25">
        <v>629385383</v>
      </c>
      <c r="BB25" s="1" t="s">
        <v>995</v>
      </c>
      <c r="BC25" s="1" t="s">
        <v>996</v>
      </c>
      <c r="BD25">
        <v>18</v>
      </c>
      <c r="BE25">
        <v>248230101</v>
      </c>
      <c r="BF25">
        <v>47.0975341796875</v>
      </c>
      <c r="BG25">
        <v>2.45372009277343</v>
      </c>
      <c r="BH25">
        <v>451647903</v>
      </c>
      <c r="BI25">
        <v>603</v>
      </c>
      <c r="BJ25" s="2">
        <v>35235</v>
      </c>
      <c r="BK25" s="1" t="s">
        <v>3293</v>
      </c>
      <c r="BL25" s="1" t="s">
        <v>290</v>
      </c>
      <c r="BM25" s="1" t="s">
        <v>291</v>
      </c>
      <c r="BN25" s="1" t="s">
        <v>292</v>
      </c>
      <c r="BO25" s="1" t="s">
        <v>291</v>
      </c>
      <c r="BP25" s="1" t="s">
        <v>293</v>
      </c>
      <c r="BQ25" s="1" t="s">
        <v>294</v>
      </c>
      <c r="BR25">
        <v>80</v>
      </c>
      <c r="BS25">
        <v>23858798.91</v>
      </c>
      <c r="BT25" s="1" t="s">
        <v>295</v>
      </c>
      <c r="BU25" s="1" t="s">
        <v>296</v>
      </c>
      <c r="BV25">
        <v>381958</v>
      </c>
      <c r="BW25">
        <v>1.3792241454335306E-2</v>
      </c>
      <c r="BX25">
        <v>56.542757302037302</v>
      </c>
      <c r="BY25">
        <v>3.6367277642249616</v>
      </c>
      <c r="BZ25">
        <v>3.543914419463309</v>
      </c>
      <c r="CA25">
        <v>63.723399485725572</v>
      </c>
      <c r="CB25" s="1" t="s">
        <v>360</v>
      </c>
      <c r="CC25">
        <v>2</v>
      </c>
      <c r="CD25" s="1" t="s">
        <v>298</v>
      </c>
      <c r="CE25" s="1" t="s">
        <v>504</v>
      </c>
      <c r="CF25">
        <v>1101</v>
      </c>
      <c r="CG25" s="1" t="s">
        <v>300</v>
      </c>
      <c r="CH25" s="1" t="s">
        <v>301</v>
      </c>
      <c r="CI25" s="1" t="s">
        <v>302</v>
      </c>
      <c r="CJ25" s="1" t="s">
        <v>301</v>
      </c>
      <c r="CK25" s="1" t="s">
        <v>302</v>
      </c>
      <c r="CL25" s="1" t="s">
        <v>303</v>
      </c>
      <c r="CM25">
        <v>3601651117009</v>
      </c>
      <c r="CO25" s="1"/>
      <c r="CP25" s="1" t="s">
        <v>304</v>
      </c>
      <c r="CQ25" s="1" t="s">
        <v>406</v>
      </c>
      <c r="CR25" s="1" t="s">
        <v>407</v>
      </c>
      <c r="CS25">
        <v>6576</v>
      </c>
      <c r="CT25">
        <v>2950</v>
      </c>
      <c r="CU25">
        <v>3000</v>
      </c>
      <c r="CV25" s="1" t="s">
        <v>309</v>
      </c>
      <c r="CW25" s="1" t="s">
        <v>308</v>
      </c>
      <c r="CX25">
        <v>100</v>
      </c>
      <c r="CY25">
        <v>3626</v>
      </c>
      <c r="CZ25">
        <v>3500</v>
      </c>
      <c r="DA25" s="1" t="s">
        <v>307</v>
      </c>
      <c r="DB25">
        <v>3626</v>
      </c>
      <c r="DC25">
        <v>3626</v>
      </c>
      <c r="DD25">
        <v>0</v>
      </c>
      <c r="DE25">
        <v>0</v>
      </c>
      <c r="DF25">
        <v>0</v>
      </c>
      <c r="DG25">
        <v>3626</v>
      </c>
      <c r="DH25">
        <v>0</v>
      </c>
      <c r="DI25">
        <v>0</v>
      </c>
      <c r="DJ25">
        <v>0</v>
      </c>
      <c r="DK25" s="1" t="s">
        <v>557</v>
      </c>
      <c r="DL25" s="1"/>
      <c r="DM25">
        <v>100</v>
      </c>
      <c r="DN25" s="1"/>
      <c r="DO25">
        <v>1060</v>
      </c>
      <c r="DP25">
        <v>440</v>
      </c>
      <c r="DQ25">
        <v>620</v>
      </c>
      <c r="DR25" s="1"/>
      <c r="DS25">
        <v>1500</v>
      </c>
      <c r="DT25">
        <v>90</v>
      </c>
      <c r="DU25">
        <v>208</v>
      </c>
      <c r="DV25">
        <v>347</v>
      </c>
      <c r="DW25" s="1" t="s">
        <v>371</v>
      </c>
      <c r="DX25">
        <v>19</v>
      </c>
      <c r="DZ25">
        <v>2</v>
      </c>
      <c r="EA25">
        <v>3</v>
      </c>
      <c r="EB25">
        <v>8</v>
      </c>
      <c r="EC25">
        <v>2</v>
      </c>
      <c r="ED25">
        <v>0</v>
      </c>
      <c r="EE25">
        <v>0</v>
      </c>
      <c r="EF25">
        <v>13</v>
      </c>
      <c r="EG25">
        <v>2010</v>
      </c>
      <c r="EI25" s="1"/>
      <c r="EJ25" s="1" t="s">
        <v>313</v>
      </c>
      <c r="EK25" s="1" t="s">
        <v>314</v>
      </c>
      <c r="EL25">
        <v>29</v>
      </c>
      <c r="EM25">
        <v>26</v>
      </c>
      <c r="EN25">
        <v>12</v>
      </c>
      <c r="EO25" s="1" t="s">
        <v>315</v>
      </c>
      <c r="EP25">
        <v>17</v>
      </c>
      <c r="EQ25">
        <v>78.1880159095615</v>
      </c>
      <c r="ER25" s="1" t="s">
        <v>411</v>
      </c>
      <c r="ES25">
        <v>5.2537401994567015</v>
      </c>
      <c r="ET25">
        <v>0</v>
      </c>
      <c r="EU25" s="1"/>
      <c r="EV25">
        <v>110.32854418859073</v>
      </c>
      <c r="EW25">
        <v>0</v>
      </c>
      <c r="EX25" t="s">
        <v>316</v>
      </c>
      <c r="EY25">
        <v>0</v>
      </c>
      <c r="EZ25" s="1" t="s">
        <v>317</v>
      </c>
      <c r="FA25" s="2"/>
      <c r="FB25" s="1" t="s">
        <v>318</v>
      </c>
      <c r="FC25">
        <v>1</v>
      </c>
      <c r="FD25" s="1"/>
      <c r="FE25" s="2"/>
      <c r="FF25" s="1"/>
      <c r="FG25" s="1" t="s">
        <v>322</v>
      </c>
      <c r="FH25" s="1" t="s">
        <v>322</v>
      </c>
      <c r="FI25" s="1" t="s">
        <v>319</v>
      </c>
      <c r="FJ25" s="1" t="s">
        <v>322</v>
      </c>
      <c r="FK25" s="1" t="s">
        <v>320</v>
      </c>
      <c r="FL25">
        <v>18.920000000000002</v>
      </c>
      <c r="FM25">
        <v>4286.984437205936</v>
      </c>
      <c r="FN25" s="1" t="s">
        <v>321</v>
      </c>
      <c r="FO25" s="1" t="s">
        <v>319</v>
      </c>
      <c r="FP25" s="1" t="s">
        <v>323</v>
      </c>
      <c r="FQ25" s="1" t="s">
        <v>324</v>
      </c>
      <c r="FR25" s="1" t="s">
        <v>325</v>
      </c>
      <c r="FS25" s="1"/>
      <c r="FT25" s="1" t="s">
        <v>326</v>
      </c>
      <c r="FU25">
        <v>494198191</v>
      </c>
      <c r="FV25" s="1" t="s">
        <v>319</v>
      </c>
      <c r="FW25" s="1" t="s">
        <v>322</v>
      </c>
      <c r="FX25" s="1" t="s">
        <v>322</v>
      </c>
      <c r="FY25" s="1" t="s">
        <v>322</v>
      </c>
      <c r="FZ25" s="1" t="s">
        <v>322</v>
      </c>
      <c r="GA25" s="1" t="s">
        <v>322</v>
      </c>
      <c r="GB25" s="1" t="s">
        <v>322</v>
      </c>
      <c r="GC25" s="1" t="s">
        <v>322</v>
      </c>
      <c r="GD25" s="1" t="s">
        <v>322</v>
      </c>
      <c r="GE25" s="1" t="s">
        <v>322</v>
      </c>
      <c r="GF25" s="1" t="s">
        <v>327</v>
      </c>
      <c r="GG25" s="1"/>
      <c r="GH25" s="1" t="s">
        <v>322</v>
      </c>
      <c r="GI25" s="1" t="s">
        <v>328</v>
      </c>
      <c r="GJ25" s="1" t="s">
        <v>322</v>
      </c>
      <c r="GK25" s="2">
        <v>42005</v>
      </c>
      <c r="GL25" s="1" t="s">
        <v>322</v>
      </c>
      <c r="GM25" s="1" t="s">
        <v>322</v>
      </c>
      <c r="GN25">
        <v>42989</v>
      </c>
      <c r="GO25" s="1" t="s">
        <v>319</v>
      </c>
      <c r="GQ25" s="1" t="s">
        <v>997</v>
      </c>
      <c r="GR25" s="1" t="s">
        <v>319</v>
      </c>
      <c r="GS25" s="1"/>
      <c r="GT25" s="1" t="s">
        <v>322</v>
      </c>
      <c r="GU25" s="1" t="s">
        <v>998</v>
      </c>
      <c r="GV25" s="1" t="s">
        <v>319</v>
      </c>
      <c r="GW25" s="1" t="s">
        <v>322</v>
      </c>
      <c r="GX25" s="1" t="s">
        <v>319</v>
      </c>
      <c r="GY25" s="1" t="s">
        <v>319</v>
      </c>
      <c r="GZ25" s="1" t="s">
        <v>319</v>
      </c>
      <c r="HA25" s="2">
        <v>44063</v>
      </c>
      <c r="HB25" s="2">
        <v>42625</v>
      </c>
      <c r="HC25" s="1"/>
      <c r="HD25" s="1"/>
      <c r="HE25" s="1"/>
      <c r="HF25" s="1"/>
      <c r="HG25" s="1"/>
      <c r="HH25" s="1"/>
      <c r="HI25" s="1" t="s">
        <v>322</v>
      </c>
      <c r="HJ25" s="1" t="s">
        <v>330</v>
      </c>
      <c r="HK25" s="2"/>
      <c r="HL25" s="1"/>
      <c r="HM25" s="1" t="s">
        <v>322</v>
      </c>
      <c r="HN25" s="1" t="s">
        <v>322</v>
      </c>
      <c r="HO25" s="1" t="s">
        <v>322</v>
      </c>
      <c r="HP25" s="1"/>
      <c r="HQ25" s="1"/>
      <c r="HR25" s="1"/>
      <c r="HS25" s="1"/>
      <c r="HT25" s="1"/>
      <c r="HU25" s="1" t="s">
        <v>331</v>
      </c>
      <c r="HV25">
        <v>4621957011</v>
      </c>
      <c r="HW25">
        <v>40638066</v>
      </c>
      <c r="HX25">
        <v>99102519499</v>
      </c>
      <c r="HY25" s="1" t="s">
        <v>999</v>
      </c>
      <c r="HZ25">
        <v>4306389</v>
      </c>
      <c r="IA25">
        <v>4321903</v>
      </c>
      <c r="IB25" s="1" t="s">
        <v>1000</v>
      </c>
      <c r="IC25">
        <v>830232</v>
      </c>
      <c r="ID25" s="1" t="s">
        <v>1001</v>
      </c>
      <c r="IE25">
        <v>7.09</v>
      </c>
      <c r="IF25">
        <v>5.67</v>
      </c>
      <c r="IG25">
        <v>3.76</v>
      </c>
      <c r="IH25">
        <v>4.58</v>
      </c>
      <c r="II25">
        <v>4.29</v>
      </c>
      <c r="IJ25">
        <v>4.47</v>
      </c>
      <c r="IK25">
        <v>4.47</v>
      </c>
    </row>
    <row r="26" spans="1:245" x14ac:dyDescent="0.3">
      <c r="A26">
        <v>1748</v>
      </c>
      <c r="B26">
        <v>2364</v>
      </c>
      <c r="C26" s="1" t="s">
        <v>2413</v>
      </c>
      <c r="D26" s="1" t="s">
        <v>2414</v>
      </c>
      <c r="E26" t="s">
        <v>3275</v>
      </c>
      <c r="F26" s="1" t="s">
        <v>2415</v>
      </c>
      <c r="G26" s="1" t="s">
        <v>2416</v>
      </c>
      <c r="H26">
        <v>782575744</v>
      </c>
      <c r="I26" s="1" t="s">
        <v>2417</v>
      </c>
      <c r="J26" s="1" t="s">
        <v>2418</v>
      </c>
      <c r="L26">
        <v>43542</v>
      </c>
      <c r="M26" s="1" t="s">
        <v>2419</v>
      </c>
      <c r="N26" s="1" t="s">
        <v>2420</v>
      </c>
      <c r="O26">
        <v>298499600</v>
      </c>
      <c r="P26" s="1" t="s">
        <v>273</v>
      </c>
      <c r="Q26" s="1" t="s">
        <v>2634</v>
      </c>
      <c r="R26" s="1" t="s">
        <v>2572</v>
      </c>
      <c r="S26" s="1" t="s">
        <v>2421</v>
      </c>
      <c r="T26" s="1" t="s">
        <v>2422</v>
      </c>
      <c r="U26">
        <v>298499599</v>
      </c>
      <c r="V26" s="1" t="s">
        <v>276</v>
      </c>
      <c r="W26" s="1" t="s">
        <v>2634</v>
      </c>
      <c r="X26" s="1" t="s">
        <v>2638</v>
      </c>
      <c r="Y26" s="1" t="s">
        <v>389</v>
      </c>
      <c r="Z26" s="1"/>
      <c r="AB26" s="1" t="s">
        <v>2460</v>
      </c>
      <c r="AC26" s="1" t="s">
        <v>2534</v>
      </c>
      <c r="AD26" s="1" t="s">
        <v>524</v>
      </c>
      <c r="AE26" s="1"/>
      <c r="AG26" s="1" t="s">
        <v>2417</v>
      </c>
      <c r="AH26" s="1" t="s">
        <v>2466</v>
      </c>
      <c r="AI26" s="1" t="s">
        <v>2423</v>
      </c>
      <c r="AJ26" s="1" t="s">
        <v>2424</v>
      </c>
      <c r="AK26">
        <v>298495244</v>
      </c>
      <c r="AL26" s="1" t="s">
        <v>2480</v>
      </c>
      <c r="AM26" s="1" t="s">
        <v>2619</v>
      </c>
      <c r="AN26" s="1" t="s">
        <v>2425</v>
      </c>
      <c r="AO26" s="1" t="s">
        <v>2426</v>
      </c>
      <c r="AP26">
        <v>298499592</v>
      </c>
      <c r="AQ26" s="1" t="s">
        <v>2570</v>
      </c>
      <c r="AR26" s="1" t="s">
        <v>2646</v>
      </c>
      <c r="AS26" s="1" t="s">
        <v>2427</v>
      </c>
      <c r="AT26" s="1" t="s">
        <v>2428</v>
      </c>
      <c r="AU26">
        <v>298499593</v>
      </c>
      <c r="AV26" s="1" t="s">
        <v>2611</v>
      </c>
      <c r="AW26" s="1" t="s">
        <v>2625</v>
      </c>
      <c r="AX26" s="1" t="s">
        <v>2429</v>
      </c>
      <c r="AY26">
        <v>624644365</v>
      </c>
      <c r="AZ26" s="1" t="s">
        <v>2430</v>
      </c>
      <c r="BB26" s="1" t="s">
        <v>2431</v>
      </c>
      <c r="BC26" s="1" t="s">
        <v>2432</v>
      </c>
      <c r="BD26">
        <v>29</v>
      </c>
      <c r="BE26">
        <v>298495244</v>
      </c>
      <c r="BF26">
        <v>48.3873291015625</v>
      </c>
      <c r="BG26">
        <v>-4.5258636474609304</v>
      </c>
      <c r="BH26">
        <v>451647903</v>
      </c>
      <c r="BI26">
        <v>58</v>
      </c>
      <c r="BJ26" s="2">
        <v>36649</v>
      </c>
      <c r="BK26" s="1" t="s">
        <v>3282</v>
      </c>
      <c r="BL26" s="1" t="s">
        <v>290</v>
      </c>
      <c r="BM26" s="1" t="s">
        <v>291</v>
      </c>
      <c r="BN26" s="1" t="s">
        <v>292</v>
      </c>
      <c r="BO26" s="1" t="s">
        <v>291</v>
      </c>
      <c r="BP26" s="1" t="s">
        <v>293</v>
      </c>
      <c r="BQ26" s="1" t="s">
        <v>294</v>
      </c>
      <c r="BR26">
        <v>80</v>
      </c>
      <c r="BS26">
        <v>12554303.67</v>
      </c>
      <c r="BT26" s="1" t="s">
        <v>295</v>
      </c>
      <c r="BU26" s="1" t="s">
        <v>663</v>
      </c>
      <c r="BV26">
        <v>277441</v>
      </c>
      <c r="BW26">
        <v>8.9767079936132633E-3</v>
      </c>
      <c r="BX26">
        <v>42.114261225028002</v>
      </c>
      <c r="BY26">
        <v>4.9047493461682121</v>
      </c>
      <c r="BZ26">
        <v>2.5017785323399484</v>
      </c>
      <c r="CA26">
        <v>49.52078910353616</v>
      </c>
      <c r="CB26" s="1" t="s">
        <v>443</v>
      </c>
      <c r="CC26">
        <v>1</v>
      </c>
      <c r="CD26" s="1" t="s">
        <v>298</v>
      </c>
      <c r="CE26" s="1" t="s">
        <v>504</v>
      </c>
      <c r="CF26">
        <v>1101</v>
      </c>
      <c r="CG26" s="1" t="s">
        <v>300</v>
      </c>
      <c r="CH26" s="1" t="s">
        <v>403</v>
      </c>
      <c r="CI26" s="1" t="s">
        <v>404</v>
      </c>
      <c r="CJ26" s="1" t="s">
        <v>301</v>
      </c>
      <c r="CK26" s="1" t="s">
        <v>302</v>
      </c>
      <c r="CL26" s="1" t="s">
        <v>527</v>
      </c>
      <c r="CM26">
        <v>3601651112004</v>
      </c>
      <c r="CO26" s="1" t="s">
        <v>322</v>
      </c>
      <c r="CP26" s="1" t="s">
        <v>304</v>
      </c>
      <c r="CQ26" s="1" t="s">
        <v>556</v>
      </c>
      <c r="CR26" s="1" t="s">
        <v>306</v>
      </c>
      <c r="CS26">
        <v>5465</v>
      </c>
      <c r="CT26">
        <v>3950</v>
      </c>
      <c r="CU26">
        <v>3700</v>
      </c>
      <c r="CV26" s="1" t="s">
        <v>307</v>
      </c>
      <c r="CW26" s="1" t="s">
        <v>308</v>
      </c>
      <c r="CY26">
        <v>1328</v>
      </c>
      <c r="CZ26" t="s">
        <v>368</v>
      </c>
      <c r="DA26" s="1" t="s">
        <v>309</v>
      </c>
      <c r="DB26">
        <v>1515</v>
      </c>
      <c r="DC26">
        <v>1515</v>
      </c>
      <c r="DD26">
        <v>0</v>
      </c>
      <c r="DE26">
        <v>0</v>
      </c>
      <c r="DF26">
        <v>187</v>
      </c>
      <c r="DG26">
        <v>1328</v>
      </c>
      <c r="DH26">
        <v>0</v>
      </c>
      <c r="DI26">
        <v>0</v>
      </c>
      <c r="DJ26">
        <v>0</v>
      </c>
      <c r="DK26" s="1" t="s">
        <v>369</v>
      </c>
      <c r="DL26" s="1" t="s">
        <v>311</v>
      </c>
      <c r="DN26" s="1"/>
      <c r="DO26">
        <v>770</v>
      </c>
      <c r="DP26">
        <v>770</v>
      </c>
      <c r="DQ26">
        <v>0</v>
      </c>
      <c r="DR26" s="1"/>
      <c r="DS26">
        <v>408</v>
      </c>
      <c r="DT26">
        <v>70</v>
      </c>
      <c r="DU26">
        <v>245</v>
      </c>
      <c r="DV26" t="s">
        <v>556</v>
      </c>
      <c r="DW26" s="1" t="s">
        <v>558</v>
      </c>
      <c r="DX26">
        <v>18</v>
      </c>
      <c r="DZ26">
        <v>2</v>
      </c>
      <c r="EA26">
        <v>2</v>
      </c>
      <c r="EB26">
        <v>7</v>
      </c>
      <c r="EC26">
        <v>1</v>
      </c>
      <c r="ED26">
        <v>1</v>
      </c>
      <c r="EE26">
        <v>0</v>
      </c>
      <c r="EF26">
        <v>11</v>
      </c>
      <c r="EG26">
        <v>2010</v>
      </c>
      <c r="EI26" s="1"/>
      <c r="EJ26" s="1" t="s">
        <v>313</v>
      </c>
      <c r="EK26" s="1" t="s">
        <v>314</v>
      </c>
      <c r="EL26">
        <v>25</v>
      </c>
      <c r="EM26">
        <v>21</v>
      </c>
      <c r="EN26">
        <v>12</v>
      </c>
      <c r="EO26" s="1" t="s">
        <v>315</v>
      </c>
      <c r="EP26">
        <v>22</v>
      </c>
      <c r="EQ26">
        <v>94.053600698120789</v>
      </c>
      <c r="ER26" s="1" t="s">
        <v>316</v>
      </c>
      <c r="ES26">
        <v>3.503742982933487</v>
      </c>
      <c r="ET26">
        <v>0</v>
      </c>
      <c r="EU26" s="1"/>
      <c r="EV26">
        <v>105.33127342443795</v>
      </c>
      <c r="EW26">
        <v>0</v>
      </c>
      <c r="EX26" t="s">
        <v>316</v>
      </c>
      <c r="EY26">
        <v>0</v>
      </c>
      <c r="EZ26" s="1" t="s">
        <v>317</v>
      </c>
      <c r="FA26" s="2"/>
      <c r="FB26" s="1" t="s">
        <v>318</v>
      </c>
      <c r="FC26">
        <v>1</v>
      </c>
      <c r="FD26" s="1"/>
      <c r="FE26" s="2"/>
      <c r="FF26" s="1"/>
      <c r="FG26" s="1" t="s">
        <v>319</v>
      </c>
      <c r="FH26" s="1" t="s">
        <v>319</v>
      </c>
      <c r="FI26" s="1" t="s">
        <v>319</v>
      </c>
      <c r="FJ26" s="1" t="s">
        <v>319</v>
      </c>
      <c r="FK26" s="1" t="s">
        <v>373</v>
      </c>
      <c r="FL26">
        <v>18.59</v>
      </c>
      <c r="FM26">
        <v>4213.726151012891</v>
      </c>
      <c r="FN26" s="1" t="s">
        <v>321</v>
      </c>
      <c r="FO26" s="1" t="s">
        <v>322</v>
      </c>
      <c r="FP26" s="1" t="s">
        <v>2433</v>
      </c>
      <c r="FQ26" s="1" t="s">
        <v>559</v>
      </c>
      <c r="FR26" s="1" t="s">
        <v>325</v>
      </c>
      <c r="FS26" s="1" t="s">
        <v>374</v>
      </c>
      <c r="FT26" s="1" t="s">
        <v>326</v>
      </c>
      <c r="FU26">
        <v>494198191</v>
      </c>
      <c r="FV26" s="1" t="s">
        <v>319</v>
      </c>
      <c r="FW26" s="1" t="s">
        <v>319</v>
      </c>
      <c r="FX26" s="1" t="s">
        <v>322</v>
      </c>
      <c r="FY26" s="1" t="s">
        <v>322</v>
      </c>
      <c r="FZ26" s="1" t="s">
        <v>322</v>
      </c>
      <c r="GA26" s="1" t="s">
        <v>322</v>
      </c>
      <c r="GB26" s="1" t="s">
        <v>319</v>
      </c>
      <c r="GC26" s="1" t="s">
        <v>322</v>
      </c>
      <c r="GD26" s="1" t="s">
        <v>319</v>
      </c>
      <c r="GE26" s="1" t="s">
        <v>319</v>
      </c>
      <c r="GF26" s="1" t="s">
        <v>415</v>
      </c>
      <c r="GG26" s="1"/>
      <c r="GH26" s="1" t="s">
        <v>319</v>
      </c>
      <c r="GI26" s="1"/>
      <c r="GJ26" s="1" t="s">
        <v>322</v>
      </c>
      <c r="GK26" s="2">
        <v>42370</v>
      </c>
      <c r="GL26" s="1" t="s">
        <v>322</v>
      </c>
      <c r="GM26" s="1" t="s">
        <v>322</v>
      </c>
      <c r="GN26">
        <v>43031</v>
      </c>
      <c r="GO26" s="1" t="s">
        <v>319</v>
      </c>
      <c r="GQ26" s="1"/>
      <c r="GR26" s="1"/>
      <c r="GS26" s="1"/>
      <c r="GT26" s="1" t="s">
        <v>319</v>
      </c>
      <c r="GU26" s="1" t="s">
        <v>319</v>
      </c>
      <c r="GV26" s="1" t="s">
        <v>319</v>
      </c>
      <c r="GW26" s="1" t="s">
        <v>319</v>
      </c>
      <c r="GX26" s="1" t="s">
        <v>319</v>
      </c>
      <c r="GY26" s="1" t="s">
        <v>319</v>
      </c>
      <c r="GZ26" s="1" t="s">
        <v>319</v>
      </c>
      <c r="HA26" s="2">
        <v>44067</v>
      </c>
      <c r="HB26" s="2">
        <v>42653</v>
      </c>
      <c r="HC26" s="1"/>
      <c r="HD26" s="1"/>
      <c r="HE26" s="1"/>
      <c r="HF26" s="1"/>
      <c r="HG26" s="1"/>
      <c r="HH26" s="1"/>
      <c r="HI26" s="1" t="s">
        <v>319</v>
      </c>
      <c r="HJ26" s="1" t="s">
        <v>330</v>
      </c>
      <c r="HK26" s="2"/>
      <c r="HL26" s="1"/>
      <c r="HM26" s="1" t="s">
        <v>322</v>
      </c>
      <c r="HN26" s="1" t="s">
        <v>322</v>
      </c>
      <c r="HO26" s="1" t="s">
        <v>322</v>
      </c>
      <c r="HP26" s="1"/>
      <c r="HQ26" s="1"/>
      <c r="HR26" s="1"/>
      <c r="HS26" s="1"/>
      <c r="HT26" s="1"/>
      <c r="HU26" s="1" t="s">
        <v>331</v>
      </c>
      <c r="HV26">
        <v>4622018012</v>
      </c>
      <c r="HW26">
        <v>40638830</v>
      </c>
      <c r="HX26">
        <v>99102569949</v>
      </c>
      <c r="HY26" s="1" t="s">
        <v>2434</v>
      </c>
      <c r="HZ26">
        <v>4320757</v>
      </c>
      <c r="IA26">
        <v>4321071</v>
      </c>
      <c r="IB26" s="1" t="s">
        <v>2435</v>
      </c>
      <c r="IC26">
        <v>830073</v>
      </c>
      <c r="ID26" s="1" t="s">
        <v>2436</v>
      </c>
      <c r="IE26">
        <v>5.08</v>
      </c>
      <c r="IF26">
        <v>4.0599999999999996</v>
      </c>
      <c r="IG26">
        <v>4.43</v>
      </c>
      <c r="IH26">
        <v>5.53</v>
      </c>
      <c r="II26">
        <v>5.95</v>
      </c>
      <c r="IJ26">
        <v>6.41</v>
      </c>
      <c r="IK26">
        <v>6.41</v>
      </c>
    </row>
    <row r="27" spans="1:245" x14ac:dyDescent="0.3">
      <c r="A27">
        <v>1919</v>
      </c>
      <c r="B27">
        <v>2425</v>
      </c>
      <c r="C27" s="1" t="s">
        <v>489</v>
      </c>
      <c r="D27" s="1" t="s">
        <v>382</v>
      </c>
      <c r="E27" t="s">
        <v>3275</v>
      </c>
      <c r="F27" s="1" t="s">
        <v>337</v>
      </c>
      <c r="G27" s="1" t="s">
        <v>338</v>
      </c>
      <c r="H27">
        <v>614540304</v>
      </c>
      <c r="I27" s="1" t="s">
        <v>490</v>
      </c>
      <c r="J27" s="1" t="s">
        <v>491</v>
      </c>
      <c r="K27">
        <v>610924842</v>
      </c>
      <c r="L27">
        <v>44228</v>
      </c>
      <c r="M27" s="1" t="s">
        <v>492</v>
      </c>
      <c r="N27" s="1" t="s">
        <v>493</v>
      </c>
      <c r="O27">
        <v>555867913</v>
      </c>
      <c r="P27" s="1" t="s">
        <v>273</v>
      </c>
      <c r="Q27" s="1" t="s">
        <v>454</v>
      </c>
      <c r="R27" s="1" t="s">
        <v>567</v>
      </c>
      <c r="S27" s="1" t="s">
        <v>494</v>
      </c>
      <c r="T27" s="1" t="s">
        <v>495</v>
      </c>
      <c r="U27">
        <v>555867914</v>
      </c>
      <c r="V27" s="1" t="s">
        <v>276</v>
      </c>
      <c r="W27" s="1" t="s">
        <v>454</v>
      </c>
      <c r="X27" s="1" t="s">
        <v>494</v>
      </c>
      <c r="Y27" s="1" t="s">
        <v>496</v>
      </c>
      <c r="Z27" s="1" t="s">
        <v>497</v>
      </c>
      <c r="AA27">
        <v>555867906</v>
      </c>
      <c r="AB27" s="1" t="s">
        <v>615</v>
      </c>
      <c r="AC27" s="1" t="s">
        <v>571</v>
      </c>
      <c r="AD27" s="1" t="s">
        <v>389</v>
      </c>
      <c r="AE27" s="1"/>
      <c r="AG27" s="1" t="s">
        <v>490</v>
      </c>
      <c r="AH27" s="1"/>
      <c r="AI27" s="1" t="s">
        <v>389</v>
      </c>
      <c r="AJ27" s="1"/>
      <c r="AL27" s="1" t="s">
        <v>565</v>
      </c>
      <c r="AM27" s="1" t="s">
        <v>392</v>
      </c>
      <c r="AN27" s="1" t="s">
        <v>498</v>
      </c>
      <c r="AO27" s="1" t="s">
        <v>499</v>
      </c>
      <c r="AP27">
        <v>555867908</v>
      </c>
      <c r="AQ27" s="1" t="s">
        <v>590</v>
      </c>
      <c r="AR27" s="1"/>
      <c r="AS27" s="1" t="s">
        <v>500</v>
      </c>
      <c r="AT27" s="1" t="s">
        <v>501</v>
      </c>
      <c r="AU27">
        <v>555867912</v>
      </c>
      <c r="AV27" s="1" t="s">
        <v>383</v>
      </c>
      <c r="AW27" s="1"/>
      <c r="AX27" s="1" t="s">
        <v>355</v>
      </c>
      <c r="AY27">
        <v>623422348</v>
      </c>
      <c r="AZ27" s="1" t="s">
        <v>356</v>
      </c>
      <c r="BA27">
        <v>678408520</v>
      </c>
      <c r="BB27" s="1" t="s">
        <v>502</v>
      </c>
      <c r="BC27" s="1" t="s">
        <v>503</v>
      </c>
      <c r="BD27">
        <v>19</v>
      </c>
      <c r="BE27">
        <v>555867906</v>
      </c>
      <c r="BF27">
        <v>45.1458740234375</v>
      </c>
      <c r="BG27">
        <v>1.46954345703125</v>
      </c>
      <c r="BH27">
        <v>451647903</v>
      </c>
      <c r="BI27">
        <v>1205</v>
      </c>
      <c r="BJ27" s="2">
        <v>40674</v>
      </c>
      <c r="BK27" s="1" t="s">
        <v>3382</v>
      </c>
      <c r="BL27" s="1" t="s">
        <v>290</v>
      </c>
      <c r="BM27" s="1" t="s">
        <v>291</v>
      </c>
      <c r="BN27" s="1" t="s">
        <v>292</v>
      </c>
      <c r="BO27" s="1" t="s">
        <v>291</v>
      </c>
      <c r="BP27" s="1" t="s">
        <v>293</v>
      </c>
      <c r="BQ27" s="1" t="s">
        <v>294</v>
      </c>
      <c r="BR27">
        <v>80</v>
      </c>
      <c r="BS27">
        <v>29125820.219999999</v>
      </c>
      <c r="BT27" s="1" t="s">
        <v>295</v>
      </c>
      <c r="BU27" s="1" t="s">
        <v>401</v>
      </c>
      <c r="BV27">
        <v>428041</v>
      </c>
      <c r="BW27">
        <v>1.1951662225757078E-2</v>
      </c>
      <c r="BX27">
        <v>59.228522450055998</v>
      </c>
      <c r="BY27">
        <v>5.9190072745653914</v>
      </c>
      <c r="BZ27">
        <v>7.4440589217819388</v>
      </c>
      <c r="CA27">
        <v>72.591588646403338</v>
      </c>
      <c r="CB27" s="1" t="s">
        <v>360</v>
      </c>
      <c r="CC27">
        <v>1</v>
      </c>
      <c r="CD27" s="1" t="s">
        <v>402</v>
      </c>
      <c r="CE27" s="1" t="s">
        <v>504</v>
      </c>
      <c r="CF27">
        <v>1106</v>
      </c>
      <c r="CG27" s="1" t="s">
        <v>362</v>
      </c>
      <c r="CH27" s="1" t="s">
        <v>403</v>
      </c>
      <c r="CI27" s="1" t="s">
        <v>404</v>
      </c>
      <c r="CJ27" s="1" t="s">
        <v>301</v>
      </c>
      <c r="CK27" s="1" t="s">
        <v>302</v>
      </c>
      <c r="CL27" s="1" t="s">
        <v>365</v>
      </c>
      <c r="CM27">
        <v>3601651110000</v>
      </c>
      <c r="CO27" s="1"/>
      <c r="CP27" s="1" t="s">
        <v>444</v>
      </c>
      <c r="CQ27" s="1" t="s">
        <v>406</v>
      </c>
      <c r="CR27" s="1" t="s">
        <v>505</v>
      </c>
      <c r="CS27">
        <v>6290</v>
      </c>
      <c r="CT27">
        <v>2990</v>
      </c>
      <c r="CU27">
        <v>3000</v>
      </c>
      <c r="CV27" s="1" t="s">
        <v>309</v>
      </c>
      <c r="CW27" s="1" t="s">
        <v>308</v>
      </c>
      <c r="CY27">
        <v>3260</v>
      </c>
      <c r="CZ27">
        <v>3000</v>
      </c>
      <c r="DA27" s="1" t="s">
        <v>309</v>
      </c>
      <c r="DB27">
        <v>3300</v>
      </c>
      <c r="DC27">
        <v>3300</v>
      </c>
      <c r="DD27">
        <v>0</v>
      </c>
      <c r="DE27">
        <v>0</v>
      </c>
      <c r="DF27">
        <v>1000</v>
      </c>
      <c r="DG27">
        <v>2300</v>
      </c>
      <c r="DH27">
        <v>0</v>
      </c>
      <c r="DI27">
        <v>0</v>
      </c>
      <c r="DJ27">
        <v>0</v>
      </c>
      <c r="DK27" s="1" t="s">
        <v>409</v>
      </c>
      <c r="DL27" s="1" t="s">
        <v>506</v>
      </c>
      <c r="DN27" s="1"/>
      <c r="DO27">
        <v>800</v>
      </c>
      <c r="DP27">
        <v>0</v>
      </c>
      <c r="DQ27">
        <v>800</v>
      </c>
      <c r="DR27" s="1"/>
      <c r="DS27">
        <v>400</v>
      </c>
      <c r="DT27">
        <v>70</v>
      </c>
      <c r="DU27">
        <v>309</v>
      </c>
      <c r="DV27">
        <v>214</v>
      </c>
      <c r="DW27" s="1" t="s">
        <v>371</v>
      </c>
      <c r="DX27">
        <v>18</v>
      </c>
      <c r="DZ27">
        <v>2</v>
      </c>
      <c r="EA27">
        <v>2</v>
      </c>
      <c r="EB27">
        <v>8</v>
      </c>
      <c r="EC27">
        <v>2</v>
      </c>
      <c r="ED27">
        <v>0</v>
      </c>
      <c r="EE27">
        <v>0</v>
      </c>
      <c r="EF27">
        <v>12</v>
      </c>
      <c r="EG27">
        <v>2011</v>
      </c>
      <c r="EI27" s="1"/>
      <c r="EJ27" s="1" t="s">
        <v>313</v>
      </c>
      <c r="EK27" s="1" t="s">
        <v>314</v>
      </c>
      <c r="EL27">
        <v>28</v>
      </c>
      <c r="EM27">
        <v>26</v>
      </c>
      <c r="EN27">
        <v>9</v>
      </c>
      <c r="EO27" s="1" t="s">
        <v>315</v>
      </c>
      <c r="EP27">
        <v>23</v>
      </c>
      <c r="EQ27">
        <v>64.257028112449802</v>
      </c>
      <c r="ER27" s="1" t="s">
        <v>316</v>
      </c>
      <c r="ES27">
        <v>1.6064257028112452</v>
      </c>
      <c r="ET27">
        <v>0</v>
      </c>
      <c r="EU27" s="1"/>
      <c r="EV27">
        <v>95.98393574297188</v>
      </c>
      <c r="EW27">
        <v>0</v>
      </c>
      <c r="EX27" t="s">
        <v>316</v>
      </c>
      <c r="EY27">
        <v>0</v>
      </c>
      <c r="EZ27" s="1" t="s">
        <v>412</v>
      </c>
      <c r="FA27" s="2">
        <v>44197</v>
      </c>
      <c r="FB27" s="1" t="s">
        <v>507</v>
      </c>
      <c r="FC27">
        <v>1</v>
      </c>
      <c r="FD27" s="1"/>
      <c r="FE27" s="2"/>
      <c r="FF27" s="1"/>
      <c r="FG27" s="1" t="s">
        <v>322</v>
      </c>
      <c r="FH27" s="1" t="s">
        <v>319</v>
      </c>
      <c r="FI27" s="1" t="s">
        <v>319</v>
      </c>
      <c r="FJ27" s="1" t="s">
        <v>319</v>
      </c>
      <c r="FK27" s="1" t="s">
        <v>373</v>
      </c>
      <c r="FL27">
        <v>18.59</v>
      </c>
      <c r="FM27">
        <v>6150.1534069981562</v>
      </c>
      <c r="FN27" s="1" t="s">
        <v>321</v>
      </c>
      <c r="FO27" s="1" t="s">
        <v>319</v>
      </c>
      <c r="FP27" s="1" t="s">
        <v>323</v>
      </c>
      <c r="FQ27" s="1" t="s">
        <v>324</v>
      </c>
      <c r="FR27" s="1" t="s">
        <v>325</v>
      </c>
      <c r="FS27" s="1"/>
      <c r="FT27" s="1" t="s">
        <v>326</v>
      </c>
      <c r="FU27">
        <v>494198191</v>
      </c>
      <c r="FV27" s="1" t="s">
        <v>322</v>
      </c>
      <c r="FW27" s="1" t="s">
        <v>322</v>
      </c>
      <c r="FX27" s="1" t="s">
        <v>322</v>
      </c>
      <c r="FY27" s="1" t="s">
        <v>322</v>
      </c>
      <c r="FZ27" s="1" t="s">
        <v>322</v>
      </c>
      <c r="GA27" s="1" t="s">
        <v>322</v>
      </c>
      <c r="GB27" s="1" t="s">
        <v>322</v>
      </c>
      <c r="GC27" s="1" t="s">
        <v>322</v>
      </c>
      <c r="GD27" s="1" t="s">
        <v>322</v>
      </c>
      <c r="GE27" s="1" t="s">
        <v>322</v>
      </c>
      <c r="GF27" s="1" t="s">
        <v>415</v>
      </c>
      <c r="GG27" s="1"/>
      <c r="GH27" s="1" t="s">
        <v>322</v>
      </c>
      <c r="GI27" s="1"/>
      <c r="GJ27" s="1" t="s">
        <v>322</v>
      </c>
      <c r="GK27" s="2">
        <v>41640</v>
      </c>
      <c r="GL27" s="1" t="s">
        <v>322</v>
      </c>
      <c r="GM27" s="1" t="s">
        <v>322</v>
      </c>
      <c r="GN27">
        <v>42996</v>
      </c>
      <c r="GO27" s="1" t="s">
        <v>322</v>
      </c>
      <c r="GP27">
        <v>40674</v>
      </c>
      <c r="GQ27" s="1" t="s">
        <v>508</v>
      </c>
      <c r="GR27" s="1" t="s">
        <v>322</v>
      </c>
      <c r="GS27" s="1" t="s">
        <v>377</v>
      </c>
      <c r="GT27" s="1" t="s">
        <v>322</v>
      </c>
      <c r="GU27" s="1" t="s">
        <v>509</v>
      </c>
      <c r="GV27" s="1" t="s">
        <v>322</v>
      </c>
      <c r="GW27" s="1" t="s">
        <v>322</v>
      </c>
      <c r="GX27" s="1" t="s">
        <v>319</v>
      </c>
      <c r="GY27" s="1" t="s">
        <v>319</v>
      </c>
      <c r="GZ27" s="1" t="s">
        <v>319</v>
      </c>
      <c r="HA27" s="2">
        <v>44064</v>
      </c>
      <c r="HB27" s="2">
        <v>42625</v>
      </c>
      <c r="HC27" s="1"/>
      <c r="HD27" s="1"/>
      <c r="HE27" s="1"/>
      <c r="HF27" s="1"/>
      <c r="HG27" s="1"/>
      <c r="HH27" s="1"/>
      <c r="HI27" s="1" t="s">
        <v>322</v>
      </c>
      <c r="HJ27" s="1" t="s">
        <v>330</v>
      </c>
      <c r="HK27" s="2"/>
      <c r="HL27" s="1"/>
      <c r="HM27" s="1" t="s">
        <v>322</v>
      </c>
      <c r="HN27" s="1" t="s">
        <v>322</v>
      </c>
      <c r="HO27" s="1" t="s">
        <v>322</v>
      </c>
      <c r="HP27" s="1"/>
      <c r="HQ27" s="1"/>
      <c r="HR27" s="1"/>
      <c r="HS27" s="1"/>
      <c r="HT27" s="1"/>
      <c r="HU27" s="1" t="s">
        <v>331</v>
      </c>
      <c r="HV27">
        <v>4631524011</v>
      </c>
      <c r="HW27">
        <v>40638273</v>
      </c>
      <c r="HX27">
        <v>99102565668</v>
      </c>
      <c r="HY27" s="1" t="s">
        <v>510</v>
      </c>
      <c r="HZ27">
        <v>4242184</v>
      </c>
      <c r="IA27">
        <v>4321340</v>
      </c>
      <c r="IB27" s="1" t="s">
        <v>511</v>
      </c>
      <c r="IC27">
        <v>830226</v>
      </c>
      <c r="ID27" s="1" t="s">
        <v>512</v>
      </c>
      <c r="IE27">
        <v>3.37</v>
      </c>
      <c r="IF27">
        <v>4.37</v>
      </c>
      <c r="IG27">
        <v>4.7300000000000004</v>
      </c>
      <c r="IH27">
        <v>5.91</v>
      </c>
      <c r="II27">
        <v>7.38</v>
      </c>
      <c r="IJ27">
        <v>7.3964285714285714</v>
      </c>
      <c r="IK27">
        <v>7.37</v>
      </c>
    </row>
    <row r="28" spans="1:245" x14ac:dyDescent="0.3">
      <c r="A28">
        <v>1762</v>
      </c>
      <c r="B28">
        <v>2377</v>
      </c>
      <c r="C28" s="1" t="s">
        <v>1801</v>
      </c>
      <c r="D28" s="1" t="s">
        <v>1451</v>
      </c>
      <c r="E28" t="s">
        <v>3275</v>
      </c>
      <c r="F28" s="1" t="s">
        <v>1728</v>
      </c>
      <c r="G28" s="1" t="s">
        <v>1729</v>
      </c>
      <c r="H28">
        <v>626529799</v>
      </c>
      <c r="I28" s="1" t="s">
        <v>1802</v>
      </c>
      <c r="J28" s="1" t="s">
        <v>1803</v>
      </c>
      <c r="K28">
        <v>631890334</v>
      </c>
      <c r="L28">
        <v>44592</v>
      </c>
      <c r="M28" s="1" t="s">
        <v>1804</v>
      </c>
      <c r="N28" s="1" t="s">
        <v>1805</v>
      </c>
      <c r="O28">
        <v>675656496</v>
      </c>
      <c r="P28" s="1" t="s">
        <v>273</v>
      </c>
      <c r="Q28" s="1" t="s">
        <v>1898</v>
      </c>
      <c r="R28" s="1" t="s">
        <v>1875</v>
      </c>
      <c r="S28" s="1" t="s">
        <v>524</v>
      </c>
      <c r="T28" s="1"/>
      <c r="V28" s="1"/>
      <c r="W28" s="1" t="s">
        <v>1873</v>
      </c>
      <c r="X28" s="1" t="s">
        <v>1734</v>
      </c>
      <c r="Y28" s="1" t="s">
        <v>1806</v>
      </c>
      <c r="Z28" s="1" t="s">
        <v>1807</v>
      </c>
      <c r="AA28">
        <v>391800630</v>
      </c>
      <c r="AB28" s="1" t="s">
        <v>1764</v>
      </c>
      <c r="AC28" s="1" t="s">
        <v>1806</v>
      </c>
      <c r="AD28" s="1" t="s">
        <v>1808</v>
      </c>
      <c r="AE28" s="1" t="s">
        <v>1809</v>
      </c>
      <c r="AF28">
        <v>391800630</v>
      </c>
      <c r="AG28" s="1" t="s">
        <v>1950</v>
      </c>
      <c r="AH28" s="1" t="s">
        <v>1835</v>
      </c>
      <c r="AI28" s="1" t="s">
        <v>1810</v>
      </c>
      <c r="AJ28" s="1" t="s">
        <v>1811</v>
      </c>
      <c r="AK28">
        <v>391800630</v>
      </c>
      <c r="AL28" s="1" t="s">
        <v>1920</v>
      </c>
      <c r="AM28" s="1" t="s">
        <v>1858</v>
      </c>
      <c r="AN28" s="1" t="s">
        <v>1812</v>
      </c>
      <c r="AO28" s="1" t="s">
        <v>1813</v>
      </c>
      <c r="AP28">
        <v>391800632</v>
      </c>
      <c r="AQ28" s="1" t="s">
        <v>1730</v>
      </c>
      <c r="AR28" s="1" t="s">
        <v>1740</v>
      </c>
      <c r="AS28" s="1" t="s">
        <v>1814</v>
      </c>
      <c r="AT28" s="1" t="s">
        <v>1815</v>
      </c>
      <c r="AU28">
        <v>391800630</v>
      </c>
      <c r="AV28" s="1" t="s">
        <v>1850</v>
      </c>
      <c r="AW28" s="1" t="s">
        <v>1955</v>
      </c>
      <c r="AX28" s="1" t="s">
        <v>1744</v>
      </c>
      <c r="AY28">
        <v>617425654</v>
      </c>
      <c r="AZ28" s="1" t="s">
        <v>660</v>
      </c>
      <c r="BA28">
        <v>678409252</v>
      </c>
      <c r="BB28" s="1" t="s">
        <v>1816</v>
      </c>
      <c r="BC28" s="1" t="s">
        <v>1817</v>
      </c>
      <c r="BD28">
        <v>62</v>
      </c>
      <c r="BE28">
        <v>391800630</v>
      </c>
      <c r="BF28">
        <v>50.4945068359375</v>
      </c>
      <c r="BG28">
        <v>2.58512115478515</v>
      </c>
      <c r="BH28">
        <v>451647903</v>
      </c>
      <c r="BI28">
        <v>371</v>
      </c>
      <c r="BJ28" s="2">
        <v>37489</v>
      </c>
      <c r="BK28" s="1" t="s">
        <v>3307</v>
      </c>
      <c r="BL28" s="1" t="s">
        <v>290</v>
      </c>
      <c r="BM28" s="1" t="s">
        <v>291</v>
      </c>
      <c r="BN28" s="1" t="s">
        <v>292</v>
      </c>
      <c r="BO28" s="1" t="s">
        <v>291</v>
      </c>
      <c r="BP28" s="1" t="s">
        <v>293</v>
      </c>
      <c r="BQ28" s="1" t="s">
        <v>294</v>
      </c>
      <c r="BR28">
        <v>80</v>
      </c>
      <c r="BS28">
        <v>22281121.629999999</v>
      </c>
      <c r="BT28" s="1" t="s">
        <v>295</v>
      </c>
      <c r="BU28" s="1" t="s">
        <v>359</v>
      </c>
      <c r="BV28">
        <v>391587</v>
      </c>
      <c r="BW28">
        <v>1.0720088716852537E-2</v>
      </c>
      <c r="BX28">
        <v>47.656886661831599</v>
      </c>
      <c r="BY28">
        <v>6.9309191006791053</v>
      </c>
      <c r="BZ28">
        <v>6.3066498538493674</v>
      </c>
      <c r="CA28">
        <v>60.894455616360069</v>
      </c>
      <c r="CB28" s="1" t="s">
        <v>297</v>
      </c>
      <c r="CC28">
        <v>1</v>
      </c>
      <c r="CD28" s="1" t="s">
        <v>298</v>
      </c>
      <c r="CE28" s="1" t="s">
        <v>504</v>
      </c>
      <c r="CF28">
        <v>1101</v>
      </c>
      <c r="CG28" s="1" t="s">
        <v>300</v>
      </c>
      <c r="CH28" s="1" t="s">
        <v>1474</v>
      </c>
      <c r="CI28" s="1" t="s">
        <v>1475</v>
      </c>
      <c r="CJ28" s="1" t="s">
        <v>1474</v>
      </c>
      <c r="CK28" s="1" t="s">
        <v>1475</v>
      </c>
      <c r="CL28" s="1" t="s">
        <v>1476</v>
      </c>
      <c r="CM28">
        <v>3020409000010</v>
      </c>
      <c r="CO28" s="1"/>
      <c r="CP28" s="1" t="s">
        <v>444</v>
      </c>
      <c r="CQ28" s="1" t="s">
        <v>406</v>
      </c>
      <c r="CR28" s="1" t="s">
        <v>306</v>
      </c>
      <c r="CS28">
        <v>7223</v>
      </c>
      <c r="CT28">
        <v>3700</v>
      </c>
      <c r="CU28">
        <v>3700</v>
      </c>
      <c r="CV28" s="1" t="s">
        <v>307</v>
      </c>
      <c r="CW28" s="1" t="s">
        <v>308</v>
      </c>
      <c r="CY28">
        <v>3523</v>
      </c>
      <c r="CZ28">
        <v>3500</v>
      </c>
      <c r="DA28" s="1" t="s">
        <v>307</v>
      </c>
      <c r="DB28">
        <v>3523</v>
      </c>
      <c r="DC28">
        <v>3523</v>
      </c>
      <c r="DD28">
        <v>0</v>
      </c>
      <c r="DE28">
        <v>0</v>
      </c>
      <c r="DF28">
        <v>991</v>
      </c>
      <c r="DG28">
        <v>2532</v>
      </c>
      <c r="DH28">
        <v>0</v>
      </c>
      <c r="DI28">
        <v>0</v>
      </c>
      <c r="DJ28">
        <v>0</v>
      </c>
      <c r="DK28" s="1" t="s">
        <v>369</v>
      </c>
      <c r="DL28" s="1" t="s">
        <v>1818</v>
      </c>
      <c r="DN28" s="1"/>
      <c r="DO28">
        <v>960</v>
      </c>
      <c r="DP28">
        <v>0</v>
      </c>
      <c r="DQ28">
        <v>960</v>
      </c>
      <c r="DR28" s="1"/>
      <c r="DS28">
        <v>400</v>
      </c>
      <c r="DT28">
        <v>115</v>
      </c>
      <c r="DU28">
        <v>230</v>
      </c>
      <c r="DV28">
        <v>294</v>
      </c>
      <c r="DW28" s="1" t="s">
        <v>371</v>
      </c>
      <c r="DX28">
        <v>17</v>
      </c>
      <c r="DZ28">
        <v>2</v>
      </c>
      <c r="EA28">
        <v>2</v>
      </c>
      <c r="EB28">
        <v>8</v>
      </c>
      <c r="EC28">
        <v>2</v>
      </c>
      <c r="ED28">
        <v>0</v>
      </c>
      <c r="EE28">
        <v>0</v>
      </c>
      <c r="EF28">
        <v>12</v>
      </c>
      <c r="EG28">
        <v>2010</v>
      </c>
      <c r="EI28" s="1"/>
      <c r="EJ28" s="1" t="s">
        <v>313</v>
      </c>
      <c r="EK28" s="1" t="s">
        <v>314</v>
      </c>
      <c r="EL28">
        <v>25</v>
      </c>
      <c r="EM28">
        <v>21</v>
      </c>
      <c r="EN28">
        <v>13</v>
      </c>
      <c r="EO28" s="1" t="s">
        <v>1290</v>
      </c>
      <c r="EP28">
        <v>18</v>
      </c>
      <c r="EQ28">
        <v>75.872687789964957</v>
      </c>
      <c r="ER28" s="1" t="s">
        <v>411</v>
      </c>
      <c r="ES28">
        <v>6.5477319534044494</v>
      </c>
      <c r="ET28">
        <v>0</v>
      </c>
      <c r="EU28" s="1"/>
      <c r="EV28">
        <v>87.820611045146279</v>
      </c>
      <c r="EW28">
        <v>0</v>
      </c>
      <c r="EX28" t="s">
        <v>316</v>
      </c>
      <c r="EY28">
        <v>0</v>
      </c>
      <c r="EZ28" s="1" t="s">
        <v>412</v>
      </c>
      <c r="FA28" s="2">
        <v>43348</v>
      </c>
      <c r="FB28" s="1" t="s">
        <v>791</v>
      </c>
      <c r="FC28">
        <v>1</v>
      </c>
      <c r="FD28" s="1"/>
      <c r="FE28" s="2"/>
      <c r="FF28" s="1"/>
      <c r="FG28" s="1" t="s">
        <v>319</v>
      </c>
      <c r="FH28" s="1" t="s">
        <v>319</v>
      </c>
      <c r="FI28" s="1" t="s">
        <v>322</v>
      </c>
      <c r="FJ28" s="1" t="s">
        <v>319</v>
      </c>
      <c r="FK28" s="1" t="s">
        <v>320</v>
      </c>
      <c r="FL28">
        <v>18.920000000000002</v>
      </c>
      <c r="FM28">
        <v>4097.6579804560261</v>
      </c>
      <c r="FN28" s="1" t="s">
        <v>321</v>
      </c>
      <c r="FO28" s="1" t="s">
        <v>322</v>
      </c>
      <c r="FP28" s="1" t="s">
        <v>323</v>
      </c>
      <c r="FQ28" s="1" t="s">
        <v>1792</v>
      </c>
      <c r="FR28" s="1" t="s">
        <v>1750</v>
      </c>
      <c r="FS28" s="1"/>
      <c r="FT28" s="1" t="s">
        <v>1751</v>
      </c>
      <c r="FV28" s="1" t="s">
        <v>322</v>
      </c>
      <c r="FW28" s="1" t="s">
        <v>322</v>
      </c>
      <c r="FX28" s="1" t="s">
        <v>322</v>
      </c>
      <c r="FY28" s="1" t="s">
        <v>322</v>
      </c>
      <c r="FZ28" s="1" t="s">
        <v>322</v>
      </c>
      <c r="GA28" s="1" t="s">
        <v>322</v>
      </c>
      <c r="GB28" s="1" t="s">
        <v>322</v>
      </c>
      <c r="GC28" s="1" t="s">
        <v>322</v>
      </c>
      <c r="GD28" s="1" t="s">
        <v>319</v>
      </c>
      <c r="GE28" s="1" t="s">
        <v>319</v>
      </c>
      <c r="GF28" s="1" t="s">
        <v>415</v>
      </c>
      <c r="GG28" s="1"/>
      <c r="GH28" s="1" t="s">
        <v>319</v>
      </c>
      <c r="GI28" s="1"/>
      <c r="GJ28" s="1" t="s">
        <v>322</v>
      </c>
      <c r="GK28" s="2">
        <v>42005</v>
      </c>
      <c r="GL28" s="1" t="s">
        <v>322</v>
      </c>
      <c r="GM28" s="1" t="s">
        <v>322</v>
      </c>
      <c r="GN28">
        <v>42954</v>
      </c>
      <c r="GO28" s="1" t="s">
        <v>322</v>
      </c>
      <c r="GP28">
        <v>43952</v>
      </c>
      <c r="GQ28" s="1" t="s">
        <v>1819</v>
      </c>
      <c r="GR28" s="1" t="s">
        <v>1820</v>
      </c>
      <c r="GS28" s="1" t="s">
        <v>1820</v>
      </c>
      <c r="GT28" s="1" t="s">
        <v>322</v>
      </c>
      <c r="GU28" s="1" t="s">
        <v>1797</v>
      </c>
      <c r="GV28" s="1" t="s">
        <v>322</v>
      </c>
      <c r="GW28" s="1" t="s">
        <v>319</v>
      </c>
      <c r="GX28" s="1" t="s">
        <v>322</v>
      </c>
      <c r="GY28" s="1" t="s">
        <v>319</v>
      </c>
      <c r="GZ28" s="1" t="s">
        <v>319</v>
      </c>
      <c r="HA28" s="2">
        <v>44064</v>
      </c>
      <c r="HB28" s="2">
        <v>42653</v>
      </c>
      <c r="HC28" s="1"/>
      <c r="HD28" s="1"/>
      <c r="HE28" s="1"/>
      <c r="HF28" s="1"/>
      <c r="HG28" s="1"/>
      <c r="HH28" s="1"/>
      <c r="HI28" s="1" t="s">
        <v>322</v>
      </c>
      <c r="HJ28" s="1" t="s">
        <v>330</v>
      </c>
      <c r="HK28" s="2"/>
      <c r="HL28" s="1"/>
      <c r="HM28" s="1" t="s">
        <v>322</v>
      </c>
      <c r="HN28" s="1" t="s">
        <v>322</v>
      </c>
      <c r="HO28" s="1"/>
      <c r="HP28" s="1"/>
      <c r="HQ28" s="1"/>
      <c r="HR28" s="1"/>
      <c r="HS28" s="1"/>
      <c r="HT28" s="1"/>
      <c r="HU28" s="1" t="s">
        <v>331</v>
      </c>
      <c r="HV28">
        <v>4621975013</v>
      </c>
      <c r="HW28">
        <v>40638540</v>
      </c>
      <c r="HX28">
        <v>99102567874</v>
      </c>
      <c r="HY28" s="1" t="s">
        <v>1821</v>
      </c>
      <c r="HZ28">
        <v>4320764</v>
      </c>
      <c r="IA28">
        <v>4321084</v>
      </c>
      <c r="IB28" s="1" t="s">
        <v>1822</v>
      </c>
      <c r="IC28">
        <v>830258</v>
      </c>
      <c r="ID28" s="1" t="s">
        <v>1823</v>
      </c>
      <c r="IE28">
        <v>3.67</v>
      </c>
      <c r="IF28">
        <v>4.34</v>
      </c>
      <c r="IG28">
        <v>4.72</v>
      </c>
      <c r="IH28">
        <v>5.8</v>
      </c>
      <c r="II28">
        <v>4.95</v>
      </c>
      <c r="IJ28">
        <v>4.46</v>
      </c>
      <c r="IK28">
        <v>4.46</v>
      </c>
    </row>
    <row r="29" spans="1:245" x14ac:dyDescent="0.3">
      <c r="A29">
        <v>1718</v>
      </c>
      <c r="B29">
        <v>2343</v>
      </c>
      <c r="C29" s="1" t="s">
        <v>2257</v>
      </c>
      <c r="D29" s="1" t="s">
        <v>2232</v>
      </c>
      <c r="E29" t="s">
        <v>3275</v>
      </c>
      <c r="F29" s="1" t="s">
        <v>2181</v>
      </c>
      <c r="G29" s="1" t="s">
        <v>2182</v>
      </c>
      <c r="H29">
        <v>686016869</v>
      </c>
      <c r="I29" s="1" t="s">
        <v>2258</v>
      </c>
      <c r="J29" s="1" t="s">
        <v>2259</v>
      </c>
      <c r="L29">
        <v>44378</v>
      </c>
      <c r="M29" s="1" t="s">
        <v>2260</v>
      </c>
      <c r="N29" s="1" t="s">
        <v>2261</v>
      </c>
      <c r="O29">
        <v>231081755</v>
      </c>
      <c r="P29" s="1" t="s">
        <v>273</v>
      </c>
      <c r="Q29" s="1" t="s">
        <v>2324</v>
      </c>
      <c r="R29" s="1" t="s">
        <v>2260</v>
      </c>
      <c r="S29" s="1" t="s">
        <v>524</v>
      </c>
      <c r="T29" s="1"/>
      <c r="V29" s="1"/>
      <c r="W29" s="1" t="s">
        <v>2324</v>
      </c>
      <c r="X29" s="1" t="s">
        <v>2187</v>
      </c>
      <c r="Y29" s="1" t="s">
        <v>2262</v>
      </c>
      <c r="Z29" s="1" t="s">
        <v>2263</v>
      </c>
      <c r="AA29">
        <v>231712043</v>
      </c>
      <c r="AB29" s="1" t="s">
        <v>2183</v>
      </c>
      <c r="AC29" s="1" t="s">
        <v>2353</v>
      </c>
      <c r="AD29" s="1" t="s">
        <v>2264</v>
      </c>
      <c r="AE29" s="1" t="s">
        <v>2265</v>
      </c>
      <c r="AF29">
        <v>786970470</v>
      </c>
      <c r="AG29" s="1" t="s">
        <v>2233</v>
      </c>
      <c r="AH29" s="1" t="s">
        <v>2217</v>
      </c>
      <c r="AI29" s="1" t="s">
        <v>2266</v>
      </c>
      <c r="AJ29" s="1" t="s">
        <v>2267</v>
      </c>
      <c r="AK29">
        <v>231712045</v>
      </c>
      <c r="AL29" s="1" t="s">
        <v>2391</v>
      </c>
      <c r="AM29" s="1" t="s">
        <v>2401</v>
      </c>
      <c r="AN29" s="1" t="s">
        <v>2268</v>
      </c>
      <c r="AO29" s="1" t="s">
        <v>2269</v>
      </c>
      <c r="AP29">
        <v>231712042</v>
      </c>
      <c r="AQ29" s="1" t="s">
        <v>2345</v>
      </c>
      <c r="AR29" s="1" t="s">
        <v>2289</v>
      </c>
      <c r="AS29" s="1" t="s">
        <v>2270</v>
      </c>
      <c r="AT29" s="1" t="s">
        <v>2271</v>
      </c>
      <c r="AU29">
        <v>231712048</v>
      </c>
      <c r="AV29" s="1" t="s">
        <v>2368</v>
      </c>
      <c r="AW29" s="1" t="s">
        <v>2223</v>
      </c>
      <c r="AX29" s="1" t="s">
        <v>2199</v>
      </c>
      <c r="AY29">
        <v>620112924</v>
      </c>
      <c r="AZ29" s="1" t="s">
        <v>356</v>
      </c>
      <c r="BA29">
        <v>678408519</v>
      </c>
      <c r="BB29" s="1" t="s">
        <v>2272</v>
      </c>
      <c r="BC29" s="1" t="s">
        <v>2273</v>
      </c>
      <c r="BD29">
        <v>14</v>
      </c>
      <c r="BE29">
        <v>231712040</v>
      </c>
      <c r="BF29">
        <v>49.19091796875</v>
      </c>
      <c r="BG29">
        <v>-0.4327392578125</v>
      </c>
      <c r="BH29">
        <v>451647903</v>
      </c>
      <c r="BI29">
        <v>140</v>
      </c>
      <c r="BJ29" s="2">
        <v>35643</v>
      </c>
      <c r="BK29" s="1" t="s">
        <v>3277</v>
      </c>
      <c r="BL29" s="1" t="s">
        <v>290</v>
      </c>
      <c r="BM29" s="1" t="s">
        <v>291</v>
      </c>
      <c r="BN29" s="1" t="s">
        <v>292</v>
      </c>
      <c r="BO29" s="1" t="s">
        <v>291</v>
      </c>
      <c r="BP29" s="1" t="s">
        <v>293</v>
      </c>
      <c r="BQ29" s="1" t="s">
        <v>294</v>
      </c>
      <c r="BR29">
        <v>80</v>
      </c>
      <c r="BS29">
        <v>33204606.34</v>
      </c>
      <c r="BT29" s="1" t="s">
        <v>295</v>
      </c>
      <c r="BU29" s="1" t="s">
        <v>555</v>
      </c>
      <c r="BV29">
        <v>498873</v>
      </c>
      <c r="BW29">
        <v>1.2409137328114935E-2</v>
      </c>
      <c r="BX29">
        <v>64.457110832728901</v>
      </c>
      <c r="BY29">
        <v>11.545207797630828</v>
      </c>
      <c r="BZ29">
        <v>5.4119574295070434</v>
      </c>
      <c r="CA29">
        <v>81.414276059866765</v>
      </c>
      <c r="CB29" s="1" t="s">
        <v>297</v>
      </c>
      <c r="CC29">
        <v>2</v>
      </c>
      <c r="CD29" s="1" t="s">
        <v>298</v>
      </c>
      <c r="CE29" s="1" t="s">
        <v>299</v>
      </c>
      <c r="CF29">
        <v>1101</v>
      </c>
      <c r="CG29" s="1" t="s">
        <v>300</v>
      </c>
      <c r="CH29" s="1" t="s">
        <v>403</v>
      </c>
      <c r="CI29" s="1" t="s">
        <v>404</v>
      </c>
      <c r="CJ29" s="1" t="s">
        <v>301</v>
      </c>
      <c r="CK29" s="1" t="s">
        <v>302</v>
      </c>
      <c r="CL29" s="1" t="s">
        <v>527</v>
      </c>
      <c r="CM29">
        <v>3601651112004</v>
      </c>
      <c r="CO29" s="1"/>
      <c r="CP29" s="1" t="s">
        <v>304</v>
      </c>
      <c r="CQ29" s="1" t="s">
        <v>305</v>
      </c>
      <c r="CR29" s="1" t="s">
        <v>407</v>
      </c>
      <c r="CS29">
        <v>5848</v>
      </c>
      <c r="CT29">
        <v>2978</v>
      </c>
      <c r="CU29">
        <v>3000</v>
      </c>
      <c r="CV29" s="1" t="s">
        <v>309</v>
      </c>
      <c r="CW29" s="1" t="s">
        <v>408</v>
      </c>
      <c r="CX29">
        <v>500</v>
      </c>
      <c r="CY29">
        <v>2870</v>
      </c>
      <c r="CZ29" t="s">
        <v>368</v>
      </c>
      <c r="DA29" s="1" t="s">
        <v>309</v>
      </c>
      <c r="DB29">
        <v>2870</v>
      </c>
      <c r="DC29">
        <v>2870</v>
      </c>
      <c r="DD29">
        <v>0</v>
      </c>
      <c r="DE29">
        <v>0</v>
      </c>
      <c r="DF29">
        <v>890</v>
      </c>
      <c r="DG29">
        <v>1980</v>
      </c>
      <c r="DH29">
        <v>0</v>
      </c>
      <c r="DI29">
        <v>0</v>
      </c>
      <c r="DJ29">
        <v>0</v>
      </c>
      <c r="DK29" s="1" t="s">
        <v>557</v>
      </c>
      <c r="DL29" s="1" t="s">
        <v>741</v>
      </c>
      <c r="DM29">
        <v>500</v>
      </c>
      <c r="DN29" s="1"/>
      <c r="DO29">
        <v>1100</v>
      </c>
      <c r="DP29">
        <v>0</v>
      </c>
      <c r="DQ29">
        <v>1100</v>
      </c>
      <c r="DR29" s="1"/>
      <c r="DS29">
        <v>1040</v>
      </c>
      <c r="DT29">
        <v>50</v>
      </c>
      <c r="DU29">
        <v>280</v>
      </c>
      <c r="DV29">
        <v>180</v>
      </c>
      <c r="DW29" s="1" t="s">
        <v>371</v>
      </c>
      <c r="DX29">
        <v>23</v>
      </c>
      <c r="DZ29">
        <v>3</v>
      </c>
      <c r="EA29">
        <v>2</v>
      </c>
      <c r="EB29">
        <v>8</v>
      </c>
      <c r="EC29">
        <v>4</v>
      </c>
      <c r="ED29">
        <v>0</v>
      </c>
      <c r="EE29">
        <v>0</v>
      </c>
      <c r="EF29">
        <v>14</v>
      </c>
      <c r="EG29">
        <v>2010</v>
      </c>
      <c r="EI29" s="1"/>
      <c r="EJ29" s="1" t="s">
        <v>313</v>
      </c>
      <c r="EK29" s="1" t="s">
        <v>314</v>
      </c>
      <c r="EL29">
        <v>40</v>
      </c>
      <c r="EM29">
        <v>38</v>
      </c>
      <c r="EN29">
        <v>13</v>
      </c>
      <c r="EO29" s="1" t="s">
        <v>315</v>
      </c>
      <c r="EP29">
        <v>39</v>
      </c>
      <c r="EQ29">
        <v>104.75043209553239</v>
      </c>
      <c r="ER29" s="1" t="s">
        <v>480</v>
      </c>
      <c r="ES29">
        <v>2.473274091144515</v>
      </c>
      <c r="ET29">
        <v>0</v>
      </c>
      <c r="EU29" s="1"/>
      <c r="EV29">
        <v>67.214860594633279</v>
      </c>
      <c r="EW29">
        <v>3</v>
      </c>
      <c r="EX29" t="s">
        <v>316</v>
      </c>
      <c r="EY29">
        <v>3</v>
      </c>
      <c r="EZ29" s="1" t="s">
        <v>412</v>
      </c>
      <c r="FA29" s="2">
        <v>44197</v>
      </c>
      <c r="FB29" s="1" t="s">
        <v>791</v>
      </c>
      <c r="FC29">
        <v>2</v>
      </c>
      <c r="FD29" s="1"/>
      <c r="FE29" s="2"/>
      <c r="FF29" s="1"/>
      <c r="FG29" s="1" t="s">
        <v>319</v>
      </c>
      <c r="FH29" s="1" t="s">
        <v>319</v>
      </c>
      <c r="FI29" s="1" t="s">
        <v>319</v>
      </c>
      <c r="FJ29" s="1" t="s">
        <v>319</v>
      </c>
      <c r="FK29" s="1" t="s">
        <v>373</v>
      </c>
      <c r="FL29">
        <v>18.59</v>
      </c>
      <c r="FM29">
        <v>7493.3589318600361</v>
      </c>
      <c r="FN29" s="1" t="s">
        <v>321</v>
      </c>
      <c r="FO29" s="1" t="s">
        <v>319</v>
      </c>
      <c r="FP29" s="1" t="s">
        <v>323</v>
      </c>
      <c r="FQ29" s="1" t="s">
        <v>559</v>
      </c>
      <c r="FR29" s="1" t="s">
        <v>325</v>
      </c>
      <c r="FS29" s="1"/>
      <c r="FT29" s="1" t="s">
        <v>326</v>
      </c>
      <c r="FU29">
        <v>494198191</v>
      </c>
      <c r="FV29" s="1" t="s">
        <v>322</v>
      </c>
      <c r="FW29" s="1" t="s">
        <v>322</v>
      </c>
      <c r="FX29" s="1" t="s">
        <v>322</v>
      </c>
      <c r="FY29" s="1" t="s">
        <v>322</v>
      </c>
      <c r="FZ29" s="1" t="s">
        <v>322</v>
      </c>
      <c r="GA29" s="1" t="s">
        <v>322</v>
      </c>
      <c r="GB29" s="1" t="s">
        <v>319</v>
      </c>
      <c r="GC29" s="1" t="s">
        <v>322</v>
      </c>
      <c r="GD29" s="1" t="s">
        <v>319</v>
      </c>
      <c r="GE29" s="1" t="s">
        <v>319</v>
      </c>
      <c r="GF29" s="1" t="s">
        <v>327</v>
      </c>
      <c r="GG29" s="1"/>
      <c r="GH29" s="1" t="s">
        <v>322</v>
      </c>
      <c r="GI29" s="1" t="s">
        <v>1357</v>
      </c>
      <c r="GJ29" s="1" t="s">
        <v>322</v>
      </c>
      <c r="GK29" s="2">
        <v>42005</v>
      </c>
      <c r="GL29" s="1" t="s">
        <v>322</v>
      </c>
      <c r="GM29" s="1" t="s">
        <v>322</v>
      </c>
      <c r="GN29">
        <v>43129</v>
      </c>
      <c r="GO29" s="1" t="s">
        <v>322</v>
      </c>
      <c r="GP29">
        <v>41030</v>
      </c>
      <c r="GQ29" s="1" t="s">
        <v>2274</v>
      </c>
      <c r="GR29" s="1" t="s">
        <v>322</v>
      </c>
      <c r="GS29" s="1" t="s">
        <v>448</v>
      </c>
      <c r="GT29" s="1" t="s">
        <v>319</v>
      </c>
      <c r="GU29" s="1" t="s">
        <v>319</v>
      </c>
      <c r="GV29" s="1" t="s">
        <v>319</v>
      </c>
      <c r="GW29" s="1" t="s">
        <v>319</v>
      </c>
      <c r="GX29" s="1" t="s">
        <v>319</v>
      </c>
      <c r="GY29" s="1" t="s">
        <v>319</v>
      </c>
      <c r="GZ29" s="1" t="s">
        <v>319</v>
      </c>
      <c r="HA29" s="2">
        <v>44064</v>
      </c>
      <c r="HB29" s="2">
        <v>42625</v>
      </c>
      <c r="HC29" s="1"/>
      <c r="HD29" s="1"/>
      <c r="HE29" s="1"/>
      <c r="HF29" s="1"/>
      <c r="HG29" s="1"/>
      <c r="HH29" s="1"/>
      <c r="HI29" s="1" t="s">
        <v>322</v>
      </c>
      <c r="HJ29" s="1" t="s">
        <v>330</v>
      </c>
      <c r="HK29" s="2"/>
      <c r="HL29" s="1"/>
      <c r="HM29" s="1" t="s">
        <v>322</v>
      </c>
      <c r="HN29" s="1" t="s">
        <v>322</v>
      </c>
      <c r="HO29" s="1"/>
      <c r="HP29" s="1"/>
      <c r="HQ29" s="1"/>
      <c r="HR29" s="1"/>
      <c r="HS29" s="1"/>
      <c r="HT29" s="1"/>
      <c r="HU29" s="1" t="s">
        <v>331</v>
      </c>
      <c r="HV29">
        <v>4621972015</v>
      </c>
      <c r="HW29">
        <v>40638764</v>
      </c>
      <c r="HX29">
        <v>99102569808</v>
      </c>
      <c r="HY29" s="1" t="s">
        <v>2275</v>
      </c>
      <c r="HZ29">
        <v>4318804</v>
      </c>
      <c r="IA29">
        <v>4321539</v>
      </c>
      <c r="IB29" s="1" t="s">
        <v>2276</v>
      </c>
      <c r="IC29">
        <v>830061</v>
      </c>
      <c r="ID29" s="1" t="s">
        <v>2277</v>
      </c>
      <c r="IE29">
        <v>4.63</v>
      </c>
      <c r="IF29">
        <v>5.0199999999999996</v>
      </c>
      <c r="IG29">
        <v>4.34</v>
      </c>
      <c r="IH29">
        <v>3.59</v>
      </c>
      <c r="II29">
        <v>3.44</v>
      </c>
      <c r="IJ29">
        <v>2.77</v>
      </c>
      <c r="IK29">
        <v>2.77</v>
      </c>
    </row>
    <row r="30" spans="1:245" x14ac:dyDescent="0.3">
      <c r="A30">
        <v>1780</v>
      </c>
      <c r="B30">
        <v>2394</v>
      </c>
      <c r="C30" s="1" t="s">
        <v>3398</v>
      </c>
      <c r="D30" s="1" t="s">
        <v>1451</v>
      </c>
      <c r="E30" t="s">
        <v>1247</v>
      </c>
      <c r="F30" s="1" t="s">
        <v>1728</v>
      </c>
      <c r="G30" s="1"/>
      <c r="I30" s="1"/>
      <c r="J30" s="1"/>
      <c r="M30" s="1"/>
      <c r="N30" s="1"/>
      <c r="P30" s="1"/>
      <c r="Q30" s="1"/>
      <c r="R30" s="1"/>
      <c r="S30" s="1"/>
      <c r="T30" s="1"/>
      <c r="V30" s="1"/>
      <c r="W30" s="1"/>
      <c r="X30" s="1"/>
      <c r="Y30" s="1"/>
      <c r="Z30" s="1"/>
      <c r="AB30" s="1"/>
      <c r="AC30" s="1"/>
      <c r="AD30" s="1"/>
      <c r="AE30" s="1"/>
      <c r="AG30" s="1"/>
      <c r="AH30" s="1"/>
      <c r="AI30" s="1"/>
      <c r="AJ30" s="1"/>
      <c r="AL30" s="1"/>
      <c r="AM30" s="1"/>
      <c r="AN30" s="1"/>
      <c r="AO30" s="1"/>
      <c r="AQ30" s="1"/>
      <c r="AR30" s="1"/>
      <c r="AS30" s="1"/>
      <c r="AT30" s="1"/>
      <c r="AV30" s="1"/>
      <c r="AW30" s="1"/>
      <c r="AX30" s="1"/>
      <c r="AZ30" s="1"/>
      <c r="BB30" s="1" t="s">
        <v>3399</v>
      </c>
      <c r="BC30" s="1" t="s">
        <v>3400</v>
      </c>
      <c r="BD30">
        <v>62</v>
      </c>
      <c r="BE30">
        <v>321170723</v>
      </c>
      <c r="BF30">
        <v>50.94384765625</v>
      </c>
      <c r="BG30">
        <v>1.9133377075195299</v>
      </c>
      <c r="BH30">
        <v>451647903</v>
      </c>
      <c r="BI30">
        <v>645</v>
      </c>
      <c r="BJ30" s="2">
        <v>38231</v>
      </c>
      <c r="BK30" s="1" t="s">
        <v>3401</v>
      </c>
      <c r="BL30" s="1" t="s">
        <v>290</v>
      </c>
      <c r="BM30" s="1" t="s">
        <v>3402</v>
      </c>
      <c r="BN30" s="1" t="s">
        <v>292</v>
      </c>
      <c r="BO30" s="1" t="s">
        <v>3403</v>
      </c>
      <c r="BP30" s="1" t="s">
        <v>293</v>
      </c>
      <c r="BQ30" s="1" t="s">
        <v>1247</v>
      </c>
      <c r="BR30">
        <v>66</v>
      </c>
      <c r="BS30">
        <v>0</v>
      </c>
      <c r="BT30" s="1" t="s">
        <v>295</v>
      </c>
      <c r="BU30" s="1" t="s">
        <v>3392</v>
      </c>
      <c r="BV30">
        <v>0</v>
      </c>
      <c r="BW30">
        <v>0</v>
      </c>
      <c r="BX30">
        <v>17.314322762137099</v>
      </c>
      <c r="BY30">
        <v>0</v>
      </c>
      <c r="BZ30">
        <v>0.53310092085888228</v>
      </c>
      <c r="CA30">
        <v>17.847423682995981</v>
      </c>
      <c r="CB30" s="1" t="s">
        <v>360</v>
      </c>
      <c r="CC30">
        <v>1</v>
      </c>
      <c r="CD30" s="1" t="s">
        <v>298</v>
      </c>
      <c r="CE30" s="1" t="s">
        <v>504</v>
      </c>
      <c r="CG30" s="1"/>
      <c r="CH30" s="1"/>
      <c r="CI30" s="1"/>
      <c r="CJ30" s="1"/>
      <c r="CK30" s="1"/>
      <c r="CL30" s="1"/>
      <c r="CO30" s="1"/>
      <c r="CP30" s="1" t="s">
        <v>3393</v>
      </c>
      <c r="CQ30" s="1" t="s">
        <v>305</v>
      </c>
      <c r="CR30" s="1" t="s">
        <v>306</v>
      </c>
      <c r="CS30">
        <v>3900</v>
      </c>
      <c r="CT30">
        <v>1650</v>
      </c>
      <c r="CU30">
        <v>2500</v>
      </c>
      <c r="CV30" s="1" t="s">
        <v>584</v>
      </c>
      <c r="CW30" s="1" t="s">
        <v>308</v>
      </c>
      <c r="CY30">
        <v>2833</v>
      </c>
      <c r="CZ30" t="s">
        <v>368</v>
      </c>
      <c r="DA30" s="1" t="s">
        <v>309</v>
      </c>
      <c r="DB30">
        <v>2250</v>
      </c>
      <c r="DC30">
        <v>2250</v>
      </c>
      <c r="DG30">
        <v>2250</v>
      </c>
      <c r="DK30" s="1" t="s">
        <v>369</v>
      </c>
      <c r="DL30" s="1" t="s">
        <v>410</v>
      </c>
      <c r="DN30" s="1"/>
      <c r="DO30">
        <v>716</v>
      </c>
      <c r="DQ30">
        <v>716</v>
      </c>
      <c r="DR30" s="1"/>
      <c r="DS30">
        <v>303</v>
      </c>
      <c r="DT30">
        <v>0</v>
      </c>
      <c r="DU30">
        <v>194</v>
      </c>
      <c r="DV30">
        <v>188</v>
      </c>
      <c r="DW30" s="1" t="s">
        <v>371</v>
      </c>
      <c r="DX30">
        <v>10</v>
      </c>
      <c r="DZ30">
        <v>2</v>
      </c>
      <c r="EA30">
        <v>2</v>
      </c>
      <c r="EB30">
        <v>5</v>
      </c>
      <c r="EC30">
        <v>2</v>
      </c>
      <c r="ED30">
        <v>0</v>
      </c>
      <c r="EE30">
        <v>1</v>
      </c>
      <c r="EF30">
        <v>10</v>
      </c>
      <c r="EG30">
        <v>2014</v>
      </c>
      <c r="EI30" s="1"/>
      <c r="EJ30" s="1" t="s">
        <v>313</v>
      </c>
      <c r="EK30" s="1" t="s">
        <v>314</v>
      </c>
      <c r="EL30">
        <v>20</v>
      </c>
      <c r="EM30">
        <v>18</v>
      </c>
      <c r="EN30">
        <v>12</v>
      </c>
      <c r="EO30" s="1" t="s">
        <v>1290</v>
      </c>
      <c r="EQ30">
        <v>75.872687789964957</v>
      </c>
      <c r="ER30" s="1" t="s">
        <v>322</v>
      </c>
      <c r="ET30">
        <v>7</v>
      </c>
      <c r="EU30" s="1"/>
      <c r="EW30">
        <v>88</v>
      </c>
      <c r="EZ30" s="1" t="s">
        <v>317</v>
      </c>
      <c r="FA30" s="2"/>
      <c r="FB30" s="1" t="s">
        <v>318</v>
      </c>
      <c r="FC30">
        <v>1</v>
      </c>
      <c r="FD30" s="1"/>
      <c r="FE30" s="2"/>
      <c r="FF30" s="1"/>
      <c r="FG30" s="1" t="s">
        <v>319</v>
      </c>
      <c r="FH30" s="1" t="s">
        <v>319</v>
      </c>
      <c r="FI30" s="1" t="s">
        <v>319</v>
      </c>
      <c r="FJ30" s="1" t="s">
        <v>319</v>
      </c>
      <c r="FK30" s="1" t="s">
        <v>320</v>
      </c>
      <c r="FL30">
        <v>18.920000000000002</v>
      </c>
      <c r="FM30">
        <v>3830.6134636264924</v>
      </c>
      <c r="FN30" s="1" t="s">
        <v>321</v>
      </c>
      <c r="FO30" s="1" t="s">
        <v>319</v>
      </c>
      <c r="FP30" s="1" t="s">
        <v>323</v>
      </c>
      <c r="FQ30" s="1" t="s">
        <v>3404</v>
      </c>
      <c r="FR30" s="1" t="s">
        <v>1750</v>
      </c>
      <c r="FS30" s="1" t="s">
        <v>325</v>
      </c>
      <c r="FT30" s="1" t="s">
        <v>1751</v>
      </c>
      <c r="FV30" s="1" t="s">
        <v>322</v>
      </c>
      <c r="FW30" s="1" t="s">
        <v>322</v>
      </c>
      <c r="FX30" s="1" t="s">
        <v>322</v>
      </c>
      <c r="FY30" s="1" t="s">
        <v>322</v>
      </c>
      <c r="FZ30" s="1" t="s">
        <v>322</v>
      </c>
      <c r="GA30" s="1" t="s">
        <v>322</v>
      </c>
      <c r="GB30" s="1"/>
      <c r="GC30" s="1" t="s">
        <v>322</v>
      </c>
      <c r="GD30" s="1" t="s">
        <v>319</v>
      </c>
      <c r="GE30" s="1" t="s">
        <v>415</v>
      </c>
      <c r="GF30" s="1"/>
      <c r="GG30" s="1"/>
      <c r="GH30" s="1" t="s">
        <v>319</v>
      </c>
      <c r="GI30" s="1"/>
      <c r="GJ30" s="1" t="s">
        <v>322</v>
      </c>
      <c r="GK30" s="2">
        <v>2015</v>
      </c>
      <c r="GL30" s="1" t="s">
        <v>322</v>
      </c>
      <c r="GM30" s="1" t="s">
        <v>322</v>
      </c>
      <c r="GN30">
        <v>42954</v>
      </c>
      <c r="GO30" s="1" t="s">
        <v>319</v>
      </c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2"/>
      <c r="HB30" s="2">
        <v>42653</v>
      </c>
      <c r="HC30" s="1"/>
      <c r="HD30" s="1"/>
      <c r="HE30" s="1"/>
      <c r="HF30" s="1"/>
      <c r="HG30" s="1"/>
      <c r="HH30" s="1"/>
      <c r="HI30" s="1" t="s">
        <v>319</v>
      </c>
      <c r="HJ30" s="1"/>
      <c r="HK30" s="2"/>
      <c r="HL30" s="1"/>
      <c r="HM30" s="1" t="s">
        <v>322</v>
      </c>
      <c r="HN30" s="1" t="s">
        <v>322</v>
      </c>
      <c r="HO30" s="1"/>
      <c r="HP30" s="1"/>
      <c r="HQ30" s="1"/>
      <c r="HR30" s="1"/>
      <c r="HS30" s="1"/>
      <c r="HT30" s="1"/>
      <c r="HU30" s="1" t="s">
        <v>331</v>
      </c>
      <c r="HV30">
        <v>4621990010</v>
      </c>
      <c r="HW30">
        <v>40638557</v>
      </c>
      <c r="HX30">
        <v>99102567886</v>
      </c>
      <c r="HY30" s="1" t="s">
        <v>3405</v>
      </c>
      <c r="HZ30">
        <v>4319343</v>
      </c>
      <c r="IA30">
        <v>4321783</v>
      </c>
      <c r="IB30" s="1" t="s">
        <v>3406</v>
      </c>
      <c r="IC30">
        <v>830221</v>
      </c>
      <c r="ID30" s="1" t="s">
        <v>3407</v>
      </c>
      <c r="IE30">
        <v>1.91</v>
      </c>
      <c r="IF30">
        <v>2.88</v>
      </c>
      <c r="IG30">
        <v>3.88</v>
      </c>
      <c r="IH30">
        <v>4.5199999999999996</v>
      </c>
      <c r="II30">
        <v>5.61</v>
      </c>
      <c r="IJ30">
        <v>4.1399999999999997</v>
      </c>
    </row>
    <row r="31" spans="1:245" x14ac:dyDescent="0.3">
      <c r="A31">
        <v>1734</v>
      </c>
      <c r="B31">
        <v>2352</v>
      </c>
      <c r="C31" s="1" t="s">
        <v>2004</v>
      </c>
      <c r="D31" s="1" t="s">
        <v>1451</v>
      </c>
      <c r="E31" t="s">
        <v>3275</v>
      </c>
      <c r="F31" s="1" t="s">
        <v>267</v>
      </c>
      <c r="G31" s="1" t="s">
        <v>268</v>
      </c>
      <c r="H31">
        <v>608729156</v>
      </c>
      <c r="I31" s="1" t="s">
        <v>2005</v>
      </c>
      <c r="J31" s="1" t="s">
        <v>2006</v>
      </c>
      <c r="K31">
        <v>614540337</v>
      </c>
      <c r="L31">
        <v>43808</v>
      </c>
      <c r="M31" s="1" t="s">
        <v>2007</v>
      </c>
      <c r="N31" s="1" t="s">
        <v>2008</v>
      </c>
      <c r="O31">
        <v>327700950</v>
      </c>
      <c r="P31" s="1" t="s">
        <v>273</v>
      </c>
      <c r="Q31" s="1" t="s">
        <v>1984</v>
      </c>
      <c r="R31" s="1" t="s">
        <v>2101</v>
      </c>
      <c r="S31" s="1" t="s">
        <v>2009</v>
      </c>
      <c r="T31" s="1" t="s">
        <v>2010</v>
      </c>
      <c r="U31">
        <v>327700954</v>
      </c>
      <c r="V31" s="1" t="s">
        <v>276</v>
      </c>
      <c r="W31" s="1" t="s">
        <v>2099</v>
      </c>
      <c r="X31" s="1" t="s">
        <v>274</v>
      </c>
      <c r="Y31" s="1" t="s">
        <v>524</v>
      </c>
      <c r="Z31" s="1"/>
      <c r="AB31" s="1" t="s">
        <v>2121</v>
      </c>
      <c r="AC31" s="1" t="s">
        <v>2166</v>
      </c>
      <c r="AD31" s="1" t="s">
        <v>2011</v>
      </c>
      <c r="AE31" s="1" t="s">
        <v>2012</v>
      </c>
      <c r="AF31">
        <v>327700950</v>
      </c>
      <c r="AG31" s="1" t="s">
        <v>2160</v>
      </c>
      <c r="AH31" s="1" t="s">
        <v>279</v>
      </c>
      <c r="AI31" s="1" t="s">
        <v>2013</v>
      </c>
      <c r="AJ31" s="1" t="s">
        <v>2014</v>
      </c>
      <c r="AK31">
        <v>645570264</v>
      </c>
      <c r="AL31" s="1" t="s">
        <v>2086</v>
      </c>
      <c r="AM31" s="1" t="s">
        <v>2013</v>
      </c>
      <c r="AN31" s="1" t="s">
        <v>2015</v>
      </c>
      <c r="AO31" s="1" t="s">
        <v>2016</v>
      </c>
      <c r="AP31">
        <v>327700952</v>
      </c>
      <c r="AQ31" s="1" t="s">
        <v>2049</v>
      </c>
      <c r="AR31" s="1" t="s">
        <v>2015</v>
      </c>
      <c r="AS31" s="1" t="s">
        <v>2017</v>
      </c>
      <c r="AT31" s="1" t="s">
        <v>2018</v>
      </c>
      <c r="AU31">
        <v>327700950</v>
      </c>
      <c r="AV31" s="1" t="s">
        <v>2140</v>
      </c>
      <c r="AW31" s="1" t="s">
        <v>2063</v>
      </c>
      <c r="AX31" s="1" t="s">
        <v>287</v>
      </c>
      <c r="AY31">
        <v>787300097</v>
      </c>
      <c r="AZ31" s="1"/>
      <c r="BB31" s="1" t="s">
        <v>2019</v>
      </c>
      <c r="BC31" s="1" t="s">
        <v>2020</v>
      </c>
      <c r="BD31">
        <v>59</v>
      </c>
      <c r="BE31">
        <v>327700950</v>
      </c>
      <c r="BF31">
        <v>50.1534423828125</v>
      </c>
      <c r="BG31">
        <v>3.22203063964843</v>
      </c>
      <c r="BH31">
        <v>451647903</v>
      </c>
      <c r="BI31">
        <v>223</v>
      </c>
      <c r="BJ31" s="2">
        <v>36425</v>
      </c>
      <c r="BK31" s="1" t="s">
        <v>3309</v>
      </c>
      <c r="BL31" s="1" t="s">
        <v>290</v>
      </c>
      <c r="BM31" s="1" t="s">
        <v>291</v>
      </c>
      <c r="BN31" s="1" t="s">
        <v>292</v>
      </c>
      <c r="BO31" s="1" t="s">
        <v>291</v>
      </c>
      <c r="BP31" s="1" t="s">
        <v>293</v>
      </c>
      <c r="BQ31" s="1" t="s">
        <v>294</v>
      </c>
      <c r="BR31">
        <v>80</v>
      </c>
      <c r="BS31">
        <v>25509809.039999999</v>
      </c>
      <c r="BT31" s="1" t="s">
        <v>295</v>
      </c>
      <c r="BU31" s="1" t="s">
        <v>296</v>
      </c>
      <c r="BV31">
        <v>418829</v>
      </c>
      <c r="BW31">
        <v>1.0462824387604886E-2</v>
      </c>
      <c r="BX31">
        <v>54.071273158831701</v>
      </c>
      <c r="BY31">
        <v>4.5880859761323904</v>
      </c>
      <c r="BZ31">
        <v>8.5348195644051774</v>
      </c>
      <c r="CA31">
        <v>67.194178699369274</v>
      </c>
      <c r="CB31" s="1" t="s">
        <v>297</v>
      </c>
      <c r="CC31">
        <v>1</v>
      </c>
      <c r="CD31" s="1" t="s">
        <v>298</v>
      </c>
      <c r="CE31" s="1" t="s">
        <v>504</v>
      </c>
      <c r="CF31">
        <v>1101</v>
      </c>
      <c r="CG31" s="1" t="s">
        <v>300</v>
      </c>
      <c r="CH31" s="1" t="s">
        <v>1474</v>
      </c>
      <c r="CI31" s="1" t="s">
        <v>1475</v>
      </c>
      <c r="CJ31" s="1" t="s">
        <v>1474</v>
      </c>
      <c r="CK31" s="1" t="s">
        <v>1475</v>
      </c>
      <c r="CL31" s="1" t="s">
        <v>1476</v>
      </c>
      <c r="CM31">
        <v>3020409000010</v>
      </c>
      <c r="CO31" s="1"/>
      <c r="CP31" s="1" t="s">
        <v>444</v>
      </c>
      <c r="CQ31" s="1" t="s">
        <v>766</v>
      </c>
      <c r="CR31" s="1" t="s">
        <v>306</v>
      </c>
      <c r="CS31">
        <v>4195</v>
      </c>
      <c r="CT31">
        <v>2900</v>
      </c>
      <c r="CU31">
        <v>3000</v>
      </c>
      <c r="CV31" s="1" t="s">
        <v>309</v>
      </c>
      <c r="CW31" s="1" t="s">
        <v>308</v>
      </c>
      <c r="CY31">
        <v>2600</v>
      </c>
      <c r="CZ31" t="s">
        <v>368</v>
      </c>
      <c r="DA31" s="1" t="s">
        <v>309</v>
      </c>
      <c r="DB31">
        <v>1295</v>
      </c>
      <c r="DC31">
        <v>1295</v>
      </c>
      <c r="DD31">
        <v>33</v>
      </c>
      <c r="DE31">
        <v>0</v>
      </c>
      <c r="DF31">
        <v>210</v>
      </c>
      <c r="DG31">
        <v>1085</v>
      </c>
      <c r="DH31">
        <v>0</v>
      </c>
      <c r="DI31">
        <v>0</v>
      </c>
      <c r="DJ31">
        <v>0</v>
      </c>
      <c r="DK31" s="1" t="s">
        <v>369</v>
      </c>
      <c r="DL31" s="1" t="s">
        <v>741</v>
      </c>
      <c r="DN31" s="1"/>
      <c r="DO31">
        <v>800</v>
      </c>
      <c r="DP31">
        <v>0</v>
      </c>
      <c r="DQ31">
        <v>800</v>
      </c>
      <c r="DR31" s="1"/>
      <c r="DS31">
        <v>225</v>
      </c>
      <c r="DT31">
        <v>73</v>
      </c>
      <c r="DU31">
        <v>250</v>
      </c>
      <c r="DV31">
        <v>219</v>
      </c>
      <c r="DW31" s="1" t="s">
        <v>558</v>
      </c>
      <c r="DX31">
        <v>15</v>
      </c>
      <c r="DZ31">
        <v>2</v>
      </c>
      <c r="EA31">
        <v>1</v>
      </c>
      <c r="EB31">
        <v>8</v>
      </c>
      <c r="EC31">
        <v>2</v>
      </c>
      <c r="ED31">
        <v>0</v>
      </c>
      <c r="EE31">
        <v>0</v>
      </c>
      <c r="EF31">
        <v>11</v>
      </c>
      <c r="EG31">
        <v>2010</v>
      </c>
      <c r="EI31" s="1"/>
      <c r="EJ31" s="1" t="s">
        <v>313</v>
      </c>
      <c r="EK31" s="1" t="s">
        <v>314</v>
      </c>
      <c r="EL31">
        <v>23</v>
      </c>
      <c r="EM31">
        <v>19</v>
      </c>
      <c r="EN31">
        <v>12</v>
      </c>
      <c r="EO31" s="1" t="s">
        <v>315</v>
      </c>
      <c r="EP31">
        <v>25</v>
      </c>
      <c r="EQ31">
        <v>71.873576143802381</v>
      </c>
      <c r="ER31" s="1" t="s">
        <v>411</v>
      </c>
      <c r="ES31">
        <v>8.2842542406944037</v>
      </c>
      <c r="ET31">
        <v>1</v>
      </c>
      <c r="EU31" s="1" t="s">
        <v>1749</v>
      </c>
      <c r="EV31">
        <v>100.13975843728284</v>
      </c>
      <c r="EW31">
        <v>3</v>
      </c>
      <c r="EX31" t="s">
        <v>316</v>
      </c>
      <c r="EY31">
        <v>4</v>
      </c>
      <c r="EZ31" s="1" t="s">
        <v>1381</v>
      </c>
      <c r="FA31" s="2"/>
      <c r="FB31" s="1" t="s">
        <v>1382</v>
      </c>
      <c r="FC31">
        <v>1</v>
      </c>
      <c r="FD31" s="1"/>
      <c r="FE31" s="2"/>
      <c r="FF31" s="1"/>
      <c r="FG31" s="1" t="s">
        <v>319</v>
      </c>
      <c r="FH31" s="1" t="s">
        <v>319</v>
      </c>
      <c r="FI31" s="1" t="s">
        <v>319</v>
      </c>
      <c r="FJ31" s="1" t="s">
        <v>319</v>
      </c>
      <c r="FK31" s="1" t="s">
        <v>320</v>
      </c>
      <c r="FL31">
        <v>18.920000000000002</v>
      </c>
      <c r="FM31">
        <v>3996.7763300760039</v>
      </c>
      <c r="FN31" s="1" t="s">
        <v>321</v>
      </c>
      <c r="FO31" s="1" t="s">
        <v>319</v>
      </c>
      <c r="FP31" s="1" t="s">
        <v>323</v>
      </c>
      <c r="FQ31" s="1" t="s">
        <v>324</v>
      </c>
      <c r="FR31" s="1" t="s">
        <v>1750</v>
      </c>
      <c r="FS31" s="1"/>
      <c r="FT31" s="1" t="s">
        <v>1751</v>
      </c>
      <c r="FV31" s="1" t="s">
        <v>322</v>
      </c>
      <c r="FW31" s="1" t="s">
        <v>322</v>
      </c>
      <c r="FX31" s="1" t="s">
        <v>322</v>
      </c>
      <c r="FY31" s="1" t="s">
        <v>1752</v>
      </c>
      <c r="FZ31" s="1" t="s">
        <v>322</v>
      </c>
      <c r="GA31" s="1" t="s">
        <v>322</v>
      </c>
      <c r="GB31" s="1" t="s">
        <v>319</v>
      </c>
      <c r="GC31" s="1" t="s">
        <v>322</v>
      </c>
      <c r="GD31" s="1" t="s">
        <v>322</v>
      </c>
      <c r="GE31" s="1" t="s">
        <v>319</v>
      </c>
      <c r="GF31" s="1" t="s">
        <v>327</v>
      </c>
      <c r="GG31" s="1"/>
      <c r="GH31" s="1" t="s">
        <v>319</v>
      </c>
      <c r="GI31" s="1"/>
      <c r="GJ31" s="1" t="s">
        <v>322</v>
      </c>
      <c r="GK31" s="2">
        <v>42005</v>
      </c>
      <c r="GL31" s="1" t="s">
        <v>322</v>
      </c>
      <c r="GM31" s="1" t="s">
        <v>322</v>
      </c>
      <c r="GN31">
        <v>43031</v>
      </c>
      <c r="GO31" s="1" t="s">
        <v>319</v>
      </c>
      <c r="GP31" t="s">
        <v>1478</v>
      </c>
      <c r="GQ31" s="1"/>
      <c r="GR31" s="1"/>
      <c r="GS31" s="1"/>
      <c r="GT31" s="1" t="s">
        <v>322</v>
      </c>
      <c r="GU31" s="1" t="s">
        <v>1479</v>
      </c>
      <c r="GV31" s="1" t="s">
        <v>322</v>
      </c>
      <c r="GW31" s="1" t="s">
        <v>322</v>
      </c>
      <c r="GX31" s="1" t="s">
        <v>322</v>
      </c>
      <c r="GY31" s="1" t="s">
        <v>319</v>
      </c>
      <c r="GZ31" s="1" t="s">
        <v>319</v>
      </c>
      <c r="HA31" s="2">
        <v>44063</v>
      </c>
      <c r="HB31" s="2">
        <v>42660</v>
      </c>
      <c r="HC31" s="1"/>
      <c r="HD31" s="1"/>
      <c r="HE31" s="1"/>
      <c r="HF31" s="1"/>
      <c r="HG31" s="1"/>
      <c r="HH31" s="1"/>
      <c r="HI31" s="1" t="s">
        <v>322</v>
      </c>
      <c r="HJ31" s="1" t="s">
        <v>330</v>
      </c>
      <c r="HK31" s="2"/>
      <c r="HL31" s="1"/>
      <c r="HM31" s="1" t="s">
        <v>322</v>
      </c>
      <c r="HN31" s="1" t="s">
        <v>322</v>
      </c>
      <c r="HO31" s="1"/>
      <c r="HP31" s="1"/>
      <c r="HQ31" s="1"/>
      <c r="HR31" s="1"/>
      <c r="HS31" s="1"/>
      <c r="HT31" s="1"/>
      <c r="HU31" s="1" t="s">
        <v>331</v>
      </c>
      <c r="HV31">
        <v>4622003015</v>
      </c>
      <c r="HW31">
        <v>40638646</v>
      </c>
      <c r="HX31">
        <v>99102568000</v>
      </c>
      <c r="HY31" s="1" t="s">
        <v>2021</v>
      </c>
      <c r="HZ31">
        <v>4319022</v>
      </c>
      <c r="IA31">
        <v>4321548</v>
      </c>
      <c r="IB31" s="1" t="s">
        <v>2022</v>
      </c>
      <c r="IC31">
        <v>830218</v>
      </c>
      <c r="ID31" s="1" t="s">
        <v>2023</v>
      </c>
      <c r="IE31">
        <v>2.81</v>
      </c>
      <c r="IF31">
        <v>2.0099999999999998</v>
      </c>
      <c r="IG31">
        <v>1.21</v>
      </c>
      <c r="IH31">
        <v>1.18</v>
      </c>
      <c r="II31">
        <v>1.33</v>
      </c>
      <c r="IJ31">
        <v>2.79</v>
      </c>
      <c r="IK31">
        <v>2.79</v>
      </c>
    </row>
    <row r="32" spans="1:245" x14ac:dyDescent="0.3">
      <c r="A32">
        <v>1915</v>
      </c>
      <c r="B32">
        <v>2423</v>
      </c>
      <c r="C32" s="1" t="s">
        <v>3158</v>
      </c>
      <c r="D32" s="1" t="s">
        <v>336</v>
      </c>
      <c r="E32" t="s">
        <v>3275</v>
      </c>
      <c r="F32" s="1" t="s">
        <v>1149</v>
      </c>
      <c r="G32" s="1" t="s">
        <v>1150</v>
      </c>
      <c r="H32">
        <v>617425644</v>
      </c>
      <c r="I32" s="1" t="s">
        <v>3159</v>
      </c>
      <c r="J32" s="1" t="s">
        <v>3160</v>
      </c>
      <c r="L32">
        <v>43556</v>
      </c>
      <c r="M32" s="1" t="s">
        <v>3161</v>
      </c>
      <c r="N32" s="1" t="s">
        <v>3162</v>
      </c>
      <c r="O32">
        <v>468111065</v>
      </c>
      <c r="P32" s="1" t="s">
        <v>273</v>
      </c>
      <c r="Q32" s="1" t="s">
        <v>1151</v>
      </c>
      <c r="R32" s="1" t="s">
        <v>3117</v>
      </c>
      <c r="S32" s="1" t="s">
        <v>3163</v>
      </c>
      <c r="T32" s="1" t="s">
        <v>3164</v>
      </c>
      <c r="U32">
        <v>468111069</v>
      </c>
      <c r="V32" s="1" t="s">
        <v>276</v>
      </c>
      <c r="W32" s="1" t="s">
        <v>3159</v>
      </c>
      <c r="X32" s="1" t="s">
        <v>3232</v>
      </c>
      <c r="Y32" s="1" t="s">
        <v>3165</v>
      </c>
      <c r="Z32" s="1" t="s">
        <v>3166</v>
      </c>
      <c r="AA32">
        <v>468111064</v>
      </c>
      <c r="AB32" s="1" t="s">
        <v>3248</v>
      </c>
      <c r="AC32" s="1" t="s">
        <v>1157</v>
      </c>
      <c r="AD32" s="1" t="s">
        <v>3167</v>
      </c>
      <c r="AE32" s="1" t="s">
        <v>3168</v>
      </c>
      <c r="AF32">
        <v>468711100</v>
      </c>
      <c r="AG32" s="1" t="s">
        <v>3204</v>
      </c>
      <c r="AH32" s="1" t="s">
        <v>3236</v>
      </c>
      <c r="AI32" s="1" t="s">
        <v>389</v>
      </c>
      <c r="AJ32" s="1"/>
      <c r="AL32" s="1" t="s">
        <v>3090</v>
      </c>
      <c r="AM32" s="1" t="s">
        <v>3124</v>
      </c>
      <c r="AN32" s="1" t="s">
        <v>3169</v>
      </c>
      <c r="AO32" s="1" t="s">
        <v>3170</v>
      </c>
      <c r="AP32">
        <v>468111062</v>
      </c>
      <c r="AQ32" s="1" t="s">
        <v>3228</v>
      </c>
      <c r="AR32" s="1" t="s">
        <v>1165</v>
      </c>
      <c r="AS32" s="1" t="s">
        <v>3171</v>
      </c>
      <c r="AT32" s="1" t="s">
        <v>3172</v>
      </c>
      <c r="AU32">
        <v>468111067</v>
      </c>
      <c r="AV32" s="1" t="s">
        <v>3138</v>
      </c>
      <c r="AW32" s="1" t="s">
        <v>1168</v>
      </c>
      <c r="AX32" s="1" t="s">
        <v>1169</v>
      </c>
      <c r="AY32">
        <v>628020685</v>
      </c>
      <c r="AZ32" s="1" t="s">
        <v>946</v>
      </c>
      <c r="BA32">
        <v>629385383</v>
      </c>
      <c r="BB32" s="1" t="s">
        <v>3173</v>
      </c>
      <c r="BC32" s="1" t="s">
        <v>3174</v>
      </c>
      <c r="BD32">
        <v>11</v>
      </c>
      <c r="BE32">
        <v>468711100</v>
      </c>
      <c r="BF32">
        <v>43.2275390625</v>
      </c>
      <c r="BG32">
        <v>2.32682037353515</v>
      </c>
      <c r="BH32">
        <v>451647903</v>
      </c>
      <c r="BI32">
        <v>1015</v>
      </c>
      <c r="BJ32" s="2">
        <v>39624</v>
      </c>
      <c r="BK32" s="1" t="s">
        <v>2745</v>
      </c>
      <c r="BL32" s="1" t="s">
        <v>290</v>
      </c>
      <c r="BM32" s="1" t="s">
        <v>291</v>
      </c>
      <c r="BN32" s="1" t="s">
        <v>292</v>
      </c>
      <c r="BO32" s="1" t="s">
        <v>291</v>
      </c>
      <c r="BP32" s="1" t="s">
        <v>293</v>
      </c>
      <c r="BQ32" s="1" t="s">
        <v>294</v>
      </c>
      <c r="BR32">
        <v>80</v>
      </c>
      <c r="BS32">
        <v>28048120.210000001</v>
      </c>
      <c r="BT32" s="1" t="s">
        <v>295</v>
      </c>
      <c r="BU32" s="1" t="s">
        <v>401</v>
      </c>
      <c r="BV32">
        <v>422163</v>
      </c>
      <c r="BW32">
        <v>1.3169935220081235E-2</v>
      </c>
      <c r="BX32">
        <v>57.428364211775602</v>
      </c>
      <c r="BY32">
        <v>7.0452187864002971</v>
      </c>
      <c r="BZ32">
        <v>7.5898678051031867</v>
      </c>
      <c r="CA32">
        <v>72.063450803279082</v>
      </c>
      <c r="CB32" s="1" t="s">
        <v>360</v>
      </c>
      <c r="CC32">
        <v>1</v>
      </c>
      <c r="CD32" s="1" t="s">
        <v>361</v>
      </c>
      <c r="CE32" s="1" t="s">
        <v>504</v>
      </c>
      <c r="CF32">
        <v>1106</v>
      </c>
      <c r="CG32" s="1" t="s">
        <v>362</v>
      </c>
      <c r="CH32" s="1" t="s">
        <v>363</v>
      </c>
      <c r="CI32" s="1" t="s">
        <v>364</v>
      </c>
      <c r="CJ32" s="1" t="s">
        <v>363</v>
      </c>
      <c r="CK32" s="1" t="s">
        <v>364</v>
      </c>
      <c r="CL32" s="1" t="s">
        <v>365</v>
      </c>
      <c r="CM32">
        <v>3601651110000</v>
      </c>
      <c r="CO32" s="1"/>
      <c r="CP32" s="1" t="s">
        <v>3175</v>
      </c>
      <c r="CQ32" s="1" t="s">
        <v>406</v>
      </c>
      <c r="CR32" s="1" t="s">
        <v>505</v>
      </c>
      <c r="CS32">
        <v>7300</v>
      </c>
      <c r="CT32">
        <v>3300</v>
      </c>
      <c r="CU32">
        <v>3000</v>
      </c>
      <c r="CV32" s="1" t="s">
        <v>309</v>
      </c>
      <c r="CW32" s="1" t="s">
        <v>308</v>
      </c>
      <c r="CY32">
        <v>4000</v>
      </c>
      <c r="CZ32" t="s">
        <v>873</v>
      </c>
      <c r="DA32" s="1" t="s">
        <v>874</v>
      </c>
      <c r="DB32">
        <v>4000</v>
      </c>
      <c r="DC32">
        <v>4000</v>
      </c>
      <c r="DD32">
        <v>100</v>
      </c>
      <c r="DE32">
        <v>0</v>
      </c>
      <c r="DF32">
        <v>0</v>
      </c>
      <c r="DG32">
        <v>4000</v>
      </c>
      <c r="DH32">
        <v>0</v>
      </c>
      <c r="DI32">
        <v>0</v>
      </c>
      <c r="DJ32">
        <v>0</v>
      </c>
      <c r="DK32" s="1" t="s">
        <v>409</v>
      </c>
      <c r="DL32" s="1" t="s">
        <v>741</v>
      </c>
      <c r="DN32" s="1"/>
      <c r="DO32">
        <v>1206</v>
      </c>
      <c r="DP32">
        <v>0</v>
      </c>
      <c r="DQ32">
        <v>1206</v>
      </c>
      <c r="DR32" s="1"/>
      <c r="DS32">
        <v>790</v>
      </c>
      <c r="DT32">
        <v>100</v>
      </c>
      <c r="DU32">
        <v>256</v>
      </c>
      <c r="DV32">
        <v>247</v>
      </c>
      <c r="DW32" s="1" t="s">
        <v>371</v>
      </c>
      <c r="DX32">
        <v>17</v>
      </c>
      <c r="DY32">
        <v>2018</v>
      </c>
      <c r="DZ32">
        <v>2</v>
      </c>
      <c r="EA32">
        <v>2</v>
      </c>
      <c r="EB32">
        <v>10</v>
      </c>
      <c r="EC32">
        <v>2</v>
      </c>
      <c r="ED32">
        <v>0</v>
      </c>
      <c r="EE32">
        <v>1</v>
      </c>
      <c r="EF32">
        <v>15</v>
      </c>
      <c r="EG32">
        <v>2014</v>
      </c>
      <c r="EI32" s="1"/>
      <c r="EJ32" s="1" t="s">
        <v>313</v>
      </c>
      <c r="EK32" s="1" t="s">
        <v>314</v>
      </c>
      <c r="EL32">
        <v>28</v>
      </c>
      <c r="EM32">
        <v>26</v>
      </c>
      <c r="EN32">
        <v>12</v>
      </c>
      <c r="EO32" s="1" t="s">
        <v>315</v>
      </c>
      <c r="EP32">
        <v>23</v>
      </c>
      <c r="EQ32">
        <v>94.803511156545724</v>
      </c>
      <c r="ER32" s="1" t="s">
        <v>316</v>
      </c>
      <c r="ES32">
        <v>5.4255021445011105</v>
      </c>
      <c r="ET32">
        <v>0</v>
      </c>
      <c r="EU32" s="1"/>
      <c r="EV32">
        <v>113.64999229007591</v>
      </c>
      <c r="EW32">
        <v>2</v>
      </c>
      <c r="EX32" t="s">
        <v>316</v>
      </c>
      <c r="EY32">
        <v>2</v>
      </c>
      <c r="EZ32" s="1" t="s">
        <v>317</v>
      </c>
      <c r="FA32" s="2"/>
      <c r="FB32" s="1" t="s">
        <v>318</v>
      </c>
      <c r="FC32">
        <v>1</v>
      </c>
      <c r="FD32" s="1"/>
      <c r="FE32" s="2"/>
      <c r="FF32" s="1"/>
      <c r="FG32" s="1" t="s">
        <v>322</v>
      </c>
      <c r="FH32" s="1" t="s">
        <v>319</v>
      </c>
      <c r="FI32" s="1" t="s">
        <v>319</v>
      </c>
      <c r="FJ32" s="1" t="s">
        <v>319</v>
      </c>
      <c r="FK32" s="1" t="s">
        <v>373</v>
      </c>
      <c r="FL32">
        <v>18.59</v>
      </c>
      <c r="FM32">
        <v>4858.9740331491703</v>
      </c>
      <c r="FN32" s="1" t="s">
        <v>321</v>
      </c>
      <c r="FO32" s="1" t="s">
        <v>322</v>
      </c>
      <c r="FP32" s="1" t="s">
        <v>323</v>
      </c>
      <c r="FQ32" s="1" t="s">
        <v>559</v>
      </c>
      <c r="FR32" s="1" t="s">
        <v>325</v>
      </c>
      <c r="FS32" s="1"/>
      <c r="FT32" s="1" t="s">
        <v>326</v>
      </c>
      <c r="FU32">
        <v>494198191</v>
      </c>
      <c r="FV32" s="1" t="s">
        <v>319</v>
      </c>
      <c r="FW32" s="1" t="s">
        <v>319</v>
      </c>
      <c r="FX32" s="1" t="s">
        <v>322</v>
      </c>
      <c r="FY32" s="1" t="s">
        <v>322</v>
      </c>
      <c r="FZ32" s="1" t="s">
        <v>322</v>
      </c>
      <c r="GA32" s="1" t="s">
        <v>322</v>
      </c>
      <c r="GB32" s="1"/>
      <c r="GC32" s="1"/>
      <c r="GD32" s="1" t="s">
        <v>322</v>
      </c>
      <c r="GE32" s="1" t="s">
        <v>319</v>
      </c>
      <c r="GF32" s="1" t="s">
        <v>415</v>
      </c>
      <c r="GG32" s="1"/>
      <c r="GH32" s="1" t="s">
        <v>319</v>
      </c>
      <c r="GI32" s="1"/>
      <c r="GJ32" s="1" t="s">
        <v>322</v>
      </c>
      <c r="GK32" s="2">
        <v>42005</v>
      </c>
      <c r="GL32" s="1" t="s">
        <v>322</v>
      </c>
      <c r="GM32" s="1" t="s">
        <v>322</v>
      </c>
      <c r="GN32">
        <v>42989</v>
      </c>
      <c r="GO32" s="1" t="s">
        <v>319</v>
      </c>
      <c r="GQ32" s="1"/>
      <c r="GR32" s="1"/>
      <c r="GS32" s="1"/>
      <c r="GT32" s="1" t="s">
        <v>322</v>
      </c>
      <c r="GU32" s="1" t="s">
        <v>3176</v>
      </c>
      <c r="GV32" s="1" t="s">
        <v>319</v>
      </c>
      <c r="GW32" s="1" t="s">
        <v>322</v>
      </c>
      <c r="GX32" s="1" t="s">
        <v>322</v>
      </c>
      <c r="GY32" s="1" t="s">
        <v>319</v>
      </c>
      <c r="GZ32" s="1" t="s">
        <v>319</v>
      </c>
      <c r="HA32" s="2">
        <v>44092</v>
      </c>
      <c r="HB32" s="2">
        <v>42674</v>
      </c>
      <c r="HC32" s="1"/>
      <c r="HD32" s="1"/>
      <c r="HE32" s="1"/>
      <c r="HF32" s="1"/>
      <c r="HG32" s="1"/>
      <c r="HH32" s="1"/>
      <c r="HI32" s="1" t="s">
        <v>319</v>
      </c>
      <c r="HJ32" s="1" t="s">
        <v>330</v>
      </c>
      <c r="HK32" s="2"/>
      <c r="HL32" s="1"/>
      <c r="HM32" s="1" t="s">
        <v>322</v>
      </c>
      <c r="HN32" s="1" t="s">
        <v>322</v>
      </c>
      <c r="HO32" s="1" t="s">
        <v>322</v>
      </c>
      <c r="HP32" s="1"/>
      <c r="HQ32" s="1"/>
      <c r="HR32" s="1"/>
      <c r="HS32" s="1"/>
      <c r="HT32" s="1"/>
      <c r="HU32" s="1" t="s">
        <v>331</v>
      </c>
      <c r="HV32">
        <v>4626870013</v>
      </c>
      <c r="HW32">
        <v>40639120</v>
      </c>
      <c r="HX32">
        <v>99102571083</v>
      </c>
      <c r="HY32" s="1" t="s">
        <v>3177</v>
      </c>
      <c r="HZ32">
        <v>4319814</v>
      </c>
      <c r="IA32">
        <v>4321845</v>
      </c>
      <c r="IB32" s="1" t="s">
        <v>3178</v>
      </c>
      <c r="IC32">
        <v>830139</v>
      </c>
      <c r="ID32" s="1" t="s">
        <v>3179</v>
      </c>
      <c r="IE32">
        <v>4.74</v>
      </c>
      <c r="IF32">
        <v>5.92</v>
      </c>
      <c r="IG32">
        <v>5.12</v>
      </c>
      <c r="IH32">
        <v>4.74</v>
      </c>
      <c r="II32">
        <v>4.45</v>
      </c>
      <c r="IJ32">
        <v>6.95</v>
      </c>
      <c r="IK32">
        <v>6.95</v>
      </c>
    </row>
    <row r="33" spans="1:245" x14ac:dyDescent="0.3">
      <c r="A33">
        <v>1900</v>
      </c>
      <c r="B33">
        <v>2410</v>
      </c>
      <c r="C33" s="1" t="s">
        <v>3180</v>
      </c>
      <c r="D33" s="1" t="s">
        <v>336</v>
      </c>
      <c r="E33" t="s">
        <v>3275</v>
      </c>
      <c r="F33" s="1" t="s">
        <v>1149</v>
      </c>
      <c r="G33" s="1" t="s">
        <v>1150</v>
      </c>
      <c r="H33">
        <v>617425644</v>
      </c>
      <c r="I33" s="1" t="s">
        <v>3181</v>
      </c>
      <c r="J33" s="1" t="s">
        <v>3182</v>
      </c>
      <c r="L33">
        <v>43815</v>
      </c>
      <c r="M33" s="1" t="s">
        <v>3183</v>
      </c>
      <c r="N33" s="1" t="s">
        <v>3184</v>
      </c>
      <c r="O33">
        <v>563744908</v>
      </c>
      <c r="P33" s="1" t="s">
        <v>273</v>
      </c>
      <c r="Q33" s="1" t="s">
        <v>1151</v>
      </c>
      <c r="R33" s="1" t="s">
        <v>3117</v>
      </c>
      <c r="S33" s="1" t="s">
        <v>3185</v>
      </c>
      <c r="T33" s="1" t="s">
        <v>3186</v>
      </c>
      <c r="U33">
        <v>563744909</v>
      </c>
      <c r="V33" s="1" t="s">
        <v>276</v>
      </c>
      <c r="W33" s="1" t="s">
        <v>3159</v>
      </c>
      <c r="X33" s="1" t="s">
        <v>3232</v>
      </c>
      <c r="Y33" s="1" t="s">
        <v>3187</v>
      </c>
      <c r="Z33" s="1" t="s">
        <v>3188</v>
      </c>
      <c r="AA33">
        <v>563744904</v>
      </c>
      <c r="AB33" s="1" t="s">
        <v>3248</v>
      </c>
      <c r="AC33" s="1" t="s">
        <v>1157</v>
      </c>
      <c r="AD33" s="1" t="s">
        <v>3189</v>
      </c>
      <c r="AE33" s="1" t="s">
        <v>3190</v>
      </c>
      <c r="AF33">
        <v>563744906</v>
      </c>
      <c r="AG33" s="1" t="s">
        <v>3204</v>
      </c>
      <c r="AH33" s="1" t="s">
        <v>3236</v>
      </c>
      <c r="AI33" s="1" t="s">
        <v>3191</v>
      </c>
      <c r="AJ33" s="1" t="s">
        <v>3192</v>
      </c>
      <c r="AK33">
        <v>563744905</v>
      </c>
      <c r="AL33" s="1" t="s">
        <v>3090</v>
      </c>
      <c r="AM33" s="1" t="s">
        <v>3124</v>
      </c>
      <c r="AN33" s="1" t="s">
        <v>3193</v>
      </c>
      <c r="AO33" s="1" t="s">
        <v>3194</v>
      </c>
      <c r="AP33">
        <v>563744902</v>
      </c>
      <c r="AQ33" s="1" t="s">
        <v>3228</v>
      </c>
      <c r="AR33" s="1" t="s">
        <v>1165</v>
      </c>
      <c r="AS33" s="1" t="s">
        <v>3195</v>
      </c>
      <c r="AT33" s="1" t="s">
        <v>3196</v>
      </c>
      <c r="AU33">
        <v>563744907</v>
      </c>
      <c r="AV33" s="1" t="s">
        <v>3138</v>
      </c>
      <c r="AW33" s="1" t="s">
        <v>1168</v>
      </c>
      <c r="AX33" s="1" t="s">
        <v>1169</v>
      </c>
      <c r="AY33">
        <v>628020686</v>
      </c>
      <c r="AZ33" s="1" t="s">
        <v>946</v>
      </c>
      <c r="BA33">
        <v>629385384</v>
      </c>
      <c r="BB33" s="1" t="s">
        <v>3197</v>
      </c>
      <c r="BC33" s="1" t="s">
        <v>3198</v>
      </c>
      <c r="BD33">
        <v>81</v>
      </c>
      <c r="BE33">
        <v>563744900</v>
      </c>
      <c r="BF33">
        <v>43.565673828125</v>
      </c>
      <c r="BG33">
        <v>2.1285095214843701</v>
      </c>
      <c r="BH33">
        <v>451647903</v>
      </c>
      <c r="BI33">
        <v>793</v>
      </c>
      <c r="BJ33" s="2">
        <v>38889</v>
      </c>
      <c r="BK33" s="1" t="s">
        <v>1245</v>
      </c>
      <c r="BL33" s="1" t="s">
        <v>290</v>
      </c>
      <c r="BM33" s="1" t="s">
        <v>291</v>
      </c>
      <c r="BN33" s="1" t="s">
        <v>292</v>
      </c>
      <c r="BO33" s="1" t="s">
        <v>291</v>
      </c>
      <c r="BP33" s="1" t="s">
        <v>293</v>
      </c>
      <c r="BQ33" s="1" t="s">
        <v>294</v>
      </c>
      <c r="BR33">
        <v>80</v>
      </c>
      <c r="BS33">
        <v>23565545.23</v>
      </c>
      <c r="BT33" s="1" t="s">
        <v>295</v>
      </c>
      <c r="BU33" s="1" t="s">
        <v>296</v>
      </c>
      <c r="BV33">
        <v>352850</v>
      </c>
      <c r="BW33">
        <v>1.0829112753681442E-2</v>
      </c>
      <c r="BX33">
        <v>49.471286345354997</v>
      </c>
      <c r="BY33">
        <v>3.5571361068987497</v>
      </c>
      <c r="BZ33">
        <v>6.971172611590954</v>
      </c>
      <c r="CA33">
        <v>59.999595063844701</v>
      </c>
      <c r="CB33" s="1" t="s">
        <v>360</v>
      </c>
      <c r="CC33">
        <v>1</v>
      </c>
      <c r="CD33" s="1" t="s">
        <v>361</v>
      </c>
      <c r="CE33" s="1" t="s">
        <v>361</v>
      </c>
      <c r="CF33">
        <v>1106</v>
      </c>
      <c r="CG33" s="1" t="s">
        <v>362</v>
      </c>
      <c r="CH33" s="1" t="s">
        <v>363</v>
      </c>
      <c r="CI33" s="1" t="s">
        <v>364</v>
      </c>
      <c r="CJ33" s="1" t="s">
        <v>363</v>
      </c>
      <c r="CK33" s="1" t="s">
        <v>364</v>
      </c>
      <c r="CL33" s="1" t="s">
        <v>365</v>
      </c>
      <c r="CM33">
        <v>3601651110000</v>
      </c>
      <c r="CO33" s="1"/>
      <c r="CP33" s="1" t="s">
        <v>444</v>
      </c>
      <c r="CQ33" s="1" t="s">
        <v>367</v>
      </c>
      <c r="CR33" s="1" t="s">
        <v>306</v>
      </c>
      <c r="CS33">
        <v>6370</v>
      </c>
      <c r="CT33">
        <v>2950</v>
      </c>
      <c r="CU33">
        <v>3000</v>
      </c>
      <c r="CV33" s="1" t="s">
        <v>309</v>
      </c>
      <c r="CW33" s="1" t="s">
        <v>308</v>
      </c>
      <c r="CY33">
        <v>3420</v>
      </c>
      <c r="CZ33">
        <v>3500</v>
      </c>
      <c r="DA33" s="1" t="s">
        <v>307</v>
      </c>
      <c r="DB33">
        <v>3420</v>
      </c>
      <c r="DC33">
        <v>3420</v>
      </c>
      <c r="DD33">
        <v>84</v>
      </c>
      <c r="DE33">
        <v>0</v>
      </c>
      <c r="DF33">
        <v>1000</v>
      </c>
      <c r="DG33">
        <v>2420</v>
      </c>
      <c r="DH33">
        <v>0</v>
      </c>
      <c r="DI33">
        <v>0</v>
      </c>
      <c r="DJ33">
        <v>0</v>
      </c>
      <c r="DK33" s="1" t="s">
        <v>409</v>
      </c>
      <c r="DL33" s="1" t="s">
        <v>741</v>
      </c>
      <c r="DN33" s="1"/>
      <c r="DO33">
        <v>795</v>
      </c>
      <c r="DP33">
        <v>0</v>
      </c>
      <c r="DQ33">
        <v>795</v>
      </c>
      <c r="DR33" s="1"/>
      <c r="DS33">
        <v>402</v>
      </c>
      <c r="DT33">
        <v>84</v>
      </c>
      <c r="DU33">
        <v>253</v>
      </c>
      <c r="DV33">
        <v>247</v>
      </c>
      <c r="DW33" s="1" t="s">
        <v>371</v>
      </c>
      <c r="DX33">
        <v>17</v>
      </c>
      <c r="DZ33">
        <v>2</v>
      </c>
      <c r="EA33">
        <v>2</v>
      </c>
      <c r="EB33">
        <v>8</v>
      </c>
      <c r="EC33">
        <v>3</v>
      </c>
      <c r="ED33">
        <v>0</v>
      </c>
      <c r="EE33">
        <v>0</v>
      </c>
      <c r="EF33">
        <v>13</v>
      </c>
      <c r="EG33">
        <v>2012</v>
      </c>
      <c r="EI33" s="1"/>
      <c r="EJ33" s="1" t="s">
        <v>313</v>
      </c>
      <c r="EK33" s="1" t="s">
        <v>314</v>
      </c>
      <c r="EL33">
        <v>26</v>
      </c>
      <c r="EM33">
        <v>23</v>
      </c>
      <c r="EN33">
        <v>12</v>
      </c>
      <c r="EO33" s="1" t="s">
        <v>315</v>
      </c>
      <c r="EP33">
        <v>24</v>
      </c>
      <c r="EQ33">
        <v>58.013245033112582</v>
      </c>
      <c r="ER33" s="1" t="s">
        <v>316</v>
      </c>
      <c r="ES33">
        <v>5.2980132450331121</v>
      </c>
      <c r="ET33">
        <v>0</v>
      </c>
      <c r="EU33" s="1"/>
      <c r="EV33">
        <v>90.860927152317885</v>
      </c>
      <c r="EW33">
        <v>1</v>
      </c>
      <c r="EX33" t="s">
        <v>481</v>
      </c>
      <c r="EY33">
        <v>1</v>
      </c>
      <c r="EZ33" s="1" t="s">
        <v>317</v>
      </c>
      <c r="FA33" s="2"/>
      <c r="FB33" s="1" t="s">
        <v>318</v>
      </c>
      <c r="FC33">
        <v>1</v>
      </c>
      <c r="FD33" s="1"/>
      <c r="FE33" s="2"/>
      <c r="FF33" s="1"/>
      <c r="FG33" s="1" t="s">
        <v>319</v>
      </c>
      <c r="FH33" s="1" t="s">
        <v>319</v>
      </c>
      <c r="FI33" s="1" t="s">
        <v>319</v>
      </c>
      <c r="FJ33" s="1" t="s">
        <v>322</v>
      </c>
      <c r="FK33" s="1" t="s">
        <v>373</v>
      </c>
      <c r="FL33">
        <v>18.59</v>
      </c>
      <c r="FM33">
        <v>4073.037569060773</v>
      </c>
      <c r="FN33" s="1" t="s">
        <v>321</v>
      </c>
      <c r="FO33" s="1" t="s">
        <v>319</v>
      </c>
      <c r="FP33" s="1" t="s">
        <v>323</v>
      </c>
      <c r="FQ33" s="1" t="s">
        <v>559</v>
      </c>
      <c r="FR33" s="1" t="s">
        <v>325</v>
      </c>
      <c r="FS33" s="1"/>
      <c r="FT33" s="1" t="s">
        <v>326</v>
      </c>
      <c r="FU33">
        <v>494198191</v>
      </c>
      <c r="FV33" s="1" t="s">
        <v>319</v>
      </c>
      <c r="FW33" s="1" t="s">
        <v>322</v>
      </c>
      <c r="FX33" s="1" t="s">
        <v>322</v>
      </c>
      <c r="FY33" s="1" t="s">
        <v>322</v>
      </c>
      <c r="FZ33" s="1" t="s">
        <v>322</v>
      </c>
      <c r="GA33" s="1" t="s">
        <v>322</v>
      </c>
      <c r="GB33" s="1" t="s">
        <v>319</v>
      </c>
      <c r="GC33" s="1" t="s">
        <v>322</v>
      </c>
      <c r="GD33" s="1" t="s">
        <v>322</v>
      </c>
      <c r="GE33" s="1" t="s">
        <v>319</v>
      </c>
      <c r="GF33" s="1" t="s">
        <v>415</v>
      </c>
      <c r="GG33" s="1"/>
      <c r="GH33" s="1" t="s">
        <v>322</v>
      </c>
      <c r="GI33" s="1"/>
      <c r="GJ33" s="1" t="s">
        <v>322</v>
      </c>
      <c r="GK33" s="2">
        <v>42005</v>
      </c>
      <c r="GL33" s="1" t="s">
        <v>322</v>
      </c>
      <c r="GM33" s="1" t="s">
        <v>322</v>
      </c>
      <c r="GN33">
        <v>43024</v>
      </c>
      <c r="GO33" s="1" t="s">
        <v>319</v>
      </c>
      <c r="GQ33" s="1"/>
      <c r="GR33" s="1"/>
      <c r="GS33" s="1"/>
      <c r="GT33" s="1" t="s">
        <v>322</v>
      </c>
      <c r="GU33" s="1" t="s">
        <v>3199</v>
      </c>
      <c r="GV33" s="1" t="s">
        <v>322</v>
      </c>
      <c r="GW33" s="1" t="s">
        <v>322</v>
      </c>
      <c r="GX33" s="1" t="s">
        <v>322</v>
      </c>
      <c r="GY33" s="1" t="s">
        <v>319</v>
      </c>
      <c r="GZ33" s="1" t="s">
        <v>319</v>
      </c>
      <c r="HA33" s="2">
        <v>44067</v>
      </c>
      <c r="HB33" s="2">
        <v>42674</v>
      </c>
      <c r="HC33" s="1"/>
      <c r="HD33" s="1"/>
      <c r="HE33" s="1"/>
      <c r="HF33" s="1"/>
      <c r="HG33" s="1"/>
      <c r="HH33" s="1"/>
      <c r="HI33" s="1" t="s">
        <v>322</v>
      </c>
      <c r="HJ33" s="1" t="s">
        <v>330</v>
      </c>
      <c r="HK33" s="2"/>
      <c r="HL33" s="1" t="s">
        <v>322</v>
      </c>
      <c r="HM33" s="1" t="s">
        <v>322</v>
      </c>
      <c r="HN33" s="1" t="s">
        <v>322</v>
      </c>
      <c r="HO33" s="1"/>
      <c r="HP33" s="1"/>
      <c r="HQ33" s="1"/>
      <c r="HR33" s="1"/>
      <c r="HS33" s="1"/>
      <c r="HT33" s="1"/>
      <c r="HU33" s="1" t="s">
        <v>331</v>
      </c>
      <c r="HV33">
        <v>4624431013</v>
      </c>
      <c r="HW33">
        <v>40639137</v>
      </c>
      <c r="HX33">
        <v>99102571095</v>
      </c>
      <c r="HY33" s="1" t="s">
        <v>3200</v>
      </c>
      <c r="HZ33">
        <v>4319822</v>
      </c>
      <c r="IA33">
        <v>4321818</v>
      </c>
      <c r="IB33" s="1" t="s">
        <v>3201</v>
      </c>
      <c r="IC33">
        <v>830155</v>
      </c>
      <c r="ID33" s="1" t="s">
        <v>3202</v>
      </c>
      <c r="IE33">
        <v>3.28</v>
      </c>
      <c r="IF33">
        <v>4.28</v>
      </c>
      <c r="IG33">
        <v>5.35</v>
      </c>
      <c r="IH33">
        <v>6.68</v>
      </c>
      <c r="II33">
        <v>5.38</v>
      </c>
      <c r="IJ33">
        <v>8.3699999999999992</v>
      </c>
      <c r="IK33">
        <v>8.3699999999999992</v>
      </c>
    </row>
    <row r="34" spans="1:245" x14ac:dyDescent="0.3">
      <c r="A34">
        <v>1754</v>
      </c>
      <c r="B34">
        <v>2369</v>
      </c>
      <c r="C34" s="1" t="s">
        <v>2024</v>
      </c>
      <c r="D34" s="1" t="s">
        <v>266</v>
      </c>
      <c r="E34" t="s">
        <v>3275</v>
      </c>
      <c r="F34" s="1" t="s">
        <v>267</v>
      </c>
      <c r="G34" s="1" t="s">
        <v>268</v>
      </c>
      <c r="H34">
        <v>608729156</v>
      </c>
      <c r="I34" s="1" t="s">
        <v>2025</v>
      </c>
      <c r="J34" s="1" t="s">
        <v>2026</v>
      </c>
      <c r="L34">
        <v>44634</v>
      </c>
      <c r="M34" s="1" t="s">
        <v>2027</v>
      </c>
      <c r="N34" s="1" t="s">
        <v>2028</v>
      </c>
      <c r="O34">
        <v>326211111</v>
      </c>
      <c r="P34" s="1" t="s">
        <v>273</v>
      </c>
      <c r="Q34" s="1" t="s">
        <v>1984</v>
      </c>
      <c r="R34" s="1" t="s">
        <v>2101</v>
      </c>
      <c r="S34" s="1" t="s">
        <v>2029</v>
      </c>
      <c r="T34" s="1" t="s">
        <v>2030</v>
      </c>
      <c r="U34">
        <v>326218347</v>
      </c>
      <c r="V34" s="1" t="s">
        <v>276</v>
      </c>
      <c r="W34" s="1" t="s">
        <v>2099</v>
      </c>
      <c r="X34" s="1" t="s">
        <v>274</v>
      </c>
      <c r="Y34" s="1" t="s">
        <v>2031</v>
      </c>
      <c r="Z34" s="1" t="s">
        <v>2032</v>
      </c>
      <c r="AA34">
        <v>326218454</v>
      </c>
      <c r="AB34" s="1" t="s">
        <v>2121</v>
      </c>
      <c r="AC34" s="1" t="s">
        <v>2166</v>
      </c>
      <c r="AD34" s="1" t="s">
        <v>2033</v>
      </c>
      <c r="AE34" s="1" t="s">
        <v>2034</v>
      </c>
      <c r="AF34">
        <v>326218454</v>
      </c>
      <c r="AG34" s="1" t="s">
        <v>2160</v>
      </c>
      <c r="AH34" s="1" t="s">
        <v>279</v>
      </c>
      <c r="AI34" s="1" t="s">
        <v>2035</v>
      </c>
      <c r="AJ34" s="1" t="s">
        <v>2036</v>
      </c>
      <c r="AK34">
        <v>326218453</v>
      </c>
      <c r="AL34" s="1" t="s">
        <v>2086</v>
      </c>
      <c r="AM34" s="1" t="s">
        <v>2013</v>
      </c>
      <c r="AN34" s="1" t="s">
        <v>2037</v>
      </c>
      <c r="AO34" s="1" t="s">
        <v>2038</v>
      </c>
      <c r="AP34">
        <v>326218451</v>
      </c>
      <c r="AQ34" s="1" t="s">
        <v>2049</v>
      </c>
      <c r="AR34" s="1" t="s">
        <v>2015</v>
      </c>
      <c r="AS34" s="1" t="s">
        <v>2039</v>
      </c>
      <c r="AT34" s="1" t="s">
        <v>2040</v>
      </c>
      <c r="AU34">
        <v>326218452</v>
      </c>
      <c r="AV34" s="1" t="s">
        <v>2140</v>
      </c>
      <c r="AW34" s="1" t="s">
        <v>2063</v>
      </c>
      <c r="AX34" s="1" t="s">
        <v>287</v>
      </c>
      <c r="AY34">
        <v>787300098</v>
      </c>
      <c r="AZ34" s="1"/>
      <c r="BB34" s="1" t="s">
        <v>2041</v>
      </c>
      <c r="BC34" s="1" t="s">
        <v>2042</v>
      </c>
      <c r="BD34">
        <v>51</v>
      </c>
      <c r="BE34">
        <v>326211111</v>
      </c>
      <c r="BF34">
        <v>48.9437255859375</v>
      </c>
      <c r="BG34">
        <v>4.3945159912109304</v>
      </c>
      <c r="BH34">
        <v>451647903</v>
      </c>
      <c r="BI34">
        <v>74</v>
      </c>
      <c r="BJ34" s="2">
        <v>37216</v>
      </c>
      <c r="BK34" s="1" t="s">
        <v>473</v>
      </c>
      <c r="BL34" s="1" t="s">
        <v>290</v>
      </c>
      <c r="BM34" s="1" t="s">
        <v>291</v>
      </c>
      <c r="BN34" s="1" t="s">
        <v>292</v>
      </c>
      <c r="BO34" s="1" t="s">
        <v>291</v>
      </c>
      <c r="BP34" s="1" t="s">
        <v>293</v>
      </c>
      <c r="BQ34" s="1" t="s">
        <v>294</v>
      </c>
      <c r="BR34">
        <v>80</v>
      </c>
      <c r="BS34">
        <v>21386794.239999998</v>
      </c>
      <c r="BT34" s="1" t="s">
        <v>295</v>
      </c>
      <c r="BU34" s="1" t="s">
        <v>359</v>
      </c>
      <c r="BV34">
        <v>372478</v>
      </c>
      <c r="BW34">
        <v>7.5654431236064261E-3</v>
      </c>
      <c r="BX34">
        <v>46.9429682864113</v>
      </c>
      <c r="BY34">
        <v>3.0118953429594959</v>
      </c>
      <c r="BZ34">
        <v>5.230341640843057</v>
      </c>
      <c r="CA34">
        <v>55.185205270213856</v>
      </c>
      <c r="CB34" s="1" t="s">
        <v>297</v>
      </c>
      <c r="CC34">
        <v>1</v>
      </c>
      <c r="CD34" s="1" t="s">
        <v>298</v>
      </c>
      <c r="CE34" s="1" t="s">
        <v>504</v>
      </c>
      <c r="CF34">
        <v>1101</v>
      </c>
      <c r="CG34" s="1" t="s">
        <v>300</v>
      </c>
      <c r="CH34" s="1" t="s">
        <v>972</v>
      </c>
      <c r="CI34" s="1" t="s">
        <v>973</v>
      </c>
      <c r="CJ34" s="1" t="s">
        <v>972</v>
      </c>
      <c r="CK34" s="1" t="s">
        <v>302</v>
      </c>
      <c r="CL34" s="1" t="s">
        <v>974</v>
      </c>
      <c r="CM34">
        <v>3020409000020</v>
      </c>
      <c r="CO34" s="1"/>
      <c r="CP34" s="1" t="s">
        <v>444</v>
      </c>
      <c r="CQ34" s="1" t="s">
        <v>406</v>
      </c>
      <c r="CR34" s="1" t="s">
        <v>306</v>
      </c>
      <c r="CS34">
        <v>7019</v>
      </c>
      <c r="CT34">
        <v>3670</v>
      </c>
      <c r="CU34">
        <v>3700</v>
      </c>
      <c r="CV34" s="1" t="s">
        <v>307</v>
      </c>
      <c r="CW34" s="1" t="s">
        <v>308</v>
      </c>
      <c r="CY34">
        <v>3460</v>
      </c>
      <c r="CZ34">
        <v>3500</v>
      </c>
      <c r="DA34" s="1" t="s">
        <v>307</v>
      </c>
      <c r="DB34">
        <v>3349</v>
      </c>
      <c r="DC34">
        <v>3349</v>
      </c>
      <c r="DD34">
        <v>0</v>
      </c>
      <c r="DE34">
        <v>0</v>
      </c>
      <c r="DF34">
        <v>975</v>
      </c>
      <c r="DG34">
        <v>2374</v>
      </c>
      <c r="DH34">
        <v>0</v>
      </c>
      <c r="DI34">
        <v>0</v>
      </c>
      <c r="DJ34">
        <v>0</v>
      </c>
      <c r="DK34" s="1" t="s">
        <v>369</v>
      </c>
      <c r="DL34" s="1" t="s">
        <v>370</v>
      </c>
      <c r="DN34" s="1"/>
      <c r="DO34">
        <v>1106</v>
      </c>
      <c r="DP34">
        <v>0</v>
      </c>
      <c r="DQ34">
        <v>1106</v>
      </c>
      <c r="DR34" s="1"/>
      <c r="DS34">
        <v>314</v>
      </c>
      <c r="DT34">
        <v>129</v>
      </c>
      <c r="DU34">
        <v>227</v>
      </c>
      <c r="DV34">
        <v>260</v>
      </c>
      <c r="DW34" s="1" t="s">
        <v>371</v>
      </c>
      <c r="DX34">
        <v>16</v>
      </c>
      <c r="DY34">
        <v>2017</v>
      </c>
      <c r="DZ34">
        <v>2</v>
      </c>
      <c r="EA34">
        <v>1</v>
      </c>
      <c r="EB34">
        <v>8</v>
      </c>
      <c r="EC34">
        <v>2</v>
      </c>
      <c r="ED34">
        <v>0</v>
      </c>
      <c r="EE34">
        <v>0</v>
      </c>
      <c r="EF34">
        <v>11</v>
      </c>
      <c r="EG34">
        <v>2010</v>
      </c>
      <c r="EI34" s="1"/>
      <c r="EJ34" s="1" t="s">
        <v>313</v>
      </c>
      <c r="EK34" s="1" t="s">
        <v>314</v>
      </c>
      <c r="EL34">
        <v>25</v>
      </c>
      <c r="EM34">
        <v>19</v>
      </c>
      <c r="EN34">
        <v>11</v>
      </c>
      <c r="EO34" s="1" t="s">
        <v>315</v>
      </c>
      <c r="EP34">
        <v>18</v>
      </c>
      <c r="EQ34">
        <v>86.321266734437188</v>
      </c>
      <c r="ER34" s="1" t="s">
        <v>411</v>
      </c>
      <c r="ES34">
        <v>4.4797463774358626</v>
      </c>
      <c r="ET34">
        <v>0</v>
      </c>
      <c r="EU34" s="1"/>
      <c r="EV34">
        <v>107.34161512086699</v>
      </c>
      <c r="EW34">
        <v>1</v>
      </c>
      <c r="EX34" t="s">
        <v>316</v>
      </c>
      <c r="EY34">
        <v>1</v>
      </c>
      <c r="EZ34" s="1" t="s">
        <v>317</v>
      </c>
      <c r="FA34" s="2"/>
      <c r="FB34" s="1" t="s">
        <v>318</v>
      </c>
      <c r="FC34">
        <v>1</v>
      </c>
      <c r="FD34" s="1"/>
      <c r="FE34" s="2"/>
      <c r="FF34" s="1"/>
      <c r="FG34" s="1" t="s">
        <v>319</v>
      </c>
      <c r="FH34" s="1" t="s">
        <v>319</v>
      </c>
      <c r="FI34" s="1" t="s">
        <v>319</v>
      </c>
      <c r="FJ34" s="1" t="s">
        <v>319</v>
      </c>
      <c r="FK34" s="1" t="s">
        <v>320</v>
      </c>
      <c r="FL34">
        <v>18.920000000000002</v>
      </c>
      <c r="FM34">
        <v>4233.1406080347442</v>
      </c>
      <c r="FN34" s="1" t="s">
        <v>1525</v>
      </c>
      <c r="FO34" s="1" t="s">
        <v>322</v>
      </c>
      <c r="FP34" s="1" t="s">
        <v>323</v>
      </c>
      <c r="FQ34" s="1" t="s">
        <v>559</v>
      </c>
      <c r="FR34" s="1" t="s">
        <v>325</v>
      </c>
      <c r="FS34" s="1"/>
      <c r="FT34" s="1" t="s">
        <v>326</v>
      </c>
      <c r="FU34">
        <v>494198191</v>
      </c>
      <c r="FV34" s="1" t="s">
        <v>322</v>
      </c>
      <c r="FW34" s="1" t="s">
        <v>319</v>
      </c>
      <c r="FX34" s="1" t="s">
        <v>322</v>
      </c>
      <c r="FY34" s="1" t="s">
        <v>322</v>
      </c>
      <c r="FZ34" s="1" t="s">
        <v>322</v>
      </c>
      <c r="GA34" s="1" t="s">
        <v>322</v>
      </c>
      <c r="GB34" s="1" t="s">
        <v>322</v>
      </c>
      <c r="GC34" s="1" t="s">
        <v>322</v>
      </c>
      <c r="GD34" s="1" t="s">
        <v>322</v>
      </c>
      <c r="GE34" s="1" t="s">
        <v>319</v>
      </c>
      <c r="GF34" s="1" t="s">
        <v>327</v>
      </c>
      <c r="GG34" s="1"/>
      <c r="GH34" s="1" t="s">
        <v>322</v>
      </c>
      <c r="GI34" s="1" t="s">
        <v>2043</v>
      </c>
      <c r="GJ34" s="1" t="s">
        <v>322</v>
      </c>
      <c r="GK34" s="2">
        <v>42005</v>
      </c>
      <c r="GL34" s="1" t="s">
        <v>322</v>
      </c>
      <c r="GM34" s="1" t="s">
        <v>322</v>
      </c>
      <c r="GN34">
        <v>43024</v>
      </c>
      <c r="GO34" s="1" t="s">
        <v>319</v>
      </c>
      <c r="GQ34" s="1"/>
      <c r="GR34" s="1"/>
      <c r="GS34" s="1"/>
      <c r="GT34" s="1" t="s">
        <v>322</v>
      </c>
      <c r="GU34" s="1" t="s">
        <v>2044</v>
      </c>
      <c r="GV34" s="1" t="s">
        <v>322</v>
      </c>
      <c r="GW34" s="1" t="s">
        <v>322</v>
      </c>
      <c r="GX34" s="1" t="s">
        <v>319</v>
      </c>
      <c r="GY34" s="1" t="s">
        <v>319</v>
      </c>
      <c r="GZ34" s="1" t="s">
        <v>319</v>
      </c>
      <c r="HA34" s="2">
        <v>44063</v>
      </c>
      <c r="HB34" s="2">
        <v>42660</v>
      </c>
      <c r="HC34" s="1"/>
      <c r="HD34" s="1"/>
      <c r="HE34" s="1"/>
      <c r="HF34" s="1"/>
      <c r="HG34" s="1"/>
      <c r="HH34" s="1"/>
      <c r="HI34" s="1" t="s">
        <v>322</v>
      </c>
      <c r="HJ34" s="1" t="s">
        <v>330</v>
      </c>
      <c r="HK34" s="2"/>
      <c r="HL34" s="1"/>
      <c r="HM34" s="1" t="s">
        <v>322</v>
      </c>
      <c r="HN34" s="1" t="s">
        <v>322</v>
      </c>
      <c r="HO34" s="1"/>
      <c r="HP34" s="1"/>
      <c r="HQ34" s="1"/>
      <c r="HR34" s="1"/>
      <c r="HS34" s="1"/>
      <c r="HT34" s="1"/>
      <c r="HU34" s="1" t="s">
        <v>331</v>
      </c>
      <c r="HV34">
        <v>4622023011</v>
      </c>
      <c r="HW34">
        <v>40638652</v>
      </c>
      <c r="HX34">
        <v>99102569286</v>
      </c>
      <c r="HY34" s="1" t="s">
        <v>2045</v>
      </c>
      <c r="HZ34">
        <v>4304139</v>
      </c>
      <c r="IA34">
        <v>4321266</v>
      </c>
      <c r="IB34" s="1" t="s">
        <v>2046</v>
      </c>
      <c r="IC34">
        <v>830129</v>
      </c>
      <c r="ID34" s="1" t="s">
        <v>2047</v>
      </c>
      <c r="IE34">
        <v>2.54</v>
      </c>
      <c r="IF34">
        <v>3.54</v>
      </c>
      <c r="IG34">
        <v>3.87</v>
      </c>
      <c r="IH34">
        <v>3.07</v>
      </c>
      <c r="II34">
        <v>2.27</v>
      </c>
      <c r="IJ34">
        <v>2.84</v>
      </c>
      <c r="IK34">
        <v>2.84</v>
      </c>
    </row>
    <row r="35" spans="1:245" x14ac:dyDescent="0.3">
      <c r="A35">
        <v>1711</v>
      </c>
      <c r="B35">
        <v>2337</v>
      </c>
      <c r="C35" s="1" t="s">
        <v>2048</v>
      </c>
      <c r="D35" s="1" t="s">
        <v>266</v>
      </c>
      <c r="E35" t="s">
        <v>3275</v>
      </c>
      <c r="F35" s="1" t="s">
        <v>267</v>
      </c>
      <c r="G35" s="1" t="s">
        <v>268</v>
      </c>
      <c r="H35">
        <v>608729156</v>
      </c>
      <c r="I35" s="1" t="s">
        <v>2049</v>
      </c>
      <c r="J35" s="1" t="s">
        <v>2050</v>
      </c>
      <c r="L35">
        <v>44599</v>
      </c>
      <c r="M35" s="1" t="s">
        <v>2051</v>
      </c>
      <c r="N35" s="1" t="s">
        <v>2052</v>
      </c>
      <c r="O35">
        <v>324583650</v>
      </c>
      <c r="P35" s="1" t="s">
        <v>273</v>
      </c>
      <c r="Q35" s="1" t="s">
        <v>1984</v>
      </c>
      <c r="R35" s="1" t="s">
        <v>2101</v>
      </c>
      <c r="S35" s="1" t="s">
        <v>2053</v>
      </c>
      <c r="T35" s="1" t="s">
        <v>2054</v>
      </c>
      <c r="U35">
        <v>324583653</v>
      </c>
      <c r="V35" s="1" t="s">
        <v>276</v>
      </c>
      <c r="W35" s="1" t="s">
        <v>2099</v>
      </c>
      <c r="X35" s="1" t="s">
        <v>274</v>
      </c>
      <c r="Y35" s="1" t="s">
        <v>2055</v>
      </c>
      <c r="Z35" s="1" t="s">
        <v>2056</v>
      </c>
      <c r="AA35">
        <v>324583650</v>
      </c>
      <c r="AB35" s="1" t="s">
        <v>2121</v>
      </c>
      <c r="AC35" s="1" t="s">
        <v>2166</v>
      </c>
      <c r="AD35" s="1" t="s">
        <v>2057</v>
      </c>
      <c r="AE35" s="1" t="s">
        <v>2058</v>
      </c>
      <c r="AF35">
        <v>324583650</v>
      </c>
      <c r="AG35" s="1" t="s">
        <v>2160</v>
      </c>
      <c r="AH35" s="1" t="s">
        <v>279</v>
      </c>
      <c r="AI35" s="1" t="s">
        <v>2059</v>
      </c>
      <c r="AJ35" s="1" t="s">
        <v>2060</v>
      </c>
      <c r="AK35">
        <v>324583650</v>
      </c>
      <c r="AL35" s="1" t="s">
        <v>2086</v>
      </c>
      <c r="AM35" s="1" t="s">
        <v>2013</v>
      </c>
      <c r="AN35" s="1" t="s">
        <v>2061</v>
      </c>
      <c r="AO35" s="1" t="s">
        <v>2062</v>
      </c>
      <c r="AP35">
        <v>324583654</v>
      </c>
      <c r="AQ35" s="1" t="s">
        <v>2049</v>
      </c>
      <c r="AR35" s="1" t="s">
        <v>2015</v>
      </c>
      <c r="AS35" s="1" t="s">
        <v>2063</v>
      </c>
      <c r="AT35" s="1" t="s">
        <v>2064</v>
      </c>
      <c r="AU35">
        <v>324583650</v>
      </c>
      <c r="AV35" s="1" t="s">
        <v>2140</v>
      </c>
      <c r="AW35" s="1" t="s">
        <v>2063</v>
      </c>
      <c r="AX35" s="1" t="s">
        <v>287</v>
      </c>
      <c r="AY35">
        <v>787300099</v>
      </c>
      <c r="AZ35" s="1"/>
      <c r="BB35" s="1" t="s">
        <v>2065</v>
      </c>
      <c r="BC35" s="1" t="s">
        <v>2066</v>
      </c>
      <c r="BD35">
        <v>8</v>
      </c>
      <c r="BE35">
        <v>324583650</v>
      </c>
      <c r="BF35">
        <v>49.7547607421875</v>
      </c>
      <c r="BG35">
        <v>4.6988067626953098</v>
      </c>
      <c r="BH35">
        <v>451647903</v>
      </c>
      <c r="BI35">
        <v>249</v>
      </c>
      <c r="BJ35" s="2">
        <v>35396</v>
      </c>
      <c r="BK35" s="1" t="s">
        <v>3310</v>
      </c>
      <c r="BL35" s="1" t="s">
        <v>290</v>
      </c>
      <c r="BM35" s="1" t="s">
        <v>291</v>
      </c>
      <c r="BN35" s="1" t="s">
        <v>292</v>
      </c>
      <c r="BO35" s="1" t="s">
        <v>291</v>
      </c>
      <c r="BP35" s="1" t="s">
        <v>293</v>
      </c>
      <c r="BQ35" s="1" t="s">
        <v>294</v>
      </c>
      <c r="BR35">
        <v>80</v>
      </c>
      <c r="BS35">
        <v>23636429.34</v>
      </c>
      <c r="BT35" s="1" t="s">
        <v>295</v>
      </c>
      <c r="BU35" s="1" t="s">
        <v>296</v>
      </c>
      <c r="BV35">
        <v>359209</v>
      </c>
      <c r="BW35">
        <v>1.3207922587373237E-2</v>
      </c>
      <c r="BX35">
        <v>51.856992154018599</v>
      </c>
      <c r="BY35">
        <v>4.9763906287773905</v>
      </c>
      <c r="BZ35">
        <v>5.6543032021274255</v>
      </c>
      <c r="CA35">
        <v>62.487685984923409</v>
      </c>
      <c r="CB35" s="1" t="s">
        <v>443</v>
      </c>
      <c r="CC35">
        <v>2</v>
      </c>
      <c r="CD35" s="1" t="s">
        <v>298</v>
      </c>
      <c r="CE35" s="1" t="s">
        <v>504</v>
      </c>
      <c r="CF35">
        <v>1101</v>
      </c>
      <c r="CG35" s="1" t="s">
        <v>300</v>
      </c>
      <c r="CH35" s="1" t="s">
        <v>1474</v>
      </c>
      <c r="CI35" s="1" t="s">
        <v>1475</v>
      </c>
      <c r="CJ35" s="1" t="s">
        <v>1474</v>
      </c>
      <c r="CK35" s="1" t="s">
        <v>1475</v>
      </c>
      <c r="CL35" s="1" t="s">
        <v>1476</v>
      </c>
      <c r="CM35">
        <v>3020409000010</v>
      </c>
      <c r="CO35" s="1"/>
      <c r="CP35" s="1" t="s">
        <v>366</v>
      </c>
      <c r="CQ35" s="1" t="s">
        <v>766</v>
      </c>
      <c r="CR35" s="1" t="s">
        <v>407</v>
      </c>
      <c r="CS35">
        <v>5540</v>
      </c>
      <c r="CT35">
        <v>2990</v>
      </c>
      <c r="CU35">
        <v>3000</v>
      </c>
      <c r="CV35" s="1" t="s">
        <v>309</v>
      </c>
      <c r="CW35" s="1" t="s">
        <v>2067</v>
      </c>
      <c r="CX35">
        <v>400</v>
      </c>
      <c r="CY35">
        <v>1532</v>
      </c>
      <c r="CZ35" t="s">
        <v>368</v>
      </c>
      <c r="DA35" s="1" t="s">
        <v>309</v>
      </c>
      <c r="DB35">
        <v>489</v>
      </c>
      <c r="DC35">
        <v>489</v>
      </c>
      <c r="DD35">
        <v>0</v>
      </c>
      <c r="DE35">
        <v>0</v>
      </c>
      <c r="DF35">
        <v>489</v>
      </c>
      <c r="DG35">
        <v>0</v>
      </c>
      <c r="DH35">
        <v>2061</v>
      </c>
      <c r="DI35">
        <v>1459</v>
      </c>
      <c r="DJ35">
        <v>602</v>
      </c>
      <c r="DK35" s="1" t="s">
        <v>369</v>
      </c>
      <c r="DL35" s="1" t="s">
        <v>445</v>
      </c>
      <c r="DN35" s="1"/>
      <c r="DO35">
        <v>618</v>
      </c>
      <c r="DP35">
        <v>0</v>
      </c>
      <c r="DQ35">
        <v>618</v>
      </c>
      <c r="DR35" s="1"/>
      <c r="DS35">
        <v>340</v>
      </c>
      <c r="DT35">
        <v>38</v>
      </c>
      <c r="DU35">
        <v>216</v>
      </c>
      <c r="DV35">
        <v>138</v>
      </c>
      <c r="DW35" s="1" t="s">
        <v>558</v>
      </c>
      <c r="DX35">
        <v>17</v>
      </c>
      <c r="DZ35">
        <v>3</v>
      </c>
      <c r="EA35">
        <v>1</v>
      </c>
      <c r="EB35">
        <v>9</v>
      </c>
      <c r="EC35">
        <v>3</v>
      </c>
      <c r="ED35">
        <v>0</v>
      </c>
      <c r="EE35">
        <v>0</v>
      </c>
      <c r="EF35">
        <v>13</v>
      </c>
      <c r="EG35">
        <v>2010</v>
      </c>
      <c r="EI35" s="1"/>
      <c r="EJ35" s="1" t="s">
        <v>313</v>
      </c>
      <c r="EK35" s="1" t="s">
        <v>314</v>
      </c>
      <c r="EL35">
        <v>28</v>
      </c>
      <c r="EM35">
        <v>22</v>
      </c>
      <c r="EN35">
        <v>12</v>
      </c>
      <c r="EO35" s="1" t="s">
        <v>315</v>
      </c>
      <c r="EP35">
        <v>20</v>
      </c>
      <c r="EQ35">
        <v>66.522986067507262</v>
      </c>
      <c r="ER35" s="1" t="s">
        <v>316</v>
      </c>
      <c r="ES35">
        <v>4.0728358816841173</v>
      </c>
      <c r="ET35">
        <v>0</v>
      </c>
      <c r="EU35" s="1"/>
      <c r="EV35">
        <v>98.4268671406995</v>
      </c>
      <c r="EW35">
        <v>4</v>
      </c>
      <c r="EX35" t="s">
        <v>481</v>
      </c>
      <c r="EY35">
        <v>4</v>
      </c>
      <c r="EZ35" s="1" t="s">
        <v>412</v>
      </c>
      <c r="FA35" s="2">
        <v>44197</v>
      </c>
      <c r="FB35" s="1" t="s">
        <v>529</v>
      </c>
      <c r="FC35">
        <v>1</v>
      </c>
      <c r="FD35" s="1"/>
      <c r="FE35" s="2"/>
      <c r="FF35" s="1"/>
      <c r="FG35" s="1" t="s">
        <v>319</v>
      </c>
      <c r="FH35" s="1" t="s">
        <v>319</v>
      </c>
      <c r="FI35" s="1" t="s">
        <v>319</v>
      </c>
      <c r="FJ35" s="1" t="s">
        <v>319</v>
      </c>
      <c r="FK35" s="1" t="s">
        <v>320</v>
      </c>
      <c r="FL35">
        <v>18.920000000000002</v>
      </c>
      <c r="FM35">
        <v>6061.9020991675698</v>
      </c>
      <c r="FN35" s="1" t="s">
        <v>2068</v>
      </c>
      <c r="FO35" s="1" t="s">
        <v>319</v>
      </c>
      <c r="FP35" s="1" t="s">
        <v>323</v>
      </c>
      <c r="FQ35" s="1" t="s">
        <v>1198</v>
      </c>
      <c r="FR35" s="1" t="s">
        <v>325</v>
      </c>
      <c r="FS35" s="1"/>
      <c r="FT35" s="1" t="s">
        <v>326</v>
      </c>
      <c r="FU35">
        <v>494198191</v>
      </c>
      <c r="FV35" s="1" t="s">
        <v>322</v>
      </c>
      <c r="FW35" s="1" t="s">
        <v>322</v>
      </c>
      <c r="FX35" s="1" t="s">
        <v>322</v>
      </c>
      <c r="FY35" s="1" t="s">
        <v>322</v>
      </c>
      <c r="FZ35" s="1" t="s">
        <v>322</v>
      </c>
      <c r="GA35" s="1" t="s">
        <v>322</v>
      </c>
      <c r="GB35" s="1" t="s">
        <v>319</v>
      </c>
      <c r="GC35" s="1" t="s">
        <v>319</v>
      </c>
      <c r="GD35" s="1" t="s">
        <v>322</v>
      </c>
      <c r="GE35" s="1" t="s">
        <v>319</v>
      </c>
      <c r="GF35" s="1" t="s">
        <v>415</v>
      </c>
      <c r="GG35" s="1"/>
      <c r="GH35" s="1" t="s">
        <v>322</v>
      </c>
      <c r="GI35" s="1"/>
      <c r="GJ35" s="1" t="s">
        <v>322</v>
      </c>
      <c r="GK35" s="2">
        <v>42005</v>
      </c>
      <c r="GL35" s="1" t="s">
        <v>322</v>
      </c>
      <c r="GM35" s="1" t="s">
        <v>2069</v>
      </c>
      <c r="GO35" s="1" t="s">
        <v>319</v>
      </c>
      <c r="GQ35" s="1"/>
      <c r="GR35" s="1"/>
      <c r="GS35" s="1"/>
      <c r="GT35" s="1" t="s">
        <v>322</v>
      </c>
      <c r="GU35" s="1" t="s">
        <v>1479</v>
      </c>
      <c r="GV35" s="1" t="s">
        <v>322</v>
      </c>
      <c r="GW35" s="1" t="s">
        <v>322</v>
      </c>
      <c r="GX35" s="1" t="s">
        <v>319</v>
      </c>
      <c r="GY35" s="1" t="s">
        <v>319</v>
      </c>
      <c r="GZ35" s="1" t="s">
        <v>319</v>
      </c>
      <c r="HA35" s="2">
        <v>44064</v>
      </c>
      <c r="HB35" s="2">
        <v>42667</v>
      </c>
      <c r="HC35" s="1"/>
      <c r="HD35" s="1"/>
      <c r="HE35" s="1"/>
      <c r="HF35" s="1"/>
      <c r="HG35" s="1"/>
      <c r="HH35" s="1"/>
      <c r="HI35" s="1" t="s">
        <v>322</v>
      </c>
      <c r="HJ35" s="1" t="s">
        <v>330</v>
      </c>
      <c r="HK35" s="2"/>
      <c r="HL35" s="1"/>
      <c r="HM35" s="1" t="s">
        <v>322</v>
      </c>
      <c r="HN35" s="1" t="s">
        <v>322</v>
      </c>
      <c r="HO35" s="1" t="s">
        <v>322</v>
      </c>
      <c r="HP35" s="1"/>
      <c r="HQ35" s="1"/>
      <c r="HR35" s="1"/>
      <c r="HS35" s="1"/>
      <c r="HT35" s="1"/>
      <c r="HU35" s="1" t="s">
        <v>331</v>
      </c>
      <c r="HV35">
        <v>4621964011</v>
      </c>
      <c r="HW35">
        <v>40638669</v>
      </c>
      <c r="HX35">
        <v>99102569327</v>
      </c>
      <c r="HY35" s="1" t="s">
        <v>2070</v>
      </c>
      <c r="HZ35">
        <v>4320713</v>
      </c>
      <c r="IA35">
        <v>4321026</v>
      </c>
      <c r="IB35" s="1" t="s">
        <v>2071</v>
      </c>
      <c r="IC35">
        <v>830099</v>
      </c>
      <c r="ID35" s="1" t="s">
        <v>2072</v>
      </c>
      <c r="IE35">
        <v>3.23</v>
      </c>
      <c r="IF35">
        <v>3.2</v>
      </c>
      <c r="IG35">
        <v>3.1</v>
      </c>
      <c r="IH35">
        <v>2.2999999999999998</v>
      </c>
      <c r="II35">
        <v>2.77</v>
      </c>
      <c r="IJ35">
        <v>4.7699999999999996</v>
      </c>
      <c r="IK35">
        <v>4.7699999999999996</v>
      </c>
    </row>
    <row r="36" spans="1:245" x14ac:dyDescent="0.3">
      <c r="A36">
        <v>1781</v>
      </c>
      <c r="B36">
        <v>2395</v>
      </c>
      <c r="C36" s="1" t="s">
        <v>2278</v>
      </c>
      <c r="D36" s="1" t="s">
        <v>700</v>
      </c>
      <c r="E36" t="s">
        <v>3275</v>
      </c>
      <c r="F36" s="1" t="s">
        <v>2181</v>
      </c>
      <c r="G36" s="1" t="s">
        <v>2182</v>
      </c>
      <c r="H36">
        <v>686016869</v>
      </c>
      <c r="I36" s="1" t="s">
        <v>2279</v>
      </c>
      <c r="J36" s="1" t="s">
        <v>2280</v>
      </c>
      <c r="L36">
        <v>44270</v>
      </c>
      <c r="M36" s="1" t="s">
        <v>2281</v>
      </c>
      <c r="N36" s="1" t="s">
        <v>2282</v>
      </c>
      <c r="O36">
        <v>237912660</v>
      </c>
      <c r="P36" s="1" t="s">
        <v>273</v>
      </c>
      <c r="Q36" s="1" t="s">
        <v>2324</v>
      </c>
      <c r="R36" s="1" t="s">
        <v>2260</v>
      </c>
      <c r="S36" s="1" t="s">
        <v>524</v>
      </c>
      <c r="T36" s="1"/>
      <c r="V36" s="1"/>
      <c r="W36" s="1" t="s">
        <v>2324</v>
      </c>
      <c r="X36" s="1" t="s">
        <v>2187</v>
      </c>
      <c r="Y36" s="1" t="s">
        <v>2283</v>
      </c>
      <c r="Z36" s="1" t="s">
        <v>2284</v>
      </c>
      <c r="AA36">
        <v>237912664</v>
      </c>
      <c r="AB36" s="1" t="s">
        <v>2183</v>
      </c>
      <c r="AC36" s="1" t="s">
        <v>2353</v>
      </c>
      <c r="AD36" s="1" t="s">
        <v>2285</v>
      </c>
      <c r="AE36" s="1" t="s">
        <v>2286</v>
      </c>
      <c r="AF36">
        <v>237912666</v>
      </c>
      <c r="AG36" s="1" t="s">
        <v>2233</v>
      </c>
      <c r="AH36" s="1" t="s">
        <v>2217</v>
      </c>
      <c r="AI36" s="1" t="s">
        <v>2287</v>
      </c>
      <c r="AJ36" s="1" t="s">
        <v>2288</v>
      </c>
      <c r="AK36">
        <v>237912665</v>
      </c>
      <c r="AL36" s="1" t="s">
        <v>2391</v>
      </c>
      <c r="AM36" s="1" t="s">
        <v>2401</v>
      </c>
      <c r="AN36" s="1" t="s">
        <v>2289</v>
      </c>
      <c r="AO36" s="1" t="s">
        <v>2290</v>
      </c>
      <c r="AP36">
        <v>237912662</v>
      </c>
      <c r="AQ36" s="1" t="s">
        <v>2345</v>
      </c>
      <c r="AR36" s="1" t="s">
        <v>2289</v>
      </c>
      <c r="AS36" s="1" t="s">
        <v>2291</v>
      </c>
      <c r="AT36" s="1" t="s">
        <v>2292</v>
      </c>
      <c r="AU36">
        <v>237912663</v>
      </c>
      <c r="AV36" s="1" t="s">
        <v>2368</v>
      </c>
      <c r="AW36" s="1" t="s">
        <v>2223</v>
      </c>
      <c r="AX36" s="1" t="s">
        <v>2199</v>
      </c>
      <c r="AY36">
        <v>620112925</v>
      </c>
      <c r="AZ36" s="1" t="s">
        <v>356</v>
      </c>
      <c r="BA36">
        <v>678408520</v>
      </c>
      <c r="BB36" s="1" t="s">
        <v>2293</v>
      </c>
      <c r="BC36" s="1" t="s">
        <v>2294</v>
      </c>
      <c r="BD36">
        <v>28</v>
      </c>
      <c r="BE36">
        <v>237912660</v>
      </c>
      <c r="BF36">
        <v>48.4190673828125</v>
      </c>
      <c r="BG36">
        <v>1.46160888671875</v>
      </c>
      <c r="BH36">
        <v>451647903</v>
      </c>
      <c r="BI36">
        <v>165</v>
      </c>
      <c r="BJ36" s="2">
        <v>38161</v>
      </c>
      <c r="BK36" s="1" t="s">
        <v>3314</v>
      </c>
      <c r="BL36" s="1" t="s">
        <v>290</v>
      </c>
      <c r="BM36" s="1" t="s">
        <v>291</v>
      </c>
      <c r="BN36" s="1" t="s">
        <v>292</v>
      </c>
      <c r="BO36" s="1" t="s">
        <v>291</v>
      </c>
      <c r="BP36" s="1" t="s">
        <v>293</v>
      </c>
      <c r="BQ36" s="1" t="s">
        <v>294</v>
      </c>
      <c r="BR36">
        <v>80</v>
      </c>
      <c r="BS36">
        <v>24150369.91</v>
      </c>
      <c r="BT36" s="1" t="s">
        <v>295</v>
      </c>
      <c r="BU36" s="1" t="s">
        <v>296</v>
      </c>
      <c r="BV36">
        <v>405559</v>
      </c>
      <c r="BW36">
        <v>1.9916577594796408E-2</v>
      </c>
      <c r="BX36">
        <v>48.971385244280299</v>
      </c>
      <c r="BY36">
        <v>15.147667084239906</v>
      </c>
      <c r="BZ36">
        <v>5.0519587481593815</v>
      </c>
      <c r="CA36">
        <v>69.171011076679591</v>
      </c>
      <c r="CB36" s="1" t="s">
        <v>297</v>
      </c>
      <c r="CC36">
        <v>1</v>
      </c>
      <c r="CD36" s="1" t="s">
        <v>298</v>
      </c>
      <c r="CE36" s="1" t="s">
        <v>299</v>
      </c>
      <c r="CF36">
        <v>1101</v>
      </c>
      <c r="CG36" s="1" t="s">
        <v>300</v>
      </c>
      <c r="CH36" s="1" t="s">
        <v>301</v>
      </c>
      <c r="CI36" s="1" t="s">
        <v>302</v>
      </c>
      <c r="CJ36" s="1" t="s">
        <v>301</v>
      </c>
      <c r="CK36" s="1" t="s">
        <v>302</v>
      </c>
      <c r="CL36" s="1" t="s">
        <v>303</v>
      </c>
      <c r="CM36">
        <v>3601651117009</v>
      </c>
      <c r="CO36" s="1"/>
      <c r="CP36" s="1" t="s">
        <v>444</v>
      </c>
      <c r="CQ36" s="1" t="s">
        <v>367</v>
      </c>
      <c r="CR36" s="1" t="s">
        <v>505</v>
      </c>
      <c r="CS36">
        <v>7200</v>
      </c>
      <c r="CT36">
        <v>3700</v>
      </c>
      <c r="CU36">
        <v>3700</v>
      </c>
      <c r="CV36" s="1" t="s">
        <v>307</v>
      </c>
      <c r="CW36" s="1" t="s">
        <v>308</v>
      </c>
      <c r="CY36">
        <v>3500</v>
      </c>
      <c r="CZ36">
        <v>3500</v>
      </c>
      <c r="DA36" s="1" t="s">
        <v>307</v>
      </c>
      <c r="DB36">
        <v>3500</v>
      </c>
      <c r="DC36">
        <v>3500</v>
      </c>
      <c r="DD36">
        <v>0</v>
      </c>
      <c r="DE36">
        <v>0</v>
      </c>
      <c r="DF36">
        <v>1400</v>
      </c>
      <c r="DG36">
        <v>2100</v>
      </c>
      <c r="DH36">
        <v>0</v>
      </c>
      <c r="DI36">
        <v>0</v>
      </c>
      <c r="DJ36">
        <v>0</v>
      </c>
      <c r="DK36" s="1" t="s">
        <v>369</v>
      </c>
      <c r="DL36" s="1" t="s">
        <v>370</v>
      </c>
      <c r="DN36" s="1"/>
      <c r="DO36">
        <v>1000</v>
      </c>
      <c r="DP36">
        <v>0</v>
      </c>
      <c r="DQ36">
        <v>1000</v>
      </c>
      <c r="DR36" s="1" t="s">
        <v>790</v>
      </c>
      <c r="DS36">
        <v>400</v>
      </c>
      <c r="DT36">
        <v>159</v>
      </c>
      <c r="DU36">
        <v>242</v>
      </c>
      <c r="DV36">
        <v>306</v>
      </c>
      <c r="DW36" s="1" t="s">
        <v>371</v>
      </c>
      <c r="DX36">
        <v>19</v>
      </c>
      <c r="DZ36">
        <v>2</v>
      </c>
      <c r="EA36">
        <v>2</v>
      </c>
      <c r="EB36">
        <v>8</v>
      </c>
      <c r="EC36">
        <v>2</v>
      </c>
      <c r="ED36">
        <v>0</v>
      </c>
      <c r="EE36">
        <v>0</v>
      </c>
      <c r="EF36">
        <v>12</v>
      </c>
      <c r="EG36">
        <v>2010</v>
      </c>
      <c r="EI36" s="1"/>
      <c r="EJ36" s="1" t="s">
        <v>313</v>
      </c>
      <c r="EK36" s="1" t="s">
        <v>314</v>
      </c>
      <c r="EL36">
        <v>29</v>
      </c>
      <c r="EM36">
        <v>23</v>
      </c>
      <c r="EN36">
        <v>15</v>
      </c>
      <c r="EO36" s="1" t="s">
        <v>315</v>
      </c>
      <c r="EP36">
        <v>10</v>
      </c>
      <c r="EQ36">
        <v>86.594481506882531</v>
      </c>
      <c r="ER36" s="1" t="s">
        <v>316</v>
      </c>
      <c r="ES36">
        <v>5.0802095817371082</v>
      </c>
      <c r="ET36">
        <v>0</v>
      </c>
      <c r="EU36" s="1"/>
      <c r="EV36">
        <v>82.20702777720048</v>
      </c>
      <c r="EW36">
        <v>0</v>
      </c>
      <c r="EX36" t="s">
        <v>316</v>
      </c>
      <c r="EY36">
        <v>0</v>
      </c>
      <c r="EZ36" s="1" t="s">
        <v>412</v>
      </c>
      <c r="FA36" s="2">
        <v>42736</v>
      </c>
      <c r="FB36" s="1" t="s">
        <v>791</v>
      </c>
      <c r="FC36">
        <v>1</v>
      </c>
      <c r="FD36" s="1"/>
      <c r="FE36" s="2"/>
      <c r="FF36" s="1"/>
      <c r="FG36" s="1" t="s">
        <v>319</v>
      </c>
      <c r="FH36" s="1" t="s">
        <v>319</v>
      </c>
      <c r="FI36" s="1" t="s">
        <v>319</v>
      </c>
      <c r="FJ36" s="1" t="s">
        <v>319</v>
      </c>
      <c r="FK36" s="1" t="s">
        <v>1096</v>
      </c>
      <c r="FL36">
        <v>19.27</v>
      </c>
      <c r="FM36">
        <v>4287.6418894830658</v>
      </c>
      <c r="FN36" s="1" t="s">
        <v>2295</v>
      </c>
      <c r="FO36" s="1" t="s">
        <v>322</v>
      </c>
      <c r="FP36" s="1" t="s">
        <v>323</v>
      </c>
      <c r="FQ36" s="1" t="s">
        <v>559</v>
      </c>
      <c r="FR36" s="1" t="s">
        <v>325</v>
      </c>
      <c r="FS36" s="1"/>
      <c r="FT36" s="1" t="s">
        <v>326</v>
      </c>
      <c r="FU36">
        <v>494198191</v>
      </c>
      <c r="FV36" s="1" t="s">
        <v>322</v>
      </c>
      <c r="FW36" s="1" t="s">
        <v>322</v>
      </c>
      <c r="FX36" s="1" t="s">
        <v>322</v>
      </c>
      <c r="FY36" s="1" t="s">
        <v>322</v>
      </c>
      <c r="FZ36" s="1" t="s">
        <v>322</v>
      </c>
      <c r="GA36" s="1" t="s">
        <v>322</v>
      </c>
      <c r="GB36" s="1"/>
      <c r="GC36" s="1"/>
      <c r="GD36" s="1" t="s">
        <v>322</v>
      </c>
      <c r="GE36" s="1" t="s">
        <v>319</v>
      </c>
      <c r="GF36" s="1" t="s">
        <v>415</v>
      </c>
      <c r="GG36" s="1"/>
      <c r="GH36" s="1" t="s">
        <v>322</v>
      </c>
      <c r="GI36" s="1"/>
      <c r="GJ36" s="1" t="s">
        <v>322</v>
      </c>
      <c r="GK36" s="2">
        <v>42005</v>
      </c>
      <c r="GL36" s="1" t="s">
        <v>322</v>
      </c>
      <c r="GM36" s="1" t="s">
        <v>322</v>
      </c>
      <c r="GN36">
        <v>43011</v>
      </c>
      <c r="GO36" s="1" t="s">
        <v>322</v>
      </c>
      <c r="GP36">
        <v>42492</v>
      </c>
      <c r="GQ36" s="1" t="s">
        <v>2296</v>
      </c>
      <c r="GR36" s="1" t="s">
        <v>322</v>
      </c>
      <c r="GS36" s="1" t="s">
        <v>377</v>
      </c>
      <c r="GT36" s="1" t="s">
        <v>322</v>
      </c>
      <c r="GU36" s="1" t="s">
        <v>2297</v>
      </c>
      <c r="GV36" s="1" t="s">
        <v>322</v>
      </c>
      <c r="GW36" s="1" t="s">
        <v>322</v>
      </c>
      <c r="GX36" s="1" t="s">
        <v>322</v>
      </c>
      <c r="GY36" s="1" t="s">
        <v>322</v>
      </c>
      <c r="GZ36" s="1" t="s">
        <v>319</v>
      </c>
      <c r="HA36" s="2">
        <v>44067</v>
      </c>
      <c r="HB36" s="2">
        <v>42660</v>
      </c>
      <c r="HC36" s="1"/>
      <c r="HD36" s="1"/>
      <c r="HE36" s="1"/>
      <c r="HF36" s="1"/>
      <c r="HG36" s="1"/>
      <c r="HH36" s="1"/>
      <c r="HI36" s="1" t="s">
        <v>322</v>
      </c>
      <c r="HJ36" s="1" t="s">
        <v>794</v>
      </c>
      <c r="HK36" s="2">
        <v>42736</v>
      </c>
      <c r="HL36" s="1"/>
      <c r="HM36" s="1" t="s">
        <v>322</v>
      </c>
      <c r="HN36" s="1" t="s">
        <v>322</v>
      </c>
      <c r="HO36" s="1"/>
      <c r="HP36" s="1"/>
      <c r="HQ36" s="1"/>
      <c r="HR36" s="1"/>
      <c r="HS36" s="1"/>
      <c r="HT36" s="1"/>
      <c r="HU36" s="1" t="s">
        <v>331</v>
      </c>
      <c r="HV36">
        <v>4621991014</v>
      </c>
      <c r="HW36">
        <v>40638770</v>
      </c>
      <c r="HX36">
        <v>99102567721</v>
      </c>
      <c r="HY36" s="1" t="s">
        <v>2298</v>
      </c>
      <c r="HZ36">
        <v>4320773</v>
      </c>
      <c r="IA36">
        <v>4321101</v>
      </c>
      <c r="IB36" s="1" t="s">
        <v>2299</v>
      </c>
      <c r="IC36">
        <v>830238</v>
      </c>
      <c r="ID36" s="1" t="s">
        <v>2300</v>
      </c>
      <c r="IE36">
        <v>3.6</v>
      </c>
      <c r="IF36">
        <v>4.5999999999999996</v>
      </c>
      <c r="IG36">
        <v>5.61</v>
      </c>
      <c r="IH36">
        <v>5.36</v>
      </c>
      <c r="II36">
        <v>4.3</v>
      </c>
      <c r="IJ36">
        <v>2.62</v>
      </c>
      <c r="IK36">
        <v>2.62</v>
      </c>
    </row>
    <row r="37" spans="1:245" x14ac:dyDescent="0.3">
      <c r="A37">
        <v>1774</v>
      </c>
      <c r="B37">
        <v>2388</v>
      </c>
      <c r="C37" s="1" t="s">
        <v>722</v>
      </c>
      <c r="D37" s="1" t="s">
        <v>700</v>
      </c>
      <c r="E37" t="s">
        <v>3275</v>
      </c>
      <c r="F37" s="1" t="s">
        <v>643</v>
      </c>
      <c r="G37" s="1" t="s">
        <v>644</v>
      </c>
      <c r="H37">
        <v>610920310</v>
      </c>
      <c r="I37" s="1" t="s">
        <v>723</v>
      </c>
      <c r="J37" s="1" t="s">
        <v>724</v>
      </c>
      <c r="K37">
        <v>619831351</v>
      </c>
      <c r="L37">
        <v>44452</v>
      </c>
      <c r="M37" s="1" t="s">
        <v>725</v>
      </c>
      <c r="N37" s="1" t="s">
        <v>726</v>
      </c>
      <c r="O37">
        <v>682256153</v>
      </c>
      <c r="P37" s="1" t="s">
        <v>273</v>
      </c>
      <c r="Q37" s="1" t="s">
        <v>723</v>
      </c>
      <c r="R37" s="1" t="s">
        <v>647</v>
      </c>
      <c r="S37" s="1" t="s">
        <v>727</v>
      </c>
      <c r="T37" s="1" t="s">
        <v>595</v>
      </c>
      <c r="U37">
        <v>254293550</v>
      </c>
      <c r="V37" s="1" t="s">
        <v>276</v>
      </c>
      <c r="W37" s="1" t="s">
        <v>645</v>
      </c>
      <c r="X37" s="1" t="s">
        <v>857</v>
      </c>
      <c r="Y37" s="1" t="s">
        <v>728</v>
      </c>
      <c r="Z37" s="1" t="s">
        <v>729</v>
      </c>
      <c r="AA37">
        <v>254293549</v>
      </c>
      <c r="AB37" s="1" t="s">
        <v>853</v>
      </c>
      <c r="AC37" s="1" t="s">
        <v>777</v>
      </c>
      <c r="AD37" s="1" t="s">
        <v>730</v>
      </c>
      <c r="AE37" s="1" t="s">
        <v>731</v>
      </c>
      <c r="AF37">
        <v>254363333</v>
      </c>
      <c r="AG37" s="1" t="s">
        <v>645</v>
      </c>
      <c r="AH37" s="1" t="s">
        <v>838</v>
      </c>
      <c r="AI37" s="1" t="s">
        <v>732</v>
      </c>
      <c r="AJ37" s="1" t="s">
        <v>733</v>
      </c>
      <c r="AK37">
        <v>254363333</v>
      </c>
      <c r="AL37" s="1" t="s">
        <v>748</v>
      </c>
      <c r="AM37" s="1" t="s">
        <v>685</v>
      </c>
      <c r="AN37" s="1" t="s">
        <v>734</v>
      </c>
      <c r="AO37" s="1" t="s">
        <v>735</v>
      </c>
      <c r="AP37">
        <v>254293545</v>
      </c>
      <c r="AQ37" s="1" t="s">
        <v>830</v>
      </c>
      <c r="AR37" s="1" t="s">
        <v>734</v>
      </c>
      <c r="AS37" s="1" t="s">
        <v>736</v>
      </c>
      <c r="AT37" s="1" t="s">
        <v>737</v>
      </c>
      <c r="AU37">
        <v>254293546</v>
      </c>
      <c r="AV37" s="1" t="s">
        <v>787</v>
      </c>
      <c r="AW37" s="1" t="s">
        <v>736</v>
      </c>
      <c r="AX37" s="1" t="s">
        <v>659</v>
      </c>
      <c r="AY37">
        <v>617425664</v>
      </c>
      <c r="AZ37" s="1" t="s">
        <v>660</v>
      </c>
      <c r="BA37">
        <v>678409252</v>
      </c>
      <c r="BB37" s="1" t="s">
        <v>738</v>
      </c>
      <c r="BC37" s="1" t="s">
        <v>739</v>
      </c>
      <c r="BD37">
        <v>36</v>
      </c>
      <c r="BE37">
        <v>254363333</v>
      </c>
      <c r="BF37">
        <v>46.79541015625</v>
      </c>
      <c r="BG37">
        <v>1.7319755554199201</v>
      </c>
      <c r="BH37">
        <v>451647903</v>
      </c>
      <c r="BI37">
        <v>660</v>
      </c>
      <c r="BJ37" s="2">
        <v>38534</v>
      </c>
      <c r="BK37" s="1" t="s">
        <v>3287</v>
      </c>
      <c r="BL37" s="1" t="s">
        <v>290</v>
      </c>
      <c r="BM37" s="1" t="s">
        <v>291</v>
      </c>
      <c r="BN37" s="1" t="s">
        <v>292</v>
      </c>
      <c r="BO37" s="1" t="s">
        <v>291</v>
      </c>
      <c r="BP37" s="1" t="s">
        <v>293</v>
      </c>
      <c r="BQ37" s="1" t="s">
        <v>294</v>
      </c>
      <c r="BR37">
        <v>80</v>
      </c>
      <c r="BS37">
        <v>20403176.940000001</v>
      </c>
      <c r="BT37" s="1" t="s">
        <v>295</v>
      </c>
      <c r="BU37" s="1" t="s">
        <v>359</v>
      </c>
      <c r="BV37">
        <v>316034</v>
      </c>
      <c r="BW37">
        <v>9.6719814311133356E-3</v>
      </c>
      <c r="BX37">
        <v>51.114063427177399</v>
      </c>
      <c r="BY37">
        <v>8.423792883672883</v>
      </c>
      <c r="BZ37">
        <v>2.4750005494384739</v>
      </c>
      <c r="CA37">
        <v>62.012856860288757</v>
      </c>
      <c r="CB37" s="1" t="s">
        <v>360</v>
      </c>
      <c r="CC37">
        <v>1</v>
      </c>
      <c r="CD37" s="1" t="s">
        <v>298</v>
      </c>
      <c r="CE37" s="1" t="s">
        <v>504</v>
      </c>
      <c r="CF37">
        <v>1101</v>
      </c>
      <c r="CG37" s="1" t="s">
        <v>300</v>
      </c>
      <c r="CH37" s="1" t="s">
        <v>301</v>
      </c>
      <c r="CI37" s="1" t="s">
        <v>302</v>
      </c>
      <c r="CJ37" s="1" t="s">
        <v>301</v>
      </c>
      <c r="CK37" s="1" t="s">
        <v>302</v>
      </c>
      <c r="CL37" s="1" t="s">
        <v>303</v>
      </c>
      <c r="CM37">
        <v>3601651117009</v>
      </c>
      <c r="CO37" s="1"/>
      <c r="CP37" s="1" t="s">
        <v>740</v>
      </c>
      <c r="CQ37" s="1" t="s">
        <v>406</v>
      </c>
      <c r="CR37" s="1" t="s">
        <v>407</v>
      </c>
      <c r="CS37">
        <v>5720</v>
      </c>
      <c r="CT37">
        <v>2940</v>
      </c>
      <c r="CU37">
        <v>3000</v>
      </c>
      <c r="CV37" s="1" t="s">
        <v>309</v>
      </c>
      <c r="CW37" s="1" t="s">
        <v>308</v>
      </c>
      <c r="CY37">
        <v>2780</v>
      </c>
      <c r="CZ37" t="s">
        <v>368</v>
      </c>
      <c r="DA37" s="1" t="s">
        <v>309</v>
      </c>
      <c r="DB37">
        <v>2780</v>
      </c>
      <c r="DC37">
        <v>2780</v>
      </c>
      <c r="DD37">
        <v>84</v>
      </c>
      <c r="DE37">
        <v>0</v>
      </c>
      <c r="DF37">
        <v>1032</v>
      </c>
      <c r="DG37">
        <v>1748</v>
      </c>
      <c r="DH37">
        <v>0</v>
      </c>
      <c r="DI37">
        <v>0</v>
      </c>
      <c r="DJ37">
        <v>0</v>
      </c>
      <c r="DK37" s="1" t="s">
        <v>409</v>
      </c>
      <c r="DL37" s="1" t="s">
        <v>741</v>
      </c>
      <c r="DN37" s="1"/>
      <c r="DO37">
        <v>750</v>
      </c>
      <c r="DP37">
        <v>0</v>
      </c>
      <c r="DQ37">
        <v>750</v>
      </c>
      <c r="DR37" s="1"/>
      <c r="DS37">
        <v>642</v>
      </c>
      <c r="DT37">
        <v>69</v>
      </c>
      <c r="DU37">
        <v>253</v>
      </c>
      <c r="DV37">
        <v>172</v>
      </c>
      <c r="DW37" s="1" t="s">
        <v>371</v>
      </c>
      <c r="DX37">
        <v>18</v>
      </c>
      <c r="DZ37">
        <v>2</v>
      </c>
      <c r="EA37">
        <v>2</v>
      </c>
      <c r="EB37">
        <v>9</v>
      </c>
      <c r="EC37">
        <v>3</v>
      </c>
      <c r="ED37">
        <v>0</v>
      </c>
      <c r="EE37">
        <v>0</v>
      </c>
      <c r="EF37">
        <v>14</v>
      </c>
      <c r="EG37">
        <v>2012</v>
      </c>
      <c r="EI37" s="1"/>
      <c r="EJ37" s="1" t="s">
        <v>313</v>
      </c>
      <c r="EK37" s="1" t="s">
        <v>314</v>
      </c>
      <c r="EL37">
        <v>29</v>
      </c>
      <c r="EM37">
        <v>27</v>
      </c>
      <c r="EN37">
        <v>10</v>
      </c>
      <c r="EO37" s="1" t="s">
        <v>315</v>
      </c>
      <c r="EP37">
        <v>28</v>
      </c>
      <c r="EQ37">
        <v>110.57302600128862</v>
      </c>
      <c r="ER37" s="1" t="s">
        <v>480</v>
      </c>
      <c r="ES37">
        <v>3.3255045413921396</v>
      </c>
      <c r="ET37">
        <v>0</v>
      </c>
      <c r="EU37" s="1"/>
      <c r="EV37">
        <v>109.32596179826658</v>
      </c>
      <c r="EW37">
        <v>0</v>
      </c>
      <c r="EX37" t="s">
        <v>316</v>
      </c>
      <c r="EY37">
        <v>0</v>
      </c>
      <c r="EZ37" s="1" t="s">
        <v>412</v>
      </c>
      <c r="FA37" s="2">
        <v>43983</v>
      </c>
      <c r="FB37" s="1" t="s">
        <v>742</v>
      </c>
      <c r="FC37">
        <v>1</v>
      </c>
      <c r="FD37" s="1"/>
      <c r="FE37" s="2"/>
      <c r="FF37" s="1"/>
      <c r="FG37" s="1" t="s">
        <v>319</v>
      </c>
      <c r="FH37" s="1" t="s">
        <v>319</v>
      </c>
      <c r="FI37" s="1" t="s">
        <v>319</v>
      </c>
      <c r="FJ37" s="1" t="s">
        <v>319</v>
      </c>
      <c r="FK37" s="1" t="s">
        <v>373</v>
      </c>
      <c r="FL37">
        <v>18.59</v>
      </c>
      <c r="FM37">
        <v>4086.2151012891341</v>
      </c>
      <c r="FN37" s="1" t="s">
        <v>321</v>
      </c>
      <c r="FO37" s="1" t="s">
        <v>319</v>
      </c>
      <c r="FP37" s="1" t="s">
        <v>323</v>
      </c>
      <c r="FQ37" s="1" t="s">
        <v>559</v>
      </c>
      <c r="FR37" s="1" t="s">
        <v>325</v>
      </c>
      <c r="FS37" s="1"/>
      <c r="FT37" s="1" t="s">
        <v>326</v>
      </c>
      <c r="FU37">
        <v>494198191</v>
      </c>
      <c r="FV37" s="1" t="s">
        <v>322</v>
      </c>
      <c r="FW37" s="1" t="s">
        <v>322</v>
      </c>
      <c r="FX37" s="1" t="s">
        <v>322</v>
      </c>
      <c r="FY37" s="1" t="s">
        <v>319</v>
      </c>
      <c r="FZ37" s="1" t="s">
        <v>322</v>
      </c>
      <c r="GA37" s="1" t="s">
        <v>322</v>
      </c>
      <c r="GB37" s="1" t="s">
        <v>322</v>
      </c>
      <c r="GC37" s="1" t="s">
        <v>322</v>
      </c>
      <c r="GD37" s="1" t="s">
        <v>319</v>
      </c>
      <c r="GE37" s="1" t="s">
        <v>319</v>
      </c>
      <c r="GF37" s="1" t="s">
        <v>415</v>
      </c>
      <c r="GG37" s="1"/>
      <c r="GH37" s="1" t="s">
        <v>322</v>
      </c>
      <c r="GI37" s="1" t="s">
        <v>743</v>
      </c>
      <c r="GJ37" s="1" t="s">
        <v>322</v>
      </c>
      <c r="GK37" s="2">
        <v>42005</v>
      </c>
      <c r="GL37" s="1" t="s">
        <v>322</v>
      </c>
      <c r="GM37" s="1" t="s">
        <v>322</v>
      </c>
      <c r="GN37">
        <v>42989</v>
      </c>
      <c r="GO37" s="1" t="s">
        <v>319</v>
      </c>
      <c r="GQ37" s="1"/>
      <c r="GR37" s="1"/>
      <c r="GS37" s="1"/>
      <c r="GT37" s="1" t="s">
        <v>319</v>
      </c>
      <c r="GU37" s="1" t="s">
        <v>319</v>
      </c>
      <c r="GV37" s="1" t="s">
        <v>322</v>
      </c>
      <c r="GW37" s="1" t="s">
        <v>322</v>
      </c>
      <c r="GX37" s="1" t="s">
        <v>319</v>
      </c>
      <c r="GY37" s="1" t="s">
        <v>319</v>
      </c>
      <c r="GZ37" s="1" t="s">
        <v>319</v>
      </c>
      <c r="HA37" s="2">
        <v>44076</v>
      </c>
      <c r="HB37" s="2">
        <v>42653</v>
      </c>
      <c r="HC37" s="1"/>
      <c r="HD37" s="1"/>
      <c r="HE37" s="1"/>
      <c r="HF37" s="1"/>
      <c r="HG37" s="1"/>
      <c r="HH37" s="1"/>
      <c r="HI37" s="1" t="s">
        <v>322</v>
      </c>
      <c r="HJ37" s="1" t="s">
        <v>330</v>
      </c>
      <c r="HK37" s="2"/>
      <c r="HL37" s="1"/>
      <c r="HM37" s="1" t="s">
        <v>322</v>
      </c>
      <c r="HN37" s="1" t="s">
        <v>322</v>
      </c>
      <c r="HO37" s="1"/>
      <c r="HP37" s="1"/>
      <c r="HQ37" s="1"/>
      <c r="HR37" s="1"/>
      <c r="HS37" s="1"/>
      <c r="HT37" s="1"/>
      <c r="HU37" s="1" t="s">
        <v>331</v>
      </c>
      <c r="HV37">
        <v>4623068010</v>
      </c>
      <c r="HW37">
        <v>40638072</v>
      </c>
      <c r="HX37">
        <v>99102518512</v>
      </c>
      <c r="HY37" s="1" t="s">
        <v>744</v>
      </c>
      <c r="HZ37">
        <v>4319342</v>
      </c>
      <c r="IA37">
        <v>4321674</v>
      </c>
      <c r="IB37" s="1" t="s">
        <v>745</v>
      </c>
      <c r="IC37">
        <v>830239</v>
      </c>
      <c r="ID37" s="1" t="s">
        <v>746</v>
      </c>
      <c r="IE37">
        <v>3.17</v>
      </c>
      <c r="IF37">
        <v>2.37</v>
      </c>
      <c r="IG37">
        <v>1.94</v>
      </c>
      <c r="IH37">
        <v>1.79</v>
      </c>
      <c r="II37">
        <v>1.86</v>
      </c>
      <c r="IJ37">
        <v>1.38</v>
      </c>
      <c r="IK37">
        <v>1.38</v>
      </c>
    </row>
    <row r="38" spans="1:245" x14ac:dyDescent="0.3">
      <c r="A38">
        <v>1736</v>
      </c>
      <c r="B38">
        <v>2353</v>
      </c>
      <c r="C38" s="1" t="s">
        <v>2437</v>
      </c>
      <c r="D38" s="1" t="s">
        <v>2232</v>
      </c>
      <c r="E38" t="s">
        <v>3275</v>
      </c>
      <c r="F38" s="1" t="s">
        <v>2415</v>
      </c>
      <c r="G38" s="1" t="s">
        <v>2416</v>
      </c>
      <c r="H38">
        <v>782575744</v>
      </c>
      <c r="I38" s="1" t="s">
        <v>2438</v>
      </c>
      <c r="J38" s="1" t="s">
        <v>2439</v>
      </c>
      <c r="L38">
        <v>43815</v>
      </c>
      <c r="M38" s="1" t="s">
        <v>2440</v>
      </c>
      <c r="N38" s="1" t="s">
        <v>2441</v>
      </c>
      <c r="O38">
        <v>233234450</v>
      </c>
      <c r="P38" s="1" t="s">
        <v>273</v>
      </c>
      <c r="Q38" s="1" t="s">
        <v>2634</v>
      </c>
      <c r="R38" s="1" t="s">
        <v>2572</v>
      </c>
      <c r="S38" s="1" t="s">
        <v>2442</v>
      </c>
      <c r="T38" s="1" t="s">
        <v>2443</v>
      </c>
      <c r="U38">
        <v>233234458</v>
      </c>
      <c r="V38" s="1" t="s">
        <v>276</v>
      </c>
      <c r="W38" s="1" t="s">
        <v>2634</v>
      </c>
      <c r="X38" s="1" t="s">
        <v>2638</v>
      </c>
      <c r="Y38" s="1" t="s">
        <v>389</v>
      </c>
      <c r="Z38" s="1"/>
      <c r="AB38" s="1" t="s">
        <v>2460</v>
      </c>
      <c r="AC38" s="1" t="s">
        <v>2534</v>
      </c>
      <c r="AD38" s="1" t="s">
        <v>2444</v>
      </c>
      <c r="AE38" s="1" t="s">
        <v>2445</v>
      </c>
      <c r="AF38">
        <v>621491001</v>
      </c>
      <c r="AG38" s="1" t="s">
        <v>2417</v>
      </c>
      <c r="AH38" s="1" t="s">
        <v>2466</v>
      </c>
      <c r="AI38" s="1" t="s">
        <v>2446</v>
      </c>
      <c r="AJ38" s="1" t="s">
        <v>2447</v>
      </c>
      <c r="AK38">
        <v>233234450</v>
      </c>
      <c r="AL38" s="1" t="s">
        <v>2480</v>
      </c>
      <c r="AM38" s="1" t="s">
        <v>2619</v>
      </c>
      <c r="AN38" s="1" t="s">
        <v>2448</v>
      </c>
      <c r="AO38" s="1" t="s">
        <v>2449</v>
      </c>
      <c r="AP38">
        <v>233234452</v>
      </c>
      <c r="AQ38" s="1" t="s">
        <v>2570</v>
      </c>
      <c r="AR38" s="1" t="s">
        <v>2646</v>
      </c>
      <c r="AS38" s="1" t="s">
        <v>2450</v>
      </c>
      <c r="AT38" s="1" t="s">
        <v>2451</v>
      </c>
      <c r="AU38">
        <v>233234450</v>
      </c>
      <c r="AV38" s="1" t="s">
        <v>2611</v>
      </c>
      <c r="AW38" s="1" t="s">
        <v>2625</v>
      </c>
      <c r="AX38" s="1" t="s">
        <v>2429</v>
      </c>
      <c r="AY38">
        <v>624644366</v>
      </c>
      <c r="AZ38" s="1" t="s">
        <v>2430</v>
      </c>
      <c r="BB38" s="1" t="s">
        <v>2452</v>
      </c>
      <c r="BC38" s="1" t="s">
        <v>2453</v>
      </c>
      <c r="BD38">
        <v>50</v>
      </c>
      <c r="BE38">
        <v>233234450</v>
      </c>
      <c r="BF38">
        <v>49.6314697265625</v>
      </c>
      <c r="BG38">
        <v>-1.5809211730957</v>
      </c>
      <c r="BH38">
        <v>451647903</v>
      </c>
      <c r="BI38">
        <v>41</v>
      </c>
      <c r="BJ38" s="2">
        <v>36600</v>
      </c>
      <c r="BK38" s="1" t="s">
        <v>3316</v>
      </c>
      <c r="BL38" s="1" t="s">
        <v>290</v>
      </c>
      <c r="BM38" s="1" t="s">
        <v>291</v>
      </c>
      <c r="BN38" s="1" t="s">
        <v>292</v>
      </c>
      <c r="BO38" s="1" t="s">
        <v>291</v>
      </c>
      <c r="BP38" s="1" t="s">
        <v>293</v>
      </c>
      <c r="BQ38" s="1" t="s">
        <v>294</v>
      </c>
      <c r="BR38">
        <v>80</v>
      </c>
      <c r="BS38">
        <v>23552674.25</v>
      </c>
      <c r="BT38" s="1" t="s">
        <v>295</v>
      </c>
      <c r="BU38" s="1" t="s">
        <v>296</v>
      </c>
      <c r="BV38">
        <v>390493</v>
      </c>
      <c r="BW38">
        <v>9.471982546421006E-3</v>
      </c>
      <c r="BX38">
        <v>54.028351025252199</v>
      </c>
      <c r="BY38">
        <v>3.273807169073208</v>
      </c>
      <c r="BZ38">
        <v>4.3582844333091568</v>
      </c>
      <c r="CA38">
        <v>61.660442627634566</v>
      </c>
      <c r="CB38" s="1" t="s">
        <v>297</v>
      </c>
      <c r="CC38">
        <v>1</v>
      </c>
      <c r="CD38" s="1" t="s">
        <v>298</v>
      </c>
      <c r="CE38" s="1" t="s">
        <v>504</v>
      </c>
      <c r="CF38">
        <v>1101</v>
      </c>
      <c r="CG38" s="1" t="s">
        <v>300</v>
      </c>
      <c r="CH38" s="1" t="s">
        <v>403</v>
      </c>
      <c r="CI38" s="1" t="s">
        <v>404</v>
      </c>
      <c r="CJ38" s="1" t="s">
        <v>301</v>
      </c>
      <c r="CK38" s="1" t="s">
        <v>302</v>
      </c>
      <c r="CL38" s="1" t="s">
        <v>527</v>
      </c>
      <c r="CM38">
        <v>3601651112004</v>
      </c>
      <c r="CO38" s="1"/>
      <c r="CP38" s="1" t="s">
        <v>444</v>
      </c>
      <c r="CQ38" s="1" t="s">
        <v>305</v>
      </c>
      <c r="CR38" s="1" t="s">
        <v>306</v>
      </c>
      <c r="CS38">
        <v>7252</v>
      </c>
      <c r="CT38">
        <v>3650</v>
      </c>
      <c r="CU38">
        <v>3700</v>
      </c>
      <c r="CV38" s="1" t="s">
        <v>307</v>
      </c>
      <c r="CW38" s="1" t="s">
        <v>308</v>
      </c>
      <c r="CY38">
        <v>3644</v>
      </c>
      <c r="CZ38">
        <v>3500</v>
      </c>
      <c r="DA38" s="1" t="s">
        <v>307</v>
      </c>
      <c r="DB38">
        <v>3602</v>
      </c>
      <c r="DC38">
        <v>3602</v>
      </c>
      <c r="DD38">
        <v>0</v>
      </c>
      <c r="DE38">
        <v>0</v>
      </c>
      <c r="DF38">
        <v>1652</v>
      </c>
      <c r="DG38">
        <v>1950</v>
      </c>
      <c r="DH38">
        <v>0</v>
      </c>
      <c r="DI38">
        <v>0</v>
      </c>
      <c r="DJ38">
        <v>0</v>
      </c>
      <c r="DK38" s="1" t="s">
        <v>369</v>
      </c>
      <c r="DL38" s="1" t="s">
        <v>311</v>
      </c>
      <c r="DN38" s="1"/>
      <c r="DO38">
        <v>1290</v>
      </c>
      <c r="DP38">
        <v>0</v>
      </c>
      <c r="DQ38">
        <v>1290</v>
      </c>
      <c r="DR38" s="1"/>
      <c r="DS38">
        <v>800</v>
      </c>
      <c r="DT38">
        <v>143</v>
      </c>
      <c r="DU38">
        <v>295</v>
      </c>
      <c r="DV38">
        <v>372</v>
      </c>
      <c r="DW38" s="1" t="s">
        <v>558</v>
      </c>
      <c r="DX38">
        <v>16</v>
      </c>
      <c r="DZ38">
        <v>2</v>
      </c>
      <c r="EA38">
        <v>1</v>
      </c>
      <c r="EB38">
        <v>9</v>
      </c>
      <c r="EC38">
        <v>3</v>
      </c>
      <c r="ED38">
        <v>0</v>
      </c>
      <c r="EE38">
        <v>0</v>
      </c>
      <c r="EF38">
        <v>13</v>
      </c>
      <c r="EG38">
        <v>2010</v>
      </c>
      <c r="EI38" s="1"/>
      <c r="EJ38" s="1" t="s">
        <v>313</v>
      </c>
      <c r="EK38" s="1" t="s">
        <v>314</v>
      </c>
      <c r="EL38">
        <v>29</v>
      </c>
      <c r="EM38">
        <v>20</v>
      </c>
      <c r="EN38">
        <v>12</v>
      </c>
      <c r="EO38" s="1" t="s">
        <v>315</v>
      </c>
      <c r="EP38">
        <v>24</v>
      </c>
      <c r="EQ38">
        <v>64.908069779116474</v>
      </c>
      <c r="ER38" s="1" t="s">
        <v>411</v>
      </c>
      <c r="ES38">
        <v>1.5687751004016062</v>
      </c>
      <c r="ET38">
        <v>0</v>
      </c>
      <c r="EU38" s="1"/>
      <c r="EV38">
        <v>66.672941767068281</v>
      </c>
      <c r="EW38">
        <v>0</v>
      </c>
      <c r="EX38" t="s">
        <v>316</v>
      </c>
      <c r="EY38">
        <v>0</v>
      </c>
      <c r="EZ38" s="1" t="s">
        <v>317</v>
      </c>
      <c r="FA38" s="2"/>
      <c r="FB38" s="1" t="s">
        <v>318</v>
      </c>
      <c r="FC38">
        <v>1</v>
      </c>
      <c r="FD38" s="1"/>
      <c r="FE38" s="2"/>
      <c r="FF38" s="1"/>
      <c r="FG38" s="1" t="s">
        <v>319</v>
      </c>
      <c r="FH38" s="1" t="s">
        <v>319</v>
      </c>
      <c r="FI38" s="1" t="s">
        <v>319</v>
      </c>
      <c r="FJ38" s="1" t="s">
        <v>319</v>
      </c>
      <c r="FK38" s="1" t="s">
        <v>373</v>
      </c>
      <c r="FL38">
        <v>18.59</v>
      </c>
      <c r="FM38">
        <v>3880.7084714548791</v>
      </c>
      <c r="FN38" s="1" t="s">
        <v>321</v>
      </c>
      <c r="FO38" s="1" t="s">
        <v>322</v>
      </c>
      <c r="FP38" s="1" t="s">
        <v>323</v>
      </c>
      <c r="FQ38" s="1" t="s">
        <v>324</v>
      </c>
      <c r="FR38" s="1" t="s">
        <v>325</v>
      </c>
      <c r="FS38" s="1"/>
      <c r="FT38" s="1" t="s">
        <v>326</v>
      </c>
      <c r="FU38">
        <v>494198191</v>
      </c>
      <c r="FV38" s="1" t="s">
        <v>319</v>
      </c>
      <c r="FW38" s="1" t="s">
        <v>322</v>
      </c>
      <c r="FX38" s="1" t="s">
        <v>319</v>
      </c>
      <c r="FY38" s="1" t="s">
        <v>1795</v>
      </c>
      <c r="FZ38" s="1" t="s">
        <v>322</v>
      </c>
      <c r="GA38" s="1" t="s">
        <v>322</v>
      </c>
      <c r="GB38" s="1" t="s">
        <v>319</v>
      </c>
      <c r="GC38" s="1" t="s">
        <v>322</v>
      </c>
      <c r="GD38" s="1" t="s">
        <v>322</v>
      </c>
      <c r="GE38" s="1" t="s">
        <v>322</v>
      </c>
      <c r="GF38" s="1" t="s">
        <v>415</v>
      </c>
      <c r="GG38" s="1"/>
      <c r="GH38" s="1" t="s">
        <v>322</v>
      </c>
      <c r="GI38" s="1" t="s">
        <v>1357</v>
      </c>
      <c r="GJ38" s="1" t="s">
        <v>322</v>
      </c>
      <c r="GK38" s="2">
        <v>42005</v>
      </c>
      <c r="GL38" s="1" t="s">
        <v>322</v>
      </c>
      <c r="GM38" s="1" t="s">
        <v>322</v>
      </c>
      <c r="GN38">
        <v>43193</v>
      </c>
      <c r="GO38" s="1" t="s">
        <v>319</v>
      </c>
      <c r="GQ38" s="1"/>
      <c r="GR38" s="1"/>
      <c r="GS38" s="1"/>
      <c r="GT38" s="1" t="s">
        <v>322</v>
      </c>
      <c r="GU38" s="1" t="s">
        <v>2455</v>
      </c>
      <c r="GV38" s="1" t="s">
        <v>322</v>
      </c>
      <c r="GW38" s="1" t="s">
        <v>322</v>
      </c>
      <c r="GX38" s="1" t="s">
        <v>319</v>
      </c>
      <c r="GY38" s="1" t="s">
        <v>319</v>
      </c>
      <c r="GZ38" s="1" t="s">
        <v>319</v>
      </c>
      <c r="HA38" s="2">
        <v>44063</v>
      </c>
      <c r="HB38" s="2">
        <v>42653</v>
      </c>
      <c r="HC38" s="1"/>
      <c r="HD38" s="1"/>
      <c r="HE38" s="1"/>
      <c r="HF38" s="1"/>
      <c r="HG38" s="1"/>
      <c r="HH38" s="1"/>
      <c r="HI38" s="1" t="s">
        <v>322</v>
      </c>
      <c r="HJ38" s="1" t="s">
        <v>330</v>
      </c>
      <c r="HK38" s="2"/>
      <c r="HL38" s="1"/>
      <c r="HM38" s="1" t="s">
        <v>322</v>
      </c>
      <c r="HN38" s="1" t="s">
        <v>322</v>
      </c>
      <c r="HO38" s="1"/>
      <c r="HP38" s="1"/>
      <c r="HQ38" s="1"/>
      <c r="HR38" s="1"/>
      <c r="HS38" s="1"/>
      <c r="HT38" s="1"/>
      <c r="HU38" s="1" t="s">
        <v>331</v>
      </c>
      <c r="HV38">
        <v>4622004012</v>
      </c>
      <c r="HW38">
        <v>40638787</v>
      </c>
      <c r="HX38">
        <v>99102569810</v>
      </c>
      <c r="HY38" s="1" t="s">
        <v>2456</v>
      </c>
      <c r="HZ38">
        <v>4304167</v>
      </c>
      <c r="IA38">
        <v>4321245</v>
      </c>
      <c r="IB38" s="1" t="s">
        <v>2457</v>
      </c>
      <c r="IC38">
        <v>830084</v>
      </c>
      <c r="ID38" s="1" t="s">
        <v>2458</v>
      </c>
      <c r="IE38">
        <v>2.89</v>
      </c>
      <c r="IF38">
        <v>3.02</v>
      </c>
      <c r="IG38">
        <v>4.0199999999999996</v>
      </c>
      <c r="IH38">
        <v>3.22</v>
      </c>
      <c r="II38">
        <v>3.46</v>
      </c>
      <c r="IJ38">
        <v>3.66</v>
      </c>
      <c r="IK38">
        <v>3.66</v>
      </c>
    </row>
    <row r="39" spans="1:245" x14ac:dyDescent="0.3">
      <c r="A39">
        <v>1725</v>
      </c>
      <c r="B39">
        <v>2348</v>
      </c>
      <c r="C39" s="1" t="s">
        <v>747</v>
      </c>
      <c r="D39" s="1" t="s">
        <v>642</v>
      </c>
      <c r="E39" t="s">
        <v>3275</v>
      </c>
      <c r="F39" s="1" t="s">
        <v>643</v>
      </c>
      <c r="G39" s="1" t="s">
        <v>644</v>
      </c>
      <c r="H39">
        <v>610920310</v>
      </c>
      <c r="I39" s="1" t="s">
        <v>748</v>
      </c>
      <c r="J39" s="1" t="s">
        <v>749</v>
      </c>
      <c r="K39">
        <v>617624842</v>
      </c>
      <c r="L39">
        <v>44403</v>
      </c>
      <c r="M39" s="1" t="s">
        <v>750</v>
      </c>
      <c r="N39" s="1" t="s">
        <v>751</v>
      </c>
      <c r="O39">
        <v>241752821</v>
      </c>
      <c r="P39" s="1" t="s">
        <v>752</v>
      </c>
      <c r="Q39" s="1" t="s">
        <v>723</v>
      </c>
      <c r="R39" s="1" t="s">
        <v>647</v>
      </c>
      <c r="S39" s="1" t="s">
        <v>753</v>
      </c>
      <c r="T39" s="1" t="s">
        <v>751</v>
      </c>
      <c r="U39">
        <v>241752821</v>
      </c>
      <c r="V39" s="1" t="s">
        <v>754</v>
      </c>
      <c r="W39" s="1" t="s">
        <v>645</v>
      </c>
      <c r="X39" s="1" t="s">
        <v>857</v>
      </c>
      <c r="Y39" s="1" t="s">
        <v>755</v>
      </c>
      <c r="Z39" s="1" t="s">
        <v>756</v>
      </c>
      <c r="AA39">
        <v>325712536</v>
      </c>
      <c r="AB39" s="1" t="s">
        <v>853</v>
      </c>
      <c r="AC39" s="1" t="s">
        <v>777</v>
      </c>
      <c r="AD39" s="1" t="s">
        <v>757</v>
      </c>
      <c r="AE39" s="1" t="s">
        <v>758</v>
      </c>
      <c r="AF39">
        <v>241752828</v>
      </c>
      <c r="AG39" s="1" t="s">
        <v>645</v>
      </c>
      <c r="AH39" s="1" t="s">
        <v>838</v>
      </c>
      <c r="AI39" s="1" t="s">
        <v>621</v>
      </c>
      <c r="AJ39" s="1" t="s">
        <v>622</v>
      </c>
      <c r="AK39">
        <v>241752828</v>
      </c>
      <c r="AL39" s="1" t="s">
        <v>748</v>
      </c>
      <c r="AM39" s="1" t="s">
        <v>685</v>
      </c>
      <c r="AN39" s="1" t="s">
        <v>759</v>
      </c>
      <c r="AO39" s="1" t="s">
        <v>760</v>
      </c>
      <c r="AP39">
        <v>241752827</v>
      </c>
      <c r="AQ39" s="1" t="s">
        <v>830</v>
      </c>
      <c r="AR39" s="1" t="s">
        <v>734</v>
      </c>
      <c r="AS39" s="1" t="s">
        <v>761</v>
      </c>
      <c r="AT39" s="1" t="s">
        <v>762</v>
      </c>
      <c r="AU39">
        <v>241752822</v>
      </c>
      <c r="AV39" s="1" t="s">
        <v>787</v>
      </c>
      <c r="AW39" s="1"/>
      <c r="AX39" s="1" t="s">
        <v>659</v>
      </c>
      <c r="AY39">
        <v>617425665</v>
      </c>
      <c r="AZ39" s="1" t="s">
        <v>660</v>
      </c>
      <c r="BA39">
        <v>678409252</v>
      </c>
      <c r="BB39" s="1" t="s">
        <v>763</v>
      </c>
      <c r="BC39" s="1" t="s">
        <v>764</v>
      </c>
      <c r="BD39">
        <v>49</v>
      </c>
      <c r="BE39">
        <v>241752828</v>
      </c>
      <c r="BF39">
        <v>47.0433349609375</v>
      </c>
      <c r="BG39">
        <v>-0.89895057678222601</v>
      </c>
      <c r="BH39">
        <v>451647903</v>
      </c>
      <c r="BI39">
        <v>439</v>
      </c>
      <c r="BJ39" s="2">
        <v>35888</v>
      </c>
      <c r="BK39" s="1" t="s">
        <v>3288</v>
      </c>
      <c r="BL39" s="1" t="s">
        <v>290</v>
      </c>
      <c r="BM39" s="1" t="s">
        <v>291</v>
      </c>
      <c r="BN39" s="1" t="s">
        <v>292</v>
      </c>
      <c r="BO39" s="1" t="s">
        <v>291</v>
      </c>
      <c r="BP39" s="1" t="s">
        <v>293</v>
      </c>
      <c r="BQ39" s="1" t="s">
        <v>294</v>
      </c>
      <c r="BR39">
        <v>80</v>
      </c>
      <c r="BS39">
        <v>17277657.18</v>
      </c>
      <c r="BT39" s="1" t="s">
        <v>295</v>
      </c>
      <c r="BU39" s="1" t="s">
        <v>359</v>
      </c>
      <c r="BV39">
        <v>282485</v>
      </c>
      <c r="BW39">
        <v>1.1006921494559035E-2</v>
      </c>
      <c r="BX39">
        <v>50.657150392299101</v>
      </c>
      <c r="BY39">
        <v>1.8666897430825695</v>
      </c>
      <c r="BZ39">
        <v>4.6953292235335482</v>
      </c>
      <c r="CA39">
        <v>57.219169358915217</v>
      </c>
      <c r="CB39" s="1" t="s">
        <v>297</v>
      </c>
      <c r="CC39">
        <v>1</v>
      </c>
      <c r="CD39" s="1" t="s">
        <v>298</v>
      </c>
      <c r="CE39" s="1" t="s">
        <v>504</v>
      </c>
      <c r="CF39">
        <v>1101</v>
      </c>
      <c r="CG39" s="1" t="s">
        <v>300</v>
      </c>
      <c r="CH39" s="1" t="s">
        <v>403</v>
      </c>
      <c r="CI39" s="1" t="s">
        <v>404</v>
      </c>
      <c r="CJ39" s="1" t="s">
        <v>301</v>
      </c>
      <c r="CK39" s="1" t="s">
        <v>302</v>
      </c>
      <c r="CL39" s="1" t="s">
        <v>527</v>
      </c>
      <c r="CM39">
        <v>3601651112004</v>
      </c>
      <c r="CO39" s="1" t="s">
        <v>322</v>
      </c>
      <c r="CP39" s="1" t="s">
        <v>765</v>
      </c>
      <c r="CQ39" s="1" t="s">
        <v>766</v>
      </c>
      <c r="CR39" s="1" t="s">
        <v>407</v>
      </c>
      <c r="CS39">
        <v>4440</v>
      </c>
      <c r="CT39">
        <v>2980</v>
      </c>
      <c r="CU39">
        <v>3000</v>
      </c>
      <c r="CV39" s="1" t="s">
        <v>309</v>
      </c>
      <c r="CW39" s="1" t="s">
        <v>308</v>
      </c>
      <c r="CY39">
        <v>1680</v>
      </c>
      <c r="CZ39" t="s">
        <v>368</v>
      </c>
      <c r="DA39" s="1" t="s">
        <v>309</v>
      </c>
      <c r="DB39">
        <v>1460</v>
      </c>
      <c r="DC39">
        <v>1460</v>
      </c>
      <c r="DD39">
        <v>0</v>
      </c>
      <c r="DE39">
        <v>0</v>
      </c>
      <c r="DF39">
        <v>789</v>
      </c>
      <c r="DG39">
        <v>671</v>
      </c>
      <c r="DH39">
        <v>0</v>
      </c>
      <c r="DI39">
        <v>0</v>
      </c>
      <c r="DJ39">
        <v>0</v>
      </c>
      <c r="DK39" s="1" t="s">
        <v>557</v>
      </c>
      <c r="DL39" s="1" t="s">
        <v>410</v>
      </c>
      <c r="DM39">
        <v>300</v>
      </c>
      <c r="DN39" s="1"/>
      <c r="DO39">
        <v>790</v>
      </c>
      <c r="DP39">
        <v>0</v>
      </c>
      <c r="DQ39">
        <v>790</v>
      </c>
      <c r="DR39" s="1"/>
      <c r="DS39">
        <v>470</v>
      </c>
      <c r="DT39">
        <v>47</v>
      </c>
      <c r="DU39">
        <v>160</v>
      </c>
      <c r="DV39">
        <v>154</v>
      </c>
      <c r="DW39" s="1" t="s">
        <v>558</v>
      </c>
      <c r="DX39">
        <v>17</v>
      </c>
      <c r="DZ39">
        <v>2</v>
      </c>
      <c r="EA39">
        <v>1</v>
      </c>
      <c r="EB39">
        <v>7</v>
      </c>
      <c r="EC39">
        <v>2</v>
      </c>
      <c r="ED39">
        <v>0</v>
      </c>
      <c r="EE39">
        <v>0</v>
      </c>
      <c r="EF39">
        <v>10</v>
      </c>
      <c r="EG39">
        <v>2010</v>
      </c>
      <c r="EI39" s="1"/>
      <c r="EJ39" s="1" t="s">
        <v>313</v>
      </c>
      <c r="EK39" s="1" t="s">
        <v>314</v>
      </c>
      <c r="EL39">
        <v>27</v>
      </c>
      <c r="EM39">
        <v>27</v>
      </c>
      <c r="EN39">
        <v>12</v>
      </c>
      <c r="EO39" s="1" t="s">
        <v>315</v>
      </c>
      <c r="EP39">
        <v>28</v>
      </c>
      <c r="EQ39">
        <v>80.439228542266648</v>
      </c>
      <c r="ER39" s="1" t="s">
        <v>316</v>
      </c>
      <c r="ES39">
        <v>2.6560122631880492</v>
      </c>
      <c r="ET39">
        <v>0</v>
      </c>
      <c r="EU39" s="1"/>
      <c r="EV39">
        <v>108.01116536964734</v>
      </c>
      <c r="EW39">
        <v>0</v>
      </c>
      <c r="EX39" t="s">
        <v>316</v>
      </c>
      <c r="EY39">
        <v>0</v>
      </c>
      <c r="EZ39" s="1" t="s">
        <v>317</v>
      </c>
      <c r="FA39" s="2"/>
      <c r="FB39" s="1" t="s">
        <v>318</v>
      </c>
      <c r="FC39">
        <v>1</v>
      </c>
      <c r="FD39" s="1"/>
      <c r="FE39" s="2"/>
      <c r="FF39" s="1"/>
      <c r="FG39" s="1" t="s">
        <v>319</v>
      </c>
      <c r="FH39" s="1" t="s">
        <v>319</v>
      </c>
      <c r="FI39" s="1" t="s">
        <v>319</v>
      </c>
      <c r="FJ39" s="1" t="s">
        <v>319</v>
      </c>
      <c r="FK39" s="1" t="s">
        <v>373</v>
      </c>
      <c r="FL39">
        <v>18.59</v>
      </c>
      <c r="FM39">
        <v>4158.3813996316749</v>
      </c>
      <c r="FN39" s="1" t="s">
        <v>321</v>
      </c>
      <c r="FO39" s="1" t="s">
        <v>319</v>
      </c>
      <c r="FP39" s="1" t="s">
        <v>323</v>
      </c>
      <c r="FQ39" s="1" t="s">
        <v>324</v>
      </c>
      <c r="FR39" s="1" t="s">
        <v>325</v>
      </c>
      <c r="FS39" s="1" t="s">
        <v>374</v>
      </c>
      <c r="FT39" s="1" t="s">
        <v>326</v>
      </c>
      <c r="FU39">
        <v>494198191</v>
      </c>
      <c r="FV39" s="1" t="s">
        <v>319</v>
      </c>
      <c r="FW39" s="1" t="s">
        <v>319</v>
      </c>
      <c r="FX39" s="1" t="s">
        <v>322</v>
      </c>
      <c r="FY39" s="1" t="s">
        <v>322</v>
      </c>
      <c r="FZ39" s="1" t="s">
        <v>322</v>
      </c>
      <c r="GA39" s="1" t="s">
        <v>322</v>
      </c>
      <c r="GB39" s="1" t="s">
        <v>319</v>
      </c>
      <c r="GC39" s="1"/>
      <c r="GD39" s="1" t="s">
        <v>322</v>
      </c>
      <c r="GE39" s="1" t="s">
        <v>319</v>
      </c>
      <c r="GF39" s="1" t="s">
        <v>327</v>
      </c>
      <c r="GG39" s="1"/>
      <c r="GH39" s="1" t="s">
        <v>322</v>
      </c>
      <c r="GI39" s="1"/>
      <c r="GJ39" s="1" t="s">
        <v>322</v>
      </c>
      <c r="GK39" s="2">
        <v>42005</v>
      </c>
      <c r="GL39" s="1" t="s">
        <v>322</v>
      </c>
      <c r="GM39" s="1" t="s">
        <v>322</v>
      </c>
      <c r="GN39">
        <v>42996</v>
      </c>
      <c r="GO39" s="1" t="s">
        <v>319</v>
      </c>
      <c r="GQ39" s="1"/>
      <c r="GR39" s="1"/>
      <c r="GS39" s="1"/>
      <c r="GT39" s="1" t="s">
        <v>319</v>
      </c>
      <c r="GU39" s="1" t="s">
        <v>319</v>
      </c>
      <c r="GV39" s="1" t="s">
        <v>319</v>
      </c>
      <c r="GW39" s="1" t="s">
        <v>319</v>
      </c>
      <c r="GX39" s="1" t="s">
        <v>319</v>
      </c>
      <c r="GY39" s="1" t="s">
        <v>319</v>
      </c>
      <c r="GZ39" s="1" t="s">
        <v>319</v>
      </c>
      <c r="HA39" s="2">
        <v>44067</v>
      </c>
      <c r="HB39" s="2">
        <v>42625</v>
      </c>
      <c r="HC39" s="1"/>
      <c r="HD39" s="1"/>
      <c r="HE39" s="1"/>
      <c r="HF39" s="1"/>
      <c r="HG39" s="1"/>
      <c r="HH39" s="1"/>
      <c r="HI39" s="1" t="s">
        <v>322</v>
      </c>
      <c r="HJ39" s="1" t="s">
        <v>330</v>
      </c>
      <c r="HK39" s="2"/>
      <c r="HL39" s="1"/>
      <c r="HM39" s="1" t="s">
        <v>322</v>
      </c>
      <c r="HN39" s="1" t="s">
        <v>322</v>
      </c>
      <c r="HO39" s="1"/>
      <c r="HP39" s="1"/>
      <c r="HQ39" s="1"/>
      <c r="HR39" s="1"/>
      <c r="HS39" s="1"/>
      <c r="HT39" s="1"/>
      <c r="HU39" s="1" t="s">
        <v>331</v>
      </c>
      <c r="HV39">
        <v>4621989013</v>
      </c>
      <c r="HW39">
        <v>40638008</v>
      </c>
      <c r="HX39">
        <v>99102563921</v>
      </c>
      <c r="HY39" s="1" t="s">
        <v>767</v>
      </c>
      <c r="HZ39">
        <v>4320744</v>
      </c>
      <c r="IA39">
        <v>4321042</v>
      </c>
      <c r="IB39" s="1" t="s">
        <v>768</v>
      </c>
      <c r="IC39">
        <v>830246</v>
      </c>
      <c r="ID39" s="1" t="s">
        <v>769</v>
      </c>
      <c r="IE39">
        <v>4.1399999999999997</v>
      </c>
      <c r="IF39">
        <v>3.31</v>
      </c>
      <c r="IG39">
        <v>2.5099999999999998</v>
      </c>
      <c r="IH39">
        <v>2.31</v>
      </c>
      <c r="II39">
        <v>2.83</v>
      </c>
      <c r="IJ39">
        <v>3.23</v>
      </c>
      <c r="IK39">
        <v>3.23</v>
      </c>
    </row>
    <row r="40" spans="1:245" x14ac:dyDescent="0.3">
      <c r="A40">
        <v>1723</v>
      </c>
      <c r="B40">
        <v>2347</v>
      </c>
      <c r="C40" s="1" t="s">
        <v>2700</v>
      </c>
      <c r="D40" s="1" t="s">
        <v>1103</v>
      </c>
      <c r="E40" t="s">
        <v>3275</v>
      </c>
      <c r="F40" s="1" t="s">
        <v>2504</v>
      </c>
      <c r="G40" s="1" t="s">
        <v>2505</v>
      </c>
      <c r="H40">
        <v>610925352</v>
      </c>
      <c r="I40" s="1" t="s">
        <v>2701</v>
      </c>
      <c r="J40" s="1" t="s">
        <v>2702</v>
      </c>
      <c r="L40">
        <v>43864</v>
      </c>
      <c r="M40" s="1" t="s">
        <v>2703</v>
      </c>
      <c r="N40" s="1" t="s">
        <v>2704</v>
      </c>
      <c r="O40">
        <v>473837816</v>
      </c>
      <c r="P40" s="1" t="s">
        <v>273</v>
      </c>
      <c r="Q40" s="1" t="s">
        <v>2658</v>
      </c>
      <c r="R40" s="1" t="s">
        <v>2729</v>
      </c>
      <c r="S40" s="1" t="s">
        <v>2705</v>
      </c>
      <c r="T40" s="1" t="s">
        <v>2706</v>
      </c>
      <c r="U40">
        <v>473837806</v>
      </c>
      <c r="V40" s="1" t="s">
        <v>276</v>
      </c>
      <c r="W40" s="1" t="s">
        <v>2840</v>
      </c>
      <c r="X40" s="1" t="s">
        <v>2796</v>
      </c>
      <c r="Y40" s="1" t="s">
        <v>2707</v>
      </c>
      <c r="Z40" s="1" t="s">
        <v>2708</v>
      </c>
      <c r="AA40">
        <v>473837803</v>
      </c>
      <c r="AB40" s="1" t="s">
        <v>2751</v>
      </c>
      <c r="AC40" s="1" t="s">
        <v>2707</v>
      </c>
      <c r="AD40" s="1" t="s">
        <v>2709</v>
      </c>
      <c r="AE40" s="1" t="s">
        <v>2710</v>
      </c>
      <c r="AF40">
        <v>473837803</v>
      </c>
      <c r="AG40" s="1" t="s">
        <v>2701</v>
      </c>
      <c r="AH40" s="1" t="s">
        <v>2736</v>
      </c>
      <c r="AI40" s="1" t="s">
        <v>2711</v>
      </c>
      <c r="AJ40" s="1" t="s">
        <v>2712</v>
      </c>
      <c r="AK40">
        <v>645425143</v>
      </c>
      <c r="AL40" s="1" t="s">
        <v>2804</v>
      </c>
      <c r="AM40" s="1" t="s">
        <v>2514</v>
      </c>
      <c r="AN40" s="1" t="s">
        <v>2713</v>
      </c>
      <c r="AO40" s="1" t="s">
        <v>2714</v>
      </c>
      <c r="AP40">
        <v>623698110</v>
      </c>
      <c r="AQ40" s="1" t="s">
        <v>2725</v>
      </c>
      <c r="AR40" s="1" t="s">
        <v>2829</v>
      </c>
      <c r="AS40" s="1" t="s">
        <v>2715</v>
      </c>
      <c r="AT40" s="1" t="s">
        <v>2716</v>
      </c>
      <c r="AU40">
        <v>473837808</v>
      </c>
      <c r="AV40" s="1" t="s">
        <v>2725</v>
      </c>
      <c r="AW40" s="1" t="s">
        <v>2741</v>
      </c>
      <c r="AX40" s="1" t="s">
        <v>2520</v>
      </c>
      <c r="AY40">
        <v>789331667</v>
      </c>
      <c r="AZ40" s="1" t="s">
        <v>2430</v>
      </c>
      <c r="BB40" s="1" t="s">
        <v>2717</v>
      </c>
      <c r="BC40" s="1" t="s">
        <v>2718</v>
      </c>
      <c r="BD40">
        <v>63</v>
      </c>
      <c r="BE40">
        <v>473837800</v>
      </c>
      <c r="BF40">
        <v>45.77685546875</v>
      </c>
      <c r="BG40">
        <v>3.18927001953125</v>
      </c>
      <c r="BH40">
        <v>451647903</v>
      </c>
      <c r="BI40">
        <v>553</v>
      </c>
      <c r="BJ40" s="2">
        <v>35991</v>
      </c>
      <c r="BK40" s="1" t="s">
        <v>3320</v>
      </c>
      <c r="BL40" s="1" t="s">
        <v>290</v>
      </c>
      <c r="BM40" s="1" t="s">
        <v>291</v>
      </c>
      <c r="BN40" s="1" t="s">
        <v>292</v>
      </c>
      <c r="BO40" s="1" t="s">
        <v>291</v>
      </c>
      <c r="BP40" s="1" t="s">
        <v>293</v>
      </c>
      <c r="BQ40" s="1" t="s">
        <v>294</v>
      </c>
      <c r="BR40">
        <v>80</v>
      </c>
      <c r="BS40">
        <v>39127814.5</v>
      </c>
      <c r="BT40" s="1" t="s">
        <v>295</v>
      </c>
      <c r="BU40" s="1" t="s">
        <v>817</v>
      </c>
      <c r="BV40">
        <v>523245</v>
      </c>
      <c r="BW40">
        <v>9.0049535597131712E-3</v>
      </c>
      <c r="BX40">
        <v>86.456978967495203</v>
      </c>
      <c r="BY40">
        <v>12.190462846970393</v>
      </c>
      <c r="BZ40">
        <v>1.8183067405111977</v>
      </c>
      <c r="CA40">
        <v>100.4657485549768</v>
      </c>
      <c r="CB40" s="1" t="s">
        <v>443</v>
      </c>
      <c r="CC40">
        <v>1</v>
      </c>
      <c r="CD40" s="1" t="s">
        <v>402</v>
      </c>
      <c r="CE40" s="1" t="s">
        <v>504</v>
      </c>
      <c r="CF40">
        <v>1106</v>
      </c>
      <c r="CG40" s="1" t="s">
        <v>362</v>
      </c>
      <c r="CH40" s="1" t="s">
        <v>363</v>
      </c>
      <c r="CI40" s="1" t="s">
        <v>364</v>
      </c>
      <c r="CJ40" s="1" t="s">
        <v>363</v>
      </c>
      <c r="CK40" s="1" t="s">
        <v>364</v>
      </c>
      <c r="CL40" s="1" t="s">
        <v>2673</v>
      </c>
      <c r="CM40">
        <v>3601651111007</v>
      </c>
      <c r="CO40" s="1"/>
      <c r="CP40" s="1" t="s">
        <v>366</v>
      </c>
      <c r="CQ40" s="1" t="s">
        <v>367</v>
      </c>
      <c r="CR40" s="1" t="s">
        <v>306</v>
      </c>
      <c r="CS40">
        <v>7550</v>
      </c>
      <c r="CT40">
        <v>4500</v>
      </c>
      <c r="CU40" t="s">
        <v>693</v>
      </c>
      <c r="CV40" s="1" t="s">
        <v>478</v>
      </c>
      <c r="CW40" s="1" t="s">
        <v>408</v>
      </c>
      <c r="CY40">
        <v>3456</v>
      </c>
      <c r="CZ40">
        <v>3500</v>
      </c>
      <c r="DA40" s="1" t="s">
        <v>307</v>
      </c>
      <c r="DB40">
        <v>3050</v>
      </c>
      <c r="DC40">
        <v>3050</v>
      </c>
      <c r="DD40">
        <v>84</v>
      </c>
      <c r="DE40">
        <v>0</v>
      </c>
      <c r="DF40">
        <v>1190</v>
      </c>
      <c r="DG40">
        <v>1860</v>
      </c>
      <c r="DH40">
        <v>0</v>
      </c>
      <c r="DI40">
        <v>0</v>
      </c>
      <c r="DJ40">
        <v>0</v>
      </c>
      <c r="DK40" s="1" t="s">
        <v>409</v>
      </c>
      <c r="DL40" s="1"/>
      <c r="DN40" s="1"/>
      <c r="DO40">
        <v>1390</v>
      </c>
      <c r="DP40">
        <v>0</v>
      </c>
      <c r="DQ40">
        <v>1390</v>
      </c>
      <c r="DR40" s="1" t="s">
        <v>479</v>
      </c>
      <c r="DS40">
        <v>1040</v>
      </c>
      <c r="DT40">
        <v>85</v>
      </c>
      <c r="DU40">
        <v>346</v>
      </c>
      <c r="DV40">
        <v>347</v>
      </c>
      <c r="DW40" s="1" t="s">
        <v>558</v>
      </c>
      <c r="DX40">
        <v>24</v>
      </c>
      <c r="DZ40">
        <v>2</v>
      </c>
      <c r="EA40">
        <v>2</v>
      </c>
      <c r="EB40">
        <v>11</v>
      </c>
      <c r="EC40">
        <v>3</v>
      </c>
      <c r="ED40">
        <v>0</v>
      </c>
      <c r="EE40">
        <v>0</v>
      </c>
      <c r="EF40">
        <v>16</v>
      </c>
      <c r="EG40">
        <v>2010</v>
      </c>
      <c r="EI40" s="1"/>
      <c r="EJ40" s="1" t="s">
        <v>313</v>
      </c>
      <c r="EK40" s="1" t="s">
        <v>314</v>
      </c>
      <c r="EL40">
        <v>50</v>
      </c>
      <c r="EM40">
        <v>37</v>
      </c>
      <c r="EN40">
        <v>17</v>
      </c>
      <c r="EO40" s="1" t="s">
        <v>315</v>
      </c>
      <c r="EP40">
        <v>44</v>
      </c>
      <c r="EQ40">
        <v>61.606318468794456</v>
      </c>
      <c r="ER40" s="1" t="s">
        <v>316</v>
      </c>
      <c r="ES40">
        <v>3.1193072642427575</v>
      </c>
      <c r="ET40">
        <v>1</v>
      </c>
      <c r="EU40" s="1" t="s">
        <v>1749</v>
      </c>
      <c r="EV40">
        <v>130.69897437177153</v>
      </c>
      <c r="EW40">
        <v>0</v>
      </c>
      <c r="EX40" t="s">
        <v>316</v>
      </c>
      <c r="EY40">
        <v>1</v>
      </c>
      <c r="EZ40" s="1" t="s">
        <v>412</v>
      </c>
      <c r="FA40" s="2">
        <v>43292</v>
      </c>
      <c r="FB40" s="1" t="s">
        <v>791</v>
      </c>
      <c r="FC40">
        <v>1</v>
      </c>
      <c r="FD40" s="1"/>
      <c r="FE40" s="2">
        <v>42005</v>
      </c>
      <c r="FF40" s="1"/>
      <c r="FG40" s="1" t="s">
        <v>322</v>
      </c>
      <c r="FH40" s="1" t="s">
        <v>322</v>
      </c>
      <c r="FI40" s="1" t="s">
        <v>319</v>
      </c>
      <c r="FJ40" s="1" t="s">
        <v>319</v>
      </c>
      <c r="FK40" s="1" t="s">
        <v>1143</v>
      </c>
      <c r="FL40">
        <v>18.97</v>
      </c>
      <c r="FM40">
        <v>7828.8655797101446</v>
      </c>
      <c r="FN40" s="1" t="s">
        <v>321</v>
      </c>
      <c r="FO40" s="1" t="s">
        <v>322</v>
      </c>
      <c r="FP40" s="1" t="s">
        <v>323</v>
      </c>
      <c r="FQ40" s="1" t="s">
        <v>559</v>
      </c>
      <c r="FR40" s="1" t="s">
        <v>325</v>
      </c>
      <c r="FS40" s="1"/>
      <c r="FT40" s="1" t="s">
        <v>326</v>
      </c>
      <c r="FU40">
        <v>494198191</v>
      </c>
      <c r="FV40" s="1" t="s">
        <v>319</v>
      </c>
      <c r="FW40" s="1" t="s">
        <v>322</v>
      </c>
      <c r="FX40" s="1" t="s">
        <v>322</v>
      </c>
      <c r="FY40" s="1" t="s">
        <v>322</v>
      </c>
      <c r="FZ40" s="1" t="s">
        <v>322</v>
      </c>
      <c r="GA40" s="1" t="s">
        <v>322</v>
      </c>
      <c r="GB40" s="1" t="s">
        <v>322</v>
      </c>
      <c r="GC40" s="1" t="s">
        <v>322</v>
      </c>
      <c r="GD40" s="1" t="s">
        <v>319</v>
      </c>
      <c r="GE40" s="1" t="s">
        <v>319</v>
      </c>
      <c r="GF40" s="1" t="s">
        <v>327</v>
      </c>
      <c r="GG40" s="1"/>
      <c r="GH40" s="1" t="s">
        <v>322</v>
      </c>
      <c r="GI40" s="1"/>
      <c r="GJ40" s="1" t="s">
        <v>322</v>
      </c>
      <c r="GK40" s="2">
        <v>41640</v>
      </c>
      <c r="GL40" s="1" t="s">
        <v>322</v>
      </c>
      <c r="GM40" s="1" t="s">
        <v>322</v>
      </c>
      <c r="GN40">
        <v>43010</v>
      </c>
      <c r="GO40" s="1" t="s">
        <v>322</v>
      </c>
      <c r="GP40">
        <v>42005</v>
      </c>
      <c r="GQ40" s="1" t="s">
        <v>2719</v>
      </c>
      <c r="GR40" s="1" t="s">
        <v>322</v>
      </c>
      <c r="GS40" s="1" t="s">
        <v>448</v>
      </c>
      <c r="GT40" s="1" t="s">
        <v>322</v>
      </c>
      <c r="GU40" s="1" t="s">
        <v>2720</v>
      </c>
      <c r="GV40" s="1" t="s">
        <v>322</v>
      </c>
      <c r="GW40" s="1" t="s">
        <v>319</v>
      </c>
      <c r="GX40" s="1" t="s">
        <v>322</v>
      </c>
      <c r="GY40" s="1" t="s">
        <v>319</v>
      </c>
      <c r="GZ40" s="1" t="s">
        <v>319</v>
      </c>
      <c r="HA40" s="2">
        <v>44085</v>
      </c>
      <c r="HB40" s="2">
        <v>42625</v>
      </c>
      <c r="HC40" s="1"/>
      <c r="HD40" s="1"/>
      <c r="HE40" s="1"/>
      <c r="HF40" s="1"/>
      <c r="HG40" s="1"/>
      <c r="HH40" s="1"/>
      <c r="HI40" s="1" t="s">
        <v>322</v>
      </c>
      <c r="HJ40" s="1" t="s">
        <v>485</v>
      </c>
      <c r="HK40" s="2">
        <v>42736</v>
      </c>
      <c r="HL40" s="1"/>
      <c r="HM40" s="1" t="s">
        <v>322</v>
      </c>
      <c r="HN40" s="1" t="s">
        <v>322</v>
      </c>
      <c r="HO40" s="1"/>
      <c r="HP40" s="1"/>
      <c r="HQ40" s="1"/>
      <c r="HR40" s="1"/>
      <c r="HS40" s="1"/>
      <c r="HT40" s="1"/>
      <c r="HU40" s="1" t="s">
        <v>331</v>
      </c>
      <c r="HV40">
        <v>4621986015</v>
      </c>
      <c r="HW40">
        <v>40638942</v>
      </c>
      <c r="HX40">
        <v>99102570730</v>
      </c>
      <c r="HY40" s="1" t="s">
        <v>2721</v>
      </c>
      <c r="HZ40">
        <v>4242215</v>
      </c>
      <c r="IA40">
        <v>4321165</v>
      </c>
      <c r="IB40" s="1" t="s">
        <v>2722</v>
      </c>
      <c r="IC40">
        <v>830230</v>
      </c>
      <c r="ID40" s="1" t="s">
        <v>2723</v>
      </c>
      <c r="IE40">
        <v>3.9</v>
      </c>
      <c r="IF40">
        <v>4.53</v>
      </c>
      <c r="IG40">
        <v>3.62</v>
      </c>
      <c r="IH40">
        <v>4.62</v>
      </c>
      <c r="II40">
        <v>4.38</v>
      </c>
      <c r="IJ40">
        <v>4.3899999999999997</v>
      </c>
      <c r="IK40">
        <v>4.3899999999999997</v>
      </c>
    </row>
    <row r="41" spans="1:245" x14ac:dyDescent="0.3">
      <c r="A41">
        <v>1907</v>
      </c>
      <c r="B41">
        <v>2416</v>
      </c>
      <c r="C41" s="1" t="s">
        <v>1227</v>
      </c>
      <c r="D41" s="1" t="s">
        <v>266</v>
      </c>
      <c r="E41" t="s">
        <v>3275</v>
      </c>
      <c r="F41" s="1" t="s">
        <v>1228</v>
      </c>
      <c r="G41" s="1" t="s">
        <v>1229</v>
      </c>
      <c r="H41">
        <v>624328593</v>
      </c>
      <c r="I41" s="1" t="s">
        <v>1230</v>
      </c>
      <c r="J41" s="1" t="s">
        <v>1231</v>
      </c>
      <c r="K41">
        <v>619175400</v>
      </c>
      <c r="L41">
        <v>42870</v>
      </c>
      <c r="M41" s="1" t="s">
        <v>1232</v>
      </c>
      <c r="N41" s="1" t="s">
        <v>1233</v>
      </c>
      <c r="O41">
        <v>389218333</v>
      </c>
      <c r="P41" s="1" t="s">
        <v>752</v>
      </c>
      <c r="Q41" s="1" t="s">
        <v>1430</v>
      </c>
      <c r="R41" s="1" t="s">
        <v>1389</v>
      </c>
      <c r="S41" s="1" t="s">
        <v>1232</v>
      </c>
      <c r="T41" s="1" t="s">
        <v>1233</v>
      </c>
      <c r="U41">
        <v>389218333</v>
      </c>
      <c r="V41" s="1" t="s">
        <v>754</v>
      </c>
      <c r="W41" s="1" t="s">
        <v>1387</v>
      </c>
      <c r="X41" s="1" t="s">
        <v>1299</v>
      </c>
      <c r="Y41" s="1" t="s">
        <v>1234</v>
      </c>
      <c r="Z41" s="1" t="s">
        <v>1235</v>
      </c>
      <c r="AA41" t="s">
        <v>1236</v>
      </c>
      <c r="AB41" s="1" t="s">
        <v>1255</v>
      </c>
      <c r="AC41" s="1" t="s">
        <v>1259</v>
      </c>
      <c r="AD41" s="1" t="s">
        <v>1237</v>
      </c>
      <c r="AE41" s="1" t="s">
        <v>1238</v>
      </c>
      <c r="AF41">
        <v>389218329</v>
      </c>
      <c r="AG41" s="1" t="s">
        <v>1297</v>
      </c>
      <c r="AH41" s="1" t="s">
        <v>1347</v>
      </c>
      <c r="AI41" s="1" t="s">
        <v>1234</v>
      </c>
      <c r="AJ41" s="1" t="s">
        <v>1235</v>
      </c>
      <c r="AK41">
        <v>389218330</v>
      </c>
      <c r="AL41" s="1" t="s">
        <v>1411</v>
      </c>
      <c r="AM41" s="1" t="s">
        <v>1417</v>
      </c>
      <c r="AN41" s="1" t="s">
        <v>1239</v>
      </c>
      <c r="AO41" s="1" t="s">
        <v>1240</v>
      </c>
      <c r="AP41">
        <v>389218325</v>
      </c>
      <c r="AQ41" s="1" t="s">
        <v>1320</v>
      </c>
      <c r="AR41" s="1" t="s">
        <v>1265</v>
      </c>
      <c r="AS41" s="1" t="s">
        <v>524</v>
      </c>
      <c r="AT41" s="1"/>
      <c r="AV41" s="1" t="s">
        <v>1320</v>
      </c>
      <c r="AW41" s="1" t="s">
        <v>1443</v>
      </c>
      <c r="AX41" s="1" t="s">
        <v>1241</v>
      </c>
      <c r="AY41">
        <v>646374584</v>
      </c>
      <c r="AZ41" s="1" t="s">
        <v>1242</v>
      </c>
      <c r="BB41" s="1" t="s">
        <v>1243</v>
      </c>
      <c r="BC41" s="1" t="s">
        <v>1244</v>
      </c>
      <c r="BD41">
        <v>68</v>
      </c>
      <c r="BE41">
        <v>389218330</v>
      </c>
      <c r="BF41">
        <v>48.10693359375</v>
      </c>
      <c r="BG41">
        <v>7.3704833984375</v>
      </c>
      <c r="BH41">
        <v>451647903</v>
      </c>
      <c r="BI41">
        <v>900</v>
      </c>
      <c r="BJ41" s="2">
        <v>38825</v>
      </c>
      <c r="BK41" s="1" t="s">
        <v>442</v>
      </c>
      <c r="BL41" s="1" t="s">
        <v>290</v>
      </c>
      <c r="BM41" s="1" t="s">
        <v>291</v>
      </c>
      <c r="BN41" s="1" t="s">
        <v>292</v>
      </c>
      <c r="BO41" s="1" t="s">
        <v>1246</v>
      </c>
      <c r="BP41" s="1" t="s">
        <v>293</v>
      </c>
      <c r="BQ41" s="1" t="s">
        <v>1247</v>
      </c>
      <c r="BR41">
        <v>72</v>
      </c>
      <c r="BS41">
        <v>20096399.899999999</v>
      </c>
      <c r="BT41" s="1" t="s">
        <v>295</v>
      </c>
      <c r="BU41" s="1" t="s">
        <v>359</v>
      </c>
      <c r="BV41">
        <v>331251</v>
      </c>
      <c r="BW41">
        <v>9.7990539987886198E-3</v>
      </c>
      <c r="BX41">
        <v>44.485725588448602</v>
      </c>
      <c r="BY41">
        <v>0.58333333333333337</v>
      </c>
      <c r="BZ41">
        <v>10.840324937913453</v>
      </c>
      <c r="CA41">
        <v>55.909383859695389</v>
      </c>
      <c r="CB41" s="1" t="s">
        <v>360</v>
      </c>
      <c r="CC41">
        <v>1</v>
      </c>
      <c r="CD41" s="1" t="s">
        <v>298</v>
      </c>
      <c r="CE41" s="1" t="s">
        <v>504</v>
      </c>
      <c r="CF41">
        <v>1106</v>
      </c>
      <c r="CG41" s="1" t="s">
        <v>362</v>
      </c>
      <c r="CH41" s="1" t="s">
        <v>972</v>
      </c>
      <c r="CI41" s="1" t="s">
        <v>973</v>
      </c>
      <c r="CJ41" s="1" t="s">
        <v>972</v>
      </c>
      <c r="CK41" s="1" t="s">
        <v>302</v>
      </c>
      <c r="CL41" s="1" t="s">
        <v>974</v>
      </c>
      <c r="CM41">
        <v>3020409000020</v>
      </c>
      <c r="CO41" s="1"/>
      <c r="CP41" s="1" t="s">
        <v>1248</v>
      </c>
      <c r="CQ41" s="1" t="s">
        <v>305</v>
      </c>
      <c r="CR41" s="1" t="s">
        <v>306</v>
      </c>
      <c r="CS41">
        <v>5903</v>
      </c>
      <c r="CT41">
        <v>1953</v>
      </c>
      <c r="CU41">
        <v>2500</v>
      </c>
      <c r="CV41" s="1" t="s">
        <v>584</v>
      </c>
      <c r="CW41" s="1" t="s">
        <v>308</v>
      </c>
      <c r="CY41">
        <v>4000</v>
      </c>
      <c r="CZ41" t="s">
        <v>873</v>
      </c>
      <c r="DA41" s="1" t="s">
        <v>874</v>
      </c>
      <c r="DB41">
        <v>3950</v>
      </c>
      <c r="DC41">
        <v>3950</v>
      </c>
      <c r="DD41">
        <v>0</v>
      </c>
      <c r="DE41">
        <v>0</v>
      </c>
      <c r="DF41">
        <v>0</v>
      </c>
      <c r="DG41">
        <v>3950</v>
      </c>
      <c r="DH41">
        <v>0</v>
      </c>
      <c r="DI41">
        <v>0</v>
      </c>
      <c r="DJ41">
        <v>0</v>
      </c>
      <c r="DK41" s="1" t="s">
        <v>409</v>
      </c>
      <c r="DL41" s="1" t="s">
        <v>741</v>
      </c>
      <c r="DN41" s="1"/>
      <c r="DO41">
        <v>1040</v>
      </c>
      <c r="DP41">
        <v>0</v>
      </c>
      <c r="DQ41">
        <v>1040</v>
      </c>
      <c r="DR41" s="1"/>
      <c r="DS41">
        <v>1100</v>
      </c>
      <c r="DT41">
        <v>129</v>
      </c>
      <c r="DU41">
        <v>329</v>
      </c>
      <c r="DV41">
        <v>262</v>
      </c>
      <c r="DW41" s="1" t="s">
        <v>371</v>
      </c>
      <c r="DX41">
        <v>19</v>
      </c>
      <c r="DY41">
        <v>2017</v>
      </c>
      <c r="DZ41">
        <v>2</v>
      </c>
      <c r="EA41">
        <v>2</v>
      </c>
      <c r="EB41">
        <v>7</v>
      </c>
      <c r="EC41">
        <v>2</v>
      </c>
      <c r="ED41">
        <v>0</v>
      </c>
      <c r="EE41">
        <v>1</v>
      </c>
      <c r="EF41">
        <v>12</v>
      </c>
      <c r="EG41">
        <v>2014</v>
      </c>
      <c r="EI41" s="1"/>
      <c r="EJ41" s="1" t="s">
        <v>313</v>
      </c>
      <c r="EK41" s="1" t="s">
        <v>314</v>
      </c>
      <c r="EL41">
        <v>20</v>
      </c>
      <c r="EM41">
        <v>21</v>
      </c>
      <c r="EN41">
        <v>12</v>
      </c>
      <c r="EO41" s="1" t="s">
        <v>315</v>
      </c>
      <c r="EP41">
        <v>20</v>
      </c>
      <c r="EQ41">
        <v>79.372160880445023</v>
      </c>
      <c r="ER41" s="1" t="s">
        <v>316</v>
      </c>
      <c r="ES41">
        <v>3.9952429973378365</v>
      </c>
      <c r="ET41">
        <v>0</v>
      </c>
      <c r="EU41" s="1"/>
      <c r="EV41">
        <v>91.491064639036452</v>
      </c>
      <c r="EW41">
        <v>1</v>
      </c>
      <c r="EX41" t="s">
        <v>316</v>
      </c>
      <c r="EY41">
        <v>1</v>
      </c>
      <c r="EZ41" s="1" t="s">
        <v>317</v>
      </c>
      <c r="FA41" s="2"/>
      <c r="FB41" s="1" t="s">
        <v>318</v>
      </c>
      <c r="FC41">
        <v>1</v>
      </c>
      <c r="FD41" s="1"/>
      <c r="FE41" s="2"/>
      <c r="FF41" s="1"/>
      <c r="FG41" s="1" t="s">
        <v>319</v>
      </c>
      <c r="FH41" s="1" t="s">
        <v>319</v>
      </c>
      <c r="FI41" s="1" t="s">
        <v>319</v>
      </c>
      <c r="FJ41" s="1" t="s">
        <v>319</v>
      </c>
      <c r="FK41" s="1" t="s">
        <v>320</v>
      </c>
      <c r="FL41">
        <v>18.91</v>
      </c>
      <c r="FM41">
        <v>3758.180419833513</v>
      </c>
      <c r="FN41" s="1" t="s">
        <v>321</v>
      </c>
      <c r="FO41" s="1" t="s">
        <v>319</v>
      </c>
      <c r="FP41" s="1" t="s">
        <v>323</v>
      </c>
      <c r="FQ41" s="1" t="s">
        <v>324</v>
      </c>
      <c r="FR41" s="1" t="s">
        <v>325</v>
      </c>
      <c r="FS41" s="1"/>
      <c r="FT41" s="1" t="s">
        <v>326</v>
      </c>
      <c r="FU41">
        <v>494198191</v>
      </c>
      <c r="FV41" s="1" t="s">
        <v>322</v>
      </c>
      <c r="FW41" s="1" t="s">
        <v>319</v>
      </c>
      <c r="FX41" s="1" t="s">
        <v>322</v>
      </c>
      <c r="FY41" s="1" t="s">
        <v>319</v>
      </c>
      <c r="FZ41" s="1" t="s">
        <v>322</v>
      </c>
      <c r="GA41" s="1" t="s">
        <v>322</v>
      </c>
      <c r="GB41" s="1"/>
      <c r="GC41" s="1"/>
      <c r="GD41" s="1" t="s">
        <v>322</v>
      </c>
      <c r="GE41" s="1" t="s">
        <v>319</v>
      </c>
      <c r="GF41" s="1" t="s">
        <v>415</v>
      </c>
      <c r="GG41" s="1"/>
      <c r="GH41" s="1" t="s">
        <v>319</v>
      </c>
      <c r="GI41" s="1"/>
      <c r="GJ41" s="1" t="s">
        <v>322</v>
      </c>
      <c r="GK41" s="2">
        <v>42005</v>
      </c>
      <c r="GL41" s="1" t="s">
        <v>322</v>
      </c>
      <c r="GM41" s="1" t="s">
        <v>322</v>
      </c>
      <c r="GN41">
        <v>43206</v>
      </c>
      <c r="GO41" s="1" t="s">
        <v>322</v>
      </c>
      <c r="GP41">
        <v>42522</v>
      </c>
      <c r="GQ41" s="1" t="s">
        <v>1249</v>
      </c>
      <c r="GR41" s="1" t="s">
        <v>322</v>
      </c>
      <c r="GS41" s="1" t="s">
        <v>448</v>
      </c>
      <c r="GT41" s="1" t="s">
        <v>319</v>
      </c>
      <c r="GU41" s="1" t="s">
        <v>1069</v>
      </c>
      <c r="GV41" s="1" t="s">
        <v>319</v>
      </c>
      <c r="GW41" s="1" t="s">
        <v>1250</v>
      </c>
      <c r="GX41" s="1" t="s">
        <v>319</v>
      </c>
      <c r="GY41" s="1" t="s">
        <v>319</v>
      </c>
      <c r="GZ41" s="1" t="s">
        <v>319</v>
      </c>
      <c r="HA41" s="2">
        <v>44065</v>
      </c>
      <c r="HB41" s="2">
        <v>42667</v>
      </c>
      <c r="HC41" s="1"/>
      <c r="HD41" s="1"/>
      <c r="HE41" s="1"/>
      <c r="HF41" s="1"/>
      <c r="HG41" s="1"/>
      <c r="HH41" s="1"/>
      <c r="HI41" s="1" t="s">
        <v>319</v>
      </c>
      <c r="HJ41" s="1" t="s">
        <v>330</v>
      </c>
      <c r="HK41" s="2"/>
      <c r="HL41" s="1"/>
      <c r="HM41" s="1" t="s">
        <v>322</v>
      </c>
      <c r="HN41" s="1" t="s">
        <v>322</v>
      </c>
      <c r="HO41" s="1"/>
      <c r="HP41" s="1"/>
      <c r="HQ41" s="1"/>
      <c r="HR41" s="1"/>
      <c r="HS41" s="1"/>
      <c r="HT41" s="1"/>
      <c r="HU41" s="1" t="s">
        <v>331</v>
      </c>
      <c r="HV41">
        <v>4625376012</v>
      </c>
      <c r="HW41">
        <v>40638178</v>
      </c>
      <c r="HX41">
        <v>99102565503</v>
      </c>
      <c r="HY41" s="1" t="s">
        <v>1251</v>
      </c>
      <c r="HZ41">
        <v>4319819</v>
      </c>
      <c r="IA41">
        <v>4321827</v>
      </c>
      <c r="IB41" s="1" t="s">
        <v>1252</v>
      </c>
      <c r="IC41">
        <v>830030</v>
      </c>
      <c r="ID41" s="1" t="s">
        <v>1253</v>
      </c>
      <c r="IE41">
        <v>3.54</v>
      </c>
      <c r="IF41">
        <v>3.51</v>
      </c>
      <c r="IG41">
        <v>4.1399999999999997</v>
      </c>
      <c r="IH41">
        <v>4.6500000000000004</v>
      </c>
      <c r="II41">
        <v>4.16</v>
      </c>
      <c r="IJ41">
        <v>2.4900000000000002</v>
      </c>
      <c r="IK41">
        <v>2.4900000000000002</v>
      </c>
    </row>
    <row r="42" spans="1:245" x14ac:dyDescent="0.3">
      <c r="A42">
        <v>1909</v>
      </c>
      <c r="B42">
        <v>2418</v>
      </c>
      <c r="C42" s="1" t="s">
        <v>1450</v>
      </c>
      <c r="D42" s="1" t="s">
        <v>1451</v>
      </c>
      <c r="E42" t="s">
        <v>3275</v>
      </c>
      <c r="F42" s="1" t="s">
        <v>3300</v>
      </c>
      <c r="G42" s="1" t="s">
        <v>1452</v>
      </c>
      <c r="H42">
        <v>625291561</v>
      </c>
      <c r="I42" s="1" t="s">
        <v>1453</v>
      </c>
      <c r="J42" s="1" t="s">
        <v>1454</v>
      </c>
      <c r="K42">
        <v>680367069</v>
      </c>
      <c r="L42">
        <v>43857</v>
      </c>
      <c r="M42" s="1" t="s">
        <v>1455</v>
      </c>
      <c r="N42" s="1" t="s">
        <v>1456</v>
      </c>
      <c r="O42">
        <v>344836858</v>
      </c>
      <c r="P42" s="1" t="s">
        <v>273</v>
      </c>
      <c r="Q42" s="1" t="s">
        <v>1683</v>
      </c>
      <c r="R42" s="1" t="s">
        <v>1685</v>
      </c>
      <c r="S42" s="1" t="s">
        <v>1457</v>
      </c>
      <c r="T42" s="1" t="s">
        <v>1458</v>
      </c>
      <c r="U42">
        <v>615523404</v>
      </c>
      <c r="V42" s="1" t="s">
        <v>276</v>
      </c>
      <c r="W42" s="1" t="s">
        <v>1459</v>
      </c>
      <c r="X42" s="1" t="s">
        <v>1560</v>
      </c>
      <c r="Y42" s="1" t="s">
        <v>1460</v>
      </c>
      <c r="Z42" s="1" t="s">
        <v>1461</v>
      </c>
      <c r="AA42">
        <v>344836854</v>
      </c>
      <c r="AB42" s="1" t="s">
        <v>1530</v>
      </c>
      <c r="AC42" s="1" t="s">
        <v>1637</v>
      </c>
      <c r="AD42" s="1" t="s">
        <v>1462</v>
      </c>
      <c r="AE42" s="1" t="s">
        <v>1463</v>
      </c>
      <c r="AF42">
        <v>344836854</v>
      </c>
      <c r="AG42" s="1" t="s">
        <v>1617</v>
      </c>
      <c r="AH42" s="1" t="s">
        <v>1689</v>
      </c>
      <c r="AI42" s="1" t="s">
        <v>1464</v>
      </c>
      <c r="AJ42" s="1" t="s">
        <v>1465</v>
      </c>
      <c r="AK42">
        <v>344836850</v>
      </c>
      <c r="AL42" s="1" t="s">
        <v>1658</v>
      </c>
      <c r="AM42" s="1" t="s">
        <v>1668</v>
      </c>
      <c r="AN42" s="1" t="s">
        <v>1466</v>
      </c>
      <c r="AO42" s="1" t="s">
        <v>1467</v>
      </c>
      <c r="AP42">
        <v>344836852</v>
      </c>
      <c r="AQ42" s="1" t="s">
        <v>1453</v>
      </c>
      <c r="AR42" s="1" t="s">
        <v>1466</v>
      </c>
      <c r="AS42" s="1" t="s">
        <v>1468</v>
      </c>
      <c r="AT42" s="1" t="s">
        <v>1469</v>
      </c>
      <c r="AU42">
        <v>344836850</v>
      </c>
      <c r="AV42" s="1" t="s">
        <v>1582</v>
      </c>
      <c r="AW42" s="1" t="s">
        <v>1695</v>
      </c>
      <c r="AX42" s="1" t="s">
        <v>1470</v>
      </c>
      <c r="AY42">
        <v>609519423</v>
      </c>
      <c r="AZ42" s="1" t="s">
        <v>1471</v>
      </c>
      <c r="BA42">
        <v>784179650</v>
      </c>
      <c r="BB42" s="1" t="s">
        <v>1472</v>
      </c>
      <c r="BC42" s="1" t="s">
        <v>1473</v>
      </c>
      <c r="BD42">
        <v>60</v>
      </c>
      <c r="BE42">
        <v>344836850</v>
      </c>
      <c r="BF42">
        <v>49.4810791015625</v>
      </c>
      <c r="BG42">
        <v>2.86656188964843</v>
      </c>
      <c r="BH42">
        <v>451647903</v>
      </c>
      <c r="BI42">
        <v>1106</v>
      </c>
      <c r="BJ42" s="2">
        <v>39715</v>
      </c>
      <c r="BK42" s="1" t="s">
        <v>3065</v>
      </c>
      <c r="BL42" s="1" t="s">
        <v>290</v>
      </c>
      <c r="BM42" s="1" t="s">
        <v>291</v>
      </c>
      <c r="BN42" s="1" t="s">
        <v>292</v>
      </c>
      <c r="BO42" s="1" t="s">
        <v>291</v>
      </c>
      <c r="BP42" s="1" t="s">
        <v>293</v>
      </c>
      <c r="BQ42" s="1" t="s">
        <v>1093</v>
      </c>
      <c r="BR42">
        <v>85</v>
      </c>
      <c r="BS42">
        <v>24065451.469999999</v>
      </c>
      <c r="BT42" s="1" t="s">
        <v>295</v>
      </c>
      <c r="BU42" s="1" t="s">
        <v>296</v>
      </c>
      <c r="BV42">
        <v>349352</v>
      </c>
      <c r="BW42">
        <v>1.2461364972722612E-2</v>
      </c>
      <c r="BX42">
        <v>55.771411617327097</v>
      </c>
      <c r="BY42">
        <v>15.659721764356844</v>
      </c>
      <c r="BZ42">
        <v>2.7079926814795279</v>
      </c>
      <c r="CA42">
        <v>74.139126063163459</v>
      </c>
      <c r="CB42" s="1" t="s">
        <v>360</v>
      </c>
      <c r="CC42">
        <v>1</v>
      </c>
      <c r="CD42" s="1" t="s">
        <v>298</v>
      </c>
      <c r="CE42" s="1" t="s">
        <v>299</v>
      </c>
      <c r="CF42">
        <v>1101</v>
      </c>
      <c r="CG42" s="1" t="s">
        <v>300</v>
      </c>
      <c r="CH42" s="1" t="s">
        <v>1474</v>
      </c>
      <c r="CI42" s="1" t="s">
        <v>1475</v>
      </c>
      <c r="CJ42" s="1" t="s">
        <v>1474</v>
      </c>
      <c r="CK42" s="1" t="s">
        <v>1475</v>
      </c>
      <c r="CL42" s="1" t="s">
        <v>1476</v>
      </c>
      <c r="CM42">
        <v>3020409000010</v>
      </c>
      <c r="CO42" s="1"/>
      <c r="CP42" s="1" t="s">
        <v>444</v>
      </c>
      <c r="CQ42" s="1" t="s">
        <v>367</v>
      </c>
      <c r="CR42" s="1" t="s">
        <v>505</v>
      </c>
      <c r="CS42">
        <v>5900</v>
      </c>
      <c r="CT42">
        <v>3700</v>
      </c>
      <c r="CU42">
        <v>3700</v>
      </c>
      <c r="CV42" s="1" t="s">
        <v>307</v>
      </c>
      <c r="CW42" s="1" t="s">
        <v>308</v>
      </c>
      <c r="CY42">
        <v>3890</v>
      </c>
      <c r="CZ42" t="s">
        <v>873</v>
      </c>
      <c r="DA42" s="1" t="s">
        <v>874</v>
      </c>
      <c r="DB42">
        <v>2200</v>
      </c>
      <c r="DC42">
        <v>2200</v>
      </c>
      <c r="DD42">
        <v>0</v>
      </c>
      <c r="DE42">
        <v>0</v>
      </c>
      <c r="DF42">
        <v>500</v>
      </c>
      <c r="DG42">
        <v>1700</v>
      </c>
      <c r="DH42">
        <v>0</v>
      </c>
      <c r="DI42">
        <v>0</v>
      </c>
      <c r="DJ42">
        <v>0</v>
      </c>
      <c r="DK42" s="1" t="s">
        <v>409</v>
      </c>
      <c r="DL42" s="1"/>
      <c r="DN42" s="1"/>
      <c r="DO42">
        <v>1191</v>
      </c>
      <c r="DP42">
        <v>0</v>
      </c>
      <c r="DQ42">
        <v>1191</v>
      </c>
      <c r="DR42" s="1"/>
      <c r="DS42">
        <v>651</v>
      </c>
      <c r="DT42">
        <v>100</v>
      </c>
      <c r="DU42">
        <v>308</v>
      </c>
      <c r="DV42">
        <v>340</v>
      </c>
      <c r="DW42" s="1" t="s">
        <v>371</v>
      </c>
      <c r="DX42">
        <v>19</v>
      </c>
      <c r="DY42">
        <v>2018</v>
      </c>
      <c r="DZ42">
        <v>2</v>
      </c>
      <c r="EA42">
        <v>2</v>
      </c>
      <c r="EB42">
        <v>9</v>
      </c>
      <c r="EC42">
        <v>3</v>
      </c>
      <c r="ED42">
        <v>0</v>
      </c>
      <c r="EE42">
        <v>1</v>
      </c>
      <c r="EF42">
        <v>15</v>
      </c>
      <c r="EG42">
        <v>2014</v>
      </c>
      <c r="EI42" s="1"/>
      <c r="EJ42" s="1" t="s">
        <v>313</v>
      </c>
      <c r="EK42" s="1" t="s">
        <v>314</v>
      </c>
      <c r="EL42">
        <v>23</v>
      </c>
      <c r="EM42">
        <v>18</v>
      </c>
      <c r="EN42">
        <v>14</v>
      </c>
      <c r="EO42" s="1" t="s">
        <v>315</v>
      </c>
      <c r="EQ42">
        <v>94.15917701186774</v>
      </c>
      <c r="ER42" s="1" t="s">
        <v>316</v>
      </c>
      <c r="ES42">
        <v>5.9080267929015058</v>
      </c>
      <c r="ET42">
        <v>0</v>
      </c>
      <c r="EU42" s="1"/>
      <c r="EV42">
        <v>85.789472388590625</v>
      </c>
      <c r="EW42">
        <v>6</v>
      </c>
      <c r="EX42" t="s">
        <v>1477</v>
      </c>
      <c r="EY42">
        <v>6</v>
      </c>
      <c r="EZ42" s="1" t="s">
        <v>412</v>
      </c>
      <c r="FA42" s="2">
        <v>43831</v>
      </c>
      <c r="FB42" s="1" t="s">
        <v>529</v>
      </c>
      <c r="FC42">
        <v>1</v>
      </c>
      <c r="FD42" s="1"/>
      <c r="FE42" s="2"/>
      <c r="FF42" s="1"/>
      <c r="FG42" s="1" t="s">
        <v>322</v>
      </c>
      <c r="FH42" s="1" t="s">
        <v>319</v>
      </c>
      <c r="FI42" s="1" t="s">
        <v>319</v>
      </c>
      <c r="FJ42" s="1" t="s">
        <v>319</v>
      </c>
      <c r="FK42" s="1" t="s">
        <v>320</v>
      </c>
      <c r="FL42">
        <v>18.920000000000002</v>
      </c>
      <c r="FM42">
        <v>3900.4871516467601</v>
      </c>
      <c r="FN42" s="1" t="s">
        <v>321</v>
      </c>
      <c r="FO42" s="1" t="s">
        <v>322</v>
      </c>
      <c r="FP42" s="1" t="s">
        <v>323</v>
      </c>
      <c r="FQ42" s="1" t="s">
        <v>324</v>
      </c>
      <c r="FR42" s="1" t="s">
        <v>325</v>
      </c>
      <c r="FS42" s="1"/>
      <c r="FT42" s="1" t="s">
        <v>326</v>
      </c>
      <c r="FU42">
        <v>494198191</v>
      </c>
      <c r="FV42" s="1" t="s">
        <v>322</v>
      </c>
      <c r="FW42" s="1" t="s">
        <v>322</v>
      </c>
      <c r="FX42" s="1" t="s">
        <v>322</v>
      </c>
      <c r="FY42" s="1" t="s">
        <v>322</v>
      </c>
      <c r="FZ42" s="1" t="s">
        <v>322</v>
      </c>
      <c r="GA42" s="1" t="s">
        <v>322</v>
      </c>
      <c r="GB42" s="1" t="s">
        <v>322</v>
      </c>
      <c r="GC42" s="1" t="s">
        <v>322</v>
      </c>
      <c r="GD42" s="1" t="s">
        <v>322</v>
      </c>
      <c r="GE42" s="1" t="s">
        <v>322</v>
      </c>
      <c r="GF42" s="1" t="s">
        <v>415</v>
      </c>
      <c r="GG42" s="1"/>
      <c r="GH42" s="1" t="s">
        <v>319</v>
      </c>
      <c r="GI42" s="1"/>
      <c r="GJ42" s="1" t="s">
        <v>322</v>
      </c>
      <c r="GK42" s="2">
        <v>42005</v>
      </c>
      <c r="GL42" s="1" t="s">
        <v>322</v>
      </c>
      <c r="GM42" s="1" t="s">
        <v>322</v>
      </c>
      <c r="GN42">
        <v>43124</v>
      </c>
      <c r="GO42" s="1" t="s">
        <v>319</v>
      </c>
      <c r="GP42" t="s">
        <v>1478</v>
      </c>
      <c r="GQ42" s="1"/>
      <c r="GR42" s="1"/>
      <c r="GS42" s="1"/>
      <c r="GT42" s="1" t="s">
        <v>322</v>
      </c>
      <c r="GU42" s="1" t="s">
        <v>1479</v>
      </c>
      <c r="GV42" s="1" t="s">
        <v>319</v>
      </c>
      <c r="GW42" s="1" t="s">
        <v>319</v>
      </c>
      <c r="GX42" s="1" t="s">
        <v>322</v>
      </c>
      <c r="GY42" s="1" t="s">
        <v>319</v>
      </c>
      <c r="GZ42" s="1" t="s">
        <v>319</v>
      </c>
      <c r="HA42" s="2">
        <v>44064</v>
      </c>
      <c r="HB42" s="2">
        <v>42660</v>
      </c>
      <c r="HC42" s="1"/>
      <c r="HD42" s="1"/>
      <c r="HE42" s="1"/>
      <c r="HF42" s="1"/>
      <c r="HG42" s="1"/>
      <c r="HH42" s="1"/>
      <c r="HI42" s="1" t="s">
        <v>319</v>
      </c>
      <c r="HJ42" s="1" t="s">
        <v>330</v>
      </c>
      <c r="HK42" s="2"/>
      <c r="HL42" s="1"/>
      <c r="HM42" s="1" t="s">
        <v>322</v>
      </c>
      <c r="HN42" s="1" t="s">
        <v>322</v>
      </c>
      <c r="HO42" s="1"/>
      <c r="HP42" s="1"/>
      <c r="HQ42" s="1"/>
      <c r="HR42" s="1"/>
      <c r="HS42" s="1"/>
      <c r="HT42" s="1"/>
      <c r="HU42" s="1" t="s">
        <v>331</v>
      </c>
      <c r="HV42">
        <v>4627797011</v>
      </c>
      <c r="HW42">
        <v>40638391</v>
      </c>
      <c r="HX42">
        <v>99102567604</v>
      </c>
      <c r="HY42" s="1" t="s">
        <v>1480</v>
      </c>
      <c r="HZ42">
        <v>4310176</v>
      </c>
      <c r="IA42">
        <v>4321330</v>
      </c>
      <c r="IB42" s="1" t="s">
        <v>1481</v>
      </c>
      <c r="IC42">
        <v>830111</v>
      </c>
      <c r="ID42" s="1" t="s">
        <v>1482</v>
      </c>
      <c r="IE42">
        <v>1.97</v>
      </c>
      <c r="IF42">
        <v>1.69</v>
      </c>
      <c r="IG42">
        <v>2.69</v>
      </c>
      <c r="IH42">
        <v>3.25</v>
      </c>
      <c r="II42">
        <v>4.25</v>
      </c>
      <c r="IJ42">
        <v>5.418333333333333</v>
      </c>
      <c r="IK42">
        <v>5.42</v>
      </c>
    </row>
    <row r="43" spans="1:245" x14ac:dyDescent="0.3">
      <c r="A43">
        <v>1943</v>
      </c>
      <c r="B43">
        <v>2444</v>
      </c>
      <c r="C43" s="1" t="s">
        <v>3203</v>
      </c>
      <c r="D43" s="1" t="s">
        <v>382</v>
      </c>
      <c r="E43" t="s">
        <v>3275</v>
      </c>
      <c r="F43" s="1" t="s">
        <v>1149</v>
      </c>
      <c r="G43" s="1" t="s">
        <v>1150</v>
      </c>
      <c r="H43">
        <v>617425644</v>
      </c>
      <c r="I43" s="1" t="s">
        <v>3204</v>
      </c>
      <c r="J43" s="1" t="s">
        <v>3205</v>
      </c>
      <c r="L43">
        <v>44159</v>
      </c>
      <c r="M43" s="1" t="s">
        <v>3206</v>
      </c>
      <c r="N43" s="1" t="s">
        <v>3207</v>
      </c>
      <c r="O43">
        <v>558490018</v>
      </c>
      <c r="P43" s="1" t="s">
        <v>273</v>
      </c>
      <c r="Q43" s="1" t="s">
        <v>1151</v>
      </c>
      <c r="R43" s="1" t="s">
        <v>3117</v>
      </c>
      <c r="S43" s="1" t="s">
        <v>3208</v>
      </c>
      <c r="T43" s="1" t="s">
        <v>3209</v>
      </c>
      <c r="U43">
        <v>558490019</v>
      </c>
      <c r="V43" s="1" t="s">
        <v>276</v>
      </c>
      <c r="W43" s="1" t="s">
        <v>3159</v>
      </c>
      <c r="X43" s="1" t="s">
        <v>3232</v>
      </c>
      <c r="Y43" s="1" t="s">
        <v>3210</v>
      </c>
      <c r="Z43" s="1" t="s">
        <v>3211</v>
      </c>
      <c r="AA43">
        <v>558490015</v>
      </c>
      <c r="AB43" s="1" t="s">
        <v>3248</v>
      </c>
      <c r="AC43" s="1" t="s">
        <v>1157</v>
      </c>
      <c r="AD43" s="1" t="s">
        <v>3212</v>
      </c>
      <c r="AE43" s="1" t="s">
        <v>3213</v>
      </c>
      <c r="AF43">
        <v>558490016</v>
      </c>
      <c r="AG43" s="1" t="s">
        <v>3204</v>
      </c>
      <c r="AH43" s="1" t="s">
        <v>3236</v>
      </c>
      <c r="AI43" s="1" t="s">
        <v>3214</v>
      </c>
      <c r="AJ43" s="1" t="s">
        <v>3215</v>
      </c>
      <c r="AK43">
        <v>558490014</v>
      </c>
      <c r="AL43" s="1" t="s">
        <v>3090</v>
      </c>
      <c r="AM43" s="1" t="s">
        <v>3124</v>
      </c>
      <c r="AN43" s="1" t="s">
        <v>3216</v>
      </c>
      <c r="AO43" s="1" t="s">
        <v>3217</v>
      </c>
      <c r="AP43">
        <v>558490012</v>
      </c>
      <c r="AQ43" s="1" t="s">
        <v>3228</v>
      </c>
      <c r="AR43" s="1" t="s">
        <v>1165</v>
      </c>
      <c r="AS43" s="1" t="s">
        <v>3218</v>
      </c>
      <c r="AT43" s="1" t="s">
        <v>3219</v>
      </c>
      <c r="AU43">
        <v>558490017</v>
      </c>
      <c r="AV43" s="1" t="s">
        <v>3138</v>
      </c>
      <c r="AW43" s="1" t="s">
        <v>1168</v>
      </c>
      <c r="AX43" s="1" t="s">
        <v>1169</v>
      </c>
      <c r="AY43">
        <v>628020687</v>
      </c>
      <c r="AZ43" s="1" t="s">
        <v>946</v>
      </c>
      <c r="BA43">
        <v>629385385</v>
      </c>
      <c r="BB43" s="1" t="s">
        <v>3220</v>
      </c>
      <c r="BC43" s="1" t="s">
        <v>3221</v>
      </c>
      <c r="BD43">
        <v>40</v>
      </c>
      <c r="BE43">
        <v>558490010</v>
      </c>
      <c r="BF43">
        <v>43.720288098862603</v>
      </c>
      <c r="BG43">
        <v>-1.12594306468963</v>
      </c>
      <c r="BH43">
        <v>451647903</v>
      </c>
      <c r="BI43">
        <v>1361</v>
      </c>
      <c r="BJ43" s="2">
        <v>42307</v>
      </c>
      <c r="BK43" s="1" t="s">
        <v>3325</v>
      </c>
      <c r="BL43" s="1" t="s">
        <v>290</v>
      </c>
      <c r="BM43" s="1" t="s">
        <v>291</v>
      </c>
      <c r="BN43" s="1" t="s">
        <v>292</v>
      </c>
      <c r="BO43" s="1" t="s">
        <v>291</v>
      </c>
      <c r="BP43" s="1" t="s">
        <v>293</v>
      </c>
      <c r="BQ43" s="1" t="s">
        <v>294</v>
      </c>
      <c r="BR43">
        <v>80</v>
      </c>
      <c r="BS43">
        <v>27356523.68</v>
      </c>
      <c r="BT43" s="1" t="s">
        <v>295</v>
      </c>
      <c r="BU43" s="1" t="s">
        <v>296</v>
      </c>
      <c r="BV43">
        <v>334574</v>
      </c>
      <c r="BW43">
        <v>1.3718525790420192E-2</v>
      </c>
      <c r="BX43">
        <v>54.085910199775803</v>
      </c>
      <c r="BY43">
        <v>5.4833684973956549</v>
      </c>
      <c r="BZ43">
        <v>7.492445770422627</v>
      </c>
      <c r="CA43">
        <v>67.061724467594075</v>
      </c>
      <c r="CB43" s="1" t="s">
        <v>443</v>
      </c>
      <c r="CC43">
        <v>1</v>
      </c>
      <c r="CD43" s="1" t="s">
        <v>402</v>
      </c>
      <c r="CE43" s="1" t="s">
        <v>361</v>
      </c>
      <c r="CF43">
        <v>1106</v>
      </c>
      <c r="CG43" s="1" t="s">
        <v>362</v>
      </c>
      <c r="CH43" s="1" t="s">
        <v>403</v>
      </c>
      <c r="CI43" s="1" t="s">
        <v>404</v>
      </c>
      <c r="CJ43" s="1" t="s">
        <v>301</v>
      </c>
      <c r="CK43" s="1" t="s">
        <v>302</v>
      </c>
      <c r="CL43" s="1" t="s">
        <v>365</v>
      </c>
      <c r="CM43">
        <v>3601651110000</v>
      </c>
      <c r="CO43" s="1"/>
      <c r="CP43" s="1" t="s">
        <v>444</v>
      </c>
      <c r="CQ43" s="1" t="s">
        <v>406</v>
      </c>
      <c r="CR43" s="1" t="s">
        <v>1701</v>
      </c>
      <c r="CS43">
        <v>6800</v>
      </c>
      <c r="CT43">
        <v>3800</v>
      </c>
      <c r="CU43">
        <v>3000</v>
      </c>
      <c r="CV43" s="1" t="s">
        <v>309</v>
      </c>
      <c r="CW43" s="1" t="s">
        <v>308</v>
      </c>
      <c r="CY43">
        <v>3000</v>
      </c>
      <c r="CZ43">
        <v>3000</v>
      </c>
      <c r="DA43" s="1" t="s">
        <v>309</v>
      </c>
      <c r="DB43">
        <v>3000</v>
      </c>
      <c r="DC43">
        <v>3000</v>
      </c>
      <c r="DD43">
        <v>0</v>
      </c>
      <c r="DE43">
        <v>0</v>
      </c>
      <c r="DF43">
        <v>1000</v>
      </c>
      <c r="DG43">
        <v>2000</v>
      </c>
      <c r="DH43">
        <v>0</v>
      </c>
      <c r="DI43">
        <v>0</v>
      </c>
      <c r="DJ43">
        <v>0</v>
      </c>
      <c r="DK43" s="1" t="s">
        <v>310</v>
      </c>
      <c r="DL43" s="1"/>
      <c r="DN43" s="1"/>
      <c r="DO43">
        <v>800</v>
      </c>
      <c r="DP43">
        <v>800</v>
      </c>
      <c r="DQ43">
        <v>0</v>
      </c>
      <c r="DR43" s="1"/>
      <c r="DS43">
        <v>400</v>
      </c>
      <c r="DT43">
        <v>100</v>
      </c>
      <c r="DU43">
        <v>300</v>
      </c>
      <c r="DV43">
        <v>187</v>
      </c>
      <c r="DW43" s="1" t="s">
        <v>371</v>
      </c>
      <c r="DX43">
        <v>15</v>
      </c>
      <c r="EA43">
        <v>2</v>
      </c>
      <c r="EB43">
        <v>8</v>
      </c>
      <c r="EC43">
        <v>2</v>
      </c>
      <c r="ED43">
        <v>0</v>
      </c>
      <c r="EE43">
        <v>0</v>
      </c>
      <c r="EF43">
        <v>12</v>
      </c>
      <c r="EG43">
        <v>2015</v>
      </c>
      <c r="EI43" s="1"/>
      <c r="EJ43" s="1" t="s">
        <v>313</v>
      </c>
      <c r="EK43" s="1" t="s">
        <v>314</v>
      </c>
      <c r="EL43">
        <v>28</v>
      </c>
      <c r="EM43">
        <v>26</v>
      </c>
      <c r="EN43">
        <v>12</v>
      </c>
      <c r="EO43" s="1" t="s">
        <v>315</v>
      </c>
      <c r="EP43">
        <v>19</v>
      </c>
      <c r="EQ43">
        <v>71.035387329096039</v>
      </c>
      <c r="ER43" s="1" t="s">
        <v>316</v>
      </c>
      <c r="ES43">
        <v>1.5963008388560909</v>
      </c>
      <c r="ET43">
        <v>0</v>
      </c>
      <c r="EU43" s="1"/>
      <c r="EV43">
        <v>90.989147814797178</v>
      </c>
      <c r="EW43">
        <v>0</v>
      </c>
      <c r="EX43" t="s">
        <v>316</v>
      </c>
      <c r="EY43">
        <v>0</v>
      </c>
      <c r="EZ43" s="1" t="s">
        <v>317</v>
      </c>
      <c r="FA43" s="2"/>
      <c r="FB43" s="1" t="s">
        <v>2385</v>
      </c>
      <c r="FC43">
        <v>1</v>
      </c>
      <c r="FD43" s="1"/>
      <c r="FE43" s="2"/>
      <c r="FF43" s="1"/>
      <c r="FG43" s="1" t="s">
        <v>322</v>
      </c>
      <c r="FH43" s="1" t="s">
        <v>319</v>
      </c>
      <c r="FI43" s="1" t="s">
        <v>319</v>
      </c>
      <c r="FJ43" s="1" t="s">
        <v>319</v>
      </c>
      <c r="FK43" s="1" t="s">
        <v>373</v>
      </c>
      <c r="FL43">
        <v>18.59</v>
      </c>
      <c r="FM43">
        <v>4430.2033149171266</v>
      </c>
      <c r="FN43" s="1" t="s">
        <v>321</v>
      </c>
      <c r="FO43" s="1" t="s">
        <v>322</v>
      </c>
      <c r="FP43" s="1" t="s">
        <v>323</v>
      </c>
      <c r="FQ43" s="1" t="s">
        <v>324</v>
      </c>
      <c r="FR43" s="1" t="s">
        <v>918</v>
      </c>
      <c r="FS43" s="1"/>
      <c r="FT43" s="1" t="s">
        <v>326</v>
      </c>
      <c r="FU43">
        <v>494198191</v>
      </c>
      <c r="FV43" s="1" t="s">
        <v>319</v>
      </c>
      <c r="FW43" s="1" t="s">
        <v>322</v>
      </c>
      <c r="FX43" s="1" t="s">
        <v>322</v>
      </c>
      <c r="FY43" s="1"/>
      <c r="FZ43" s="1" t="s">
        <v>319</v>
      </c>
      <c r="GA43" s="1" t="s">
        <v>322</v>
      </c>
      <c r="GB43" s="1" t="s">
        <v>322</v>
      </c>
      <c r="GC43" s="1" t="s">
        <v>322</v>
      </c>
      <c r="GD43" s="1" t="s">
        <v>319</v>
      </c>
      <c r="GE43" s="1" t="s">
        <v>322</v>
      </c>
      <c r="GF43" s="1" t="s">
        <v>667</v>
      </c>
      <c r="GG43" s="1"/>
      <c r="GH43" s="1" t="s">
        <v>322</v>
      </c>
      <c r="GI43" s="1"/>
      <c r="GJ43" s="1" t="s">
        <v>322</v>
      </c>
      <c r="GK43" s="2">
        <v>42005</v>
      </c>
      <c r="GL43" s="1" t="s">
        <v>322</v>
      </c>
      <c r="GM43" s="1" t="s">
        <v>2069</v>
      </c>
      <c r="GO43" s="1" t="s">
        <v>322</v>
      </c>
      <c r="GP43">
        <v>42430</v>
      </c>
      <c r="GQ43" s="1" t="s">
        <v>3222</v>
      </c>
      <c r="GR43" s="1" t="s">
        <v>322</v>
      </c>
      <c r="GS43" s="1" t="s">
        <v>448</v>
      </c>
      <c r="GT43" s="1" t="s">
        <v>322</v>
      </c>
      <c r="GU43" s="1" t="s">
        <v>3223</v>
      </c>
      <c r="GV43" s="1" t="s">
        <v>322</v>
      </c>
      <c r="GW43" s="1" t="s">
        <v>322</v>
      </c>
      <c r="GX43" s="1" t="s">
        <v>319</v>
      </c>
      <c r="GY43" s="1" t="s">
        <v>319</v>
      </c>
      <c r="GZ43" s="1" t="s">
        <v>319</v>
      </c>
      <c r="HA43" s="2">
        <v>44064</v>
      </c>
      <c r="HB43" s="2">
        <v>42674</v>
      </c>
      <c r="HC43" s="1"/>
      <c r="HD43" s="1"/>
      <c r="HE43" s="1"/>
      <c r="HF43" s="1"/>
      <c r="HG43" s="1"/>
      <c r="HH43" s="1"/>
      <c r="HI43" s="1" t="s">
        <v>322</v>
      </c>
      <c r="HJ43" s="1" t="s">
        <v>330</v>
      </c>
      <c r="HK43" s="2"/>
      <c r="HL43" s="1"/>
      <c r="HM43" s="1" t="s">
        <v>322</v>
      </c>
      <c r="HN43" s="1" t="s">
        <v>322</v>
      </c>
      <c r="HO43" s="1"/>
      <c r="HP43" s="1"/>
      <c r="HQ43" s="1"/>
      <c r="HR43" s="1"/>
      <c r="HS43" s="1"/>
      <c r="HT43" s="1"/>
      <c r="HU43" s="1" t="s">
        <v>331</v>
      </c>
      <c r="HV43">
        <v>4326861010</v>
      </c>
      <c r="HW43">
        <v>40639143</v>
      </c>
      <c r="HX43">
        <v>99102571100</v>
      </c>
      <c r="HY43" s="1" t="s">
        <v>3224</v>
      </c>
      <c r="HZ43">
        <v>4326867</v>
      </c>
      <c r="IA43">
        <v>4326862</v>
      </c>
      <c r="IB43" s="1" t="s">
        <v>3225</v>
      </c>
      <c r="IC43">
        <v>830171</v>
      </c>
      <c r="ID43" s="1" t="s">
        <v>3226</v>
      </c>
      <c r="IE43">
        <v>3.1</v>
      </c>
      <c r="IF43">
        <v>3</v>
      </c>
      <c r="IG43">
        <v>2.9</v>
      </c>
      <c r="IH43">
        <v>3.4</v>
      </c>
      <c r="II43">
        <v>3.36</v>
      </c>
      <c r="IJ43">
        <v>5.4159375000000001</v>
      </c>
      <c r="IK43">
        <v>5.45</v>
      </c>
    </row>
    <row r="44" spans="1:245" x14ac:dyDescent="0.3">
      <c r="A44">
        <v>1746</v>
      </c>
      <c r="B44">
        <v>2362</v>
      </c>
      <c r="C44" s="1" t="s">
        <v>2301</v>
      </c>
      <c r="D44" s="1" t="s">
        <v>2232</v>
      </c>
      <c r="E44" t="s">
        <v>3275</v>
      </c>
      <c r="F44" s="1" t="s">
        <v>2181</v>
      </c>
      <c r="G44" s="1" t="s">
        <v>2182</v>
      </c>
      <c r="H44">
        <v>686016869</v>
      </c>
      <c r="I44" s="1" t="s">
        <v>2302</v>
      </c>
      <c r="J44" s="1" t="s">
        <v>2303</v>
      </c>
      <c r="L44">
        <v>43850</v>
      </c>
      <c r="M44" s="1" t="s">
        <v>2304</v>
      </c>
      <c r="N44" s="1" t="s">
        <v>2305</v>
      </c>
      <c r="O44">
        <v>235065658</v>
      </c>
      <c r="P44" s="1" t="s">
        <v>884</v>
      </c>
      <c r="Q44" s="1" t="s">
        <v>2324</v>
      </c>
      <c r="R44" s="1" t="s">
        <v>2260</v>
      </c>
      <c r="S44" s="1" t="s">
        <v>2304</v>
      </c>
      <c r="T44" s="1" t="s">
        <v>2305</v>
      </c>
      <c r="U44">
        <v>235065658</v>
      </c>
      <c r="V44" s="1" t="s">
        <v>754</v>
      </c>
      <c r="W44" s="1" t="s">
        <v>2324</v>
      </c>
      <c r="X44" s="1" t="s">
        <v>2187</v>
      </c>
      <c r="Y44" s="1" t="s">
        <v>2306</v>
      </c>
      <c r="Z44" s="1" t="s">
        <v>2307</v>
      </c>
      <c r="AA44">
        <v>235065657</v>
      </c>
      <c r="AB44" s="1" t="s">
        <v>2183</v>
      </c>
      <c r="AC44" s="1" t="s">
        <v>2353</v>
      </c>
      <c r="AD44" s="1" t="s">
        <v>2308</v>
      </c>
      <c r="AE44" s="1" t="s">
        <v>2309</v>
      </c>
      <c r="AF44">
        <v>235065653</v>
      </c>
      <c r="AG44" s="1" t="s">
        <v>2233</v>
      </c>
      <c r="AH44" s="1" t="s">
        <v>2217</v>
      </c>
      <c r="AI44" s="1" t="s">
        <v>2310</v>
      </c>
      <c r="AJ44" s="1" t="s">
        <v>2311</v>
      </c>
      <c r="AK44">
        <v>235065654</v>
      </c>
      <c r="AL44" s="1" t="s">
        <v>2391</v>
      </c>
      <c r="AM44" s="1" t="s">
        <v>2401</v>
      </c>
      <c r="AN44" s="1" t="s">
        <v>2312</v>
      </c>
      <c r="AO44" s="1" t="s">
        <v>2313</v>
      </c>
      <c r="AP44">
        <v>235065651</v>
      </c>
      <c r="AQ44" s="1" t="s">
        <v>2345</v>
      </c>
      <c r="AR44" s="1" t="s">
        <v>2289</v>
      </c>
      <c r="AS44" s="1" t="s">
        <v>2314</v>
      </c>
      <c r="AT44" s="1" t="s">
        <v>2315</v>
      </c>
      <c r="AU44">
        <v>235065656</v>
      </c>
      <c r="AV44" s="1" t="s">
        <v>2368</v>
      </c>
      <c r="AW44" s="1" t="s">
        <v>2223</v>
      </c>
      <c r="AX44" s="1" t="s">
        <v>2199</v>
      </c>
      <c r="AY44">
        <v>620112926</v>
      </c>
      <c r="AZ44" s="1" t="s">
        <v>356</v>
      </c>
      <c r="BA44">
        <v>678408521</v>
      </c>
      <c r="BB44" s="1" t="s">
        <v>2316</v>
      </c>
      <c r="BC44" s="1" t="s">
        <v>2317</v>
      </c>
      <c r="BD44">
        <v>76</v>
      </c>
      <c r="BE44">
        <v>235065656</v>
      </c>
      <c r="BF44">
        <v>49.9071044921875</v>
      </c>
      <c r="BG44">
        <v>1.0775146484375</v>
      </c>
      <c r="BH44">
        <v>451647903</v>
      </c>
      <c r="BI44">
        <v>496</v>
      </c>
      <c r="BJ44" s="2">
        <v>36651</v>
      </c>
      <c r="BK44" s="1" t="s">
        <v>3282</v>
      </c>
      <c r="BL44" s="1" t="s">
        <v>290</v>
      </c>
      <c r="BM44" s="1" t="s">
        <v>291</v>
      </c>
      <c r="BN44" s="1" t="s">
        <v>292</v>
      </c>
      <c r="BO44" s="1" t="s">
        <v>291</v>
      </c>
      <c r="BP44" s="1" t="s">
        <v>293</v>
      </c>
      <c r="BQ44" s="1" t="s">
        <v>294</v>
      </c>
      <c r="BR44">
        <v>80</v>
      </c>
      <c r="BS44">
        <v>29483908.629999999</v>
      </c>
      <c r="BT44" s="1" t="s">
        <v>295</v>
      </c>
      <c r="BU44" s="1" t="s">
        <v>401</v>
      </c>
      <c r="BV44">
        <v>471217</v>
      </c>
      <c r="BW44">
        <v>1.1254559072720684E-2</v>
      </c>
      <c r="BX44">
        <v>60.1570514933738</v>
      </c>
      <c r="BY44">
        <v>6.916578756510849</v>
      </c>
      <c r="BZ44">
        <v>4.6919798465967775</v>
      </c>
      <c r="CA44">
        <v>71.765610096481424</v>
      </c>
      <c r="CB44" s="1" t="s">
        <v>1380</v>
      </c>
      <c r="CC44">
        <v>2</v>
      </c>
      <c r="CD44" s="1" t="s">
        <v>298</v>
      </c>
      <c r="CE44" s="1" t="s">
        <v>504</v>
      </c>
      <c r="CF44">
        <v>1101</v>
      </c>
      <c r="CG44" s="1" t="s">
        <v>300</v>
      </c>
      <c r="CH44" s="1" t="s">
        <v>1474</v>
      </c>
      <c r="CI44" s="1" t="s">
        <v>1475</v>
      </c>
      <c r="CJ44" s="1" t="s">
        <v>1474</v>
      </c>
      <c r="CK44" s="1" t="s">
        <v>1475</v>
      </c>
      <c r="CL44" s="1" t="s">
        <v>1476</v>
      </c>
      <c r="CM44">
        <v>3020409000010</v>
      </c>
      <c r="CO44" s="1"/>
      <c r="CP44" s="1" t="s">
        <v>304</v>
      </c>
      <c r="CQ44" s="1" t="s">
        <v>556</v>
      </c>
      <c r="CR44" s="1" t="s">
        <v>407</v>
      </c>
      <c r="CS44">
        <v>7597</v>
      </c>
      <c r="CT44">
        <v>4250</v>
      </c>
      <c r="CU44" t="s">
        <v>693</v>
      </c>
      <c r="CV44" s="1" t="s">
        <v>478</v>
      </c>
      <c r="CW44" s="1" t="s">
        <v>408</v>
      </c>
      <c r="CX44">
        <v>800</v>
      </c>
      <c r="CY44">
        <v>3347</v>
      </c>
      <c r="CZ44">
        <v>3500</v>
      </c>
      <c r="DA44" s="1" t="s">
        <v>307</v>
      </c>
      <c r="DB44">
        <v>3347</v>
      </c>
      <c r="DC44">
        <v>3347</v>
      </c>
      <c r="DD44">
        <v>0</v>
      </c>
      <c r="DE44">
        <v>0</v>
      </c>
      <c r="DF44">
        <v>1157</v>
      </c>
      <c r="DG44">
        <v>2190</v>
      </c>
      <c r="DH44">
        <v>0</v>
      </c>
      <c r="DI44">
        <v>0</v>
      </c>
      <c r="DJ44">
        <v>0</v>
      </c>
      <c r="DK44" s="1" t="s">
        <v>369</v>
      </c>
      <c r="DL44" s="1" t="s">
        <v>311</v>
      </c>
      <c r="DN44" s="1"/>
      <c r="DO44">
        <v>669</v>
      </c>
      <c r="DP44">
        <v>0</v>
      </c>
      <c r="DQ44">
        <v>669</v>
      </c>
      <c r="DR44" s="1"/>
      <c r="DS44">
        <v>198</v>
      </c>
      <c r="DT44">
        <v>75</v>
      </c>
      <c r="DU44">
        <v>290</v>
      </c>
      <c r="DV44" t="s">
        <v>556</v>
      </c>
      <c r="DW44" s="1" t="s">
        <v>558</v>
      </c>
      <c r="DX44">
        <v>24</v>
      </c>
      <c r="DZ44">
        <v>3</v>
      </c>
      <c r="EA44">
        <v>1</v>
      </c>
      <c r="EB44">
        <v>8</v>
      </c>
      <c r="EC44">
        <v>3</v>
      </c>
      <c r="ED44">
        <v>1</v>
      </c>
      <c r="EE44">
        <v>0</v>
      </c>
      <c r="EF44">
        <v>13</v>
      </c>
      <c r="EG44">
        <v>2010</v>
      </c>
      <c r="EI44" s="1"/>
      <c r="EJ44" s="1" t="s">
        <v>313</v>
      </c>
      <c r="EK44" s="1" t="s">
        <v>314</v>
      </c>
      <c r="EL44">
        <v>32</v>
      </c>
      <c r="EM44">
        <v>30</v>
      </c>
      <c r="EN44">
        <v>13</v>
      </c>
      <c r="EO44" s="1" t="s">
        <v>315</v>
      </c>
      <c r="EP44">
        <v>20</v>
      </c>
      <c r="EQ44">
        <v>109.19318369822975</v>
      </c>
      <c r="ER44" s="1" t="s">
        <v>480</v>
      </c>
      <c r="ES44">
        <v>5.2784583750226499</v>
      </c>
      <c r="ET44">
        <v>0</v>
      </c>
      <c r="EU44" s="1"/>
      <c r="EV44">
        <v>69.329005522685563</v>
      </c>
      <c r="EW44">
        <v>0</v>
      </c>
      <c r="EX44" t="s">
        <v>316</v>
      </c>
      <c r="EY44">
        <v>0</v>
      </c>
      <c r="EZ44" s="1" t="s">
        <v>412</v>
      </c>
      <c r="FA44" s="2">
        <v>43334</v>
      </c>
      <c r="FB44" s="1" t="s">
        <v>791</v>
      </c>
      <c r="FC44">
        <v>2</v>
      </c>
      <c r="FD44" s="1" t="s">
        <v>322</v>
      </c>
      <c r="FE44" s="2"/>
      <c r="FF44" s="1"/>
      <c r="FG44" s="1" t="s">
        <v>319</v>
      </c>
      <c r="FH44" s="1" t="s">
        <v>319</v>
      </c>
      <c r="FI44" s="1" t="s">
        <v>319</v>
      </c>
      <c r="FJ44" s="1" t="s">
        <v>319</v>
      </c>
      <c r="FK44" s="1" t="s">
        <v>320</v>
      </c>
      <c r="FL44">
        <v>18.920000000000002</v>
      </c>
      <c r="FM44">
        <v>8154.2661961635904</v>
      </c>
      <c r="FN44" s="1" t="s">
        <v>321</v>
      </c>
      <c r="FO44" s="1" t="s">
        <v>322</v>
      </c>
      <c r="FP44" s="1" t="s">
        <v>323</v>
      </c>
      <c r="FQ44" s="1" t="s">
        <v>324</v>
      </c>
      <c r="FR44" s="1" t="s">
        <v>325</v>
      </c>
      <c r="FS44" s="1" t="s">
        <v>374</v>
      </c>
      <c r="FT44" s="1" t="s">
        <v>326</v>
      </c>
      <c r="FU44">
        <v>494198191</v>
      </c>
      <c r="FV44" s="1" t="s">
        <v>319</v>
      </c>
      <c r="FW44" s="1" t="s">
        <v>322</v>
      </c>
      <c r="FX44" s="1" t="s">
        <v>322</v>
      </c>
      <c r="FY44" s="1" t="s">
        <v>322</v>
      </c>
      <c r="FZ44" s="1" t="s">
        <v>322</v>
      </c>
      <c r="GA44" s="1" t="s">
        <v>322</v>
      </c>
      <c r="GB44" s="1" t="s">
        <v>319</v>
      </c>
      <c r="GC44" s="1" t="s">
        <v>322</v>
      </c>
      <c r="GD44" s="1" t="s">
        <v>319</v>
      </c>
      <c r="GE44" s="1" t="s">
        <v>319</v>
      </c>
      <c r="GF44" s="1" t="s">
        <v>415</v>
      </c>
      <c r="GG44" s="1"/>
      <c r="GH44" s="1" t="s">
        <v>319</v>
      </c>
      <c r="GI44" s="1" t="s">
        <v>2318</v>
      </c>
      <c r="GJ44" s="1" t="s">
        <v>322</v>
      </c>
      <c r="GK44" s="2">
        <v>42005</v>
      </c>
      <c r="GL44" s="1" t="s">
        <v>322</v>
      </c>
      <c r="GM44" s="1" t="s">
        <v>322</v>
      </c>
      <c r="GN44">
        <v>43010</v>
      </c>
      <c r="GO44" s="1" t="s">
        <v>322</v>
      </c>
      <c r="GP44">
        <v>43252</v>
      </c>
      <c r="GQ44" s="1" t="s">
        <v>2319</v>
      </c>
      <c r="GR44" s="1" t="s">
        <v>322</v>
      </c>
      <c r="GS44" s="1" t="s">
        <v>377</v>
      </c>
      <c r="GT44" s="1" t="s">
        <v>319</v>
      </c>
      <c r="GU44" s="1" t="s">
        <v>319</v>
      </c>
      <c r="GV44" s="1" t="s">
        <v>319</v>
      </c>
      <c r="GW44" s="1" t="s">
        <v>319</v>
      </c>
      <c r="GX44" s="1" t="s">
        <v>319</v>
      </c>
      <c r="GY44" s="1" t="s">
        <v>319</v>
      </c>
      <c r="GZ44" s="1" t="s">
        <v>319</v>
      </c>
      <c r="HA44" s="2">
        <v>44085</v>
      </c>
      <c r="HB44" s="2">
        <v>42667</v>
      </c>
      <c r="HC44" s="1"/>
      <c r="HD44" s="1"/>
      <c r="HE44" s="1"/>
      <c r="HF44" s="1"/>
      <c r="HG44" s="1"/>
      <c r="HH44" s="1"/>
      <c r="HI44" s="1" t="s">
        <v>322</v>
      </c>
      <c r="HJ44" s="1" t="s">
        <v>330</v>
      </c>
      <c r="HK44" s="2"/>
      <c r="HL44" s="1"/>
      <c r="HM44" s="1" t="s">
        <v>322</v>
      </c>
      <c r="HN44" s="1" t="s">
        <v>322</v>
      </c>
      <c r="HO44" s="1"/>
      <c r="HP44" s="1"/>
      <c r="HQ44" s="1"/>
      <c r="HR44" s="1"/>
      <c r="HS44" s="1"/>
      <c r="HT44" s="1"/>
      <c r="HU44" s="1" t="s">
        <v>331</v>
      </c>
      <c r="HV44">
        <v>4622016011</v>
      </c>
      <c r="HW44">
        <v>40638793</v>
      </c>
      <c r="HX44">
        <v>99102569896</v>
      </c>
      <c r="HY44" s="1" t="s">
        <v>2320</v>
      </c>
      <c r="HZ44">
        <v>4319033</v>
      </c>
      <c r="IA44">
        <v>4321567</v>
      </c>
      <c r="IB44" s="1" t="s">
        <v>2321</v>
      </c>
      <c r="IC44">
        <v>830025</v>
      </c>
      <c r="ID44" s="1" t="s">
        <v>2322</v>
      </c>
      <c r="IE44">
        <v>3.52</v>
      </c>
      <c r="IF44">
        <v>4.5199999999999996</v>
      </c>
      <c r="IG44">
        <v>5.3</v>
      </c>
      <c r="IH44">
        <v>6.62</v>
      </c>
      <c r="II44">
        <v>8.27</v>
      </c>
      <c r="IJ44">
        <v>8.26</v>
      </c>
      <c r="IK44">
        <v>8.26</v>
      </c>
    </row>
    <row r="45" spans="1:245" x14ac:dyDescent="0.3">
      <c r="A45">
        <v>1714</v>
      </c>
      <c r="B45">
        <v>2340</v>
      </c>
      <c r="C45" s="1" t="s">
        <v>1002</v>
      </c>
      <c r="D45" s="1" t="s">
        <v>926</v>
      </c>
      <c r="E45" t="s">
        <v>3275</v>
      </c>
      <c r="F45" s="1" t="s">
        <v>927</v>
      </c>
      <c r="G45" s="1" t="s">
        <v>928</v>
      </c>
      <c r="H45">
        <v>603611633</v>
      </c>
      <c r="I45" s="1" t="s">
        <v>1003</v>
      </c>
      <c r="J45" s="1" t="s">
        <v>1004</v>
      </c>
      <c r="K45">
        <v>614542030</v>
      </c>
      <c r="L45">
        <v>44088</v>
      </c>
      <c r="M45" s="1" t="s">
        <v>1005</v>
      </c>
      <c r="N45" s="1" t="s">
        <v>1006</v>
      </c>
      <c r="O45">
        <v>380517676</v>
      </c>
      <c r="P45" s="1" t="s">
        <v>273</v>
      </c>
      <c r="Q45" s="1" t="s">
        <v>929</v>
      </c>
      <c r="R45" s="1" t="s">
        <v>931</v>
      </c>
      <c r="S45" s="1" t="s">
        <v>1007</v>
      </c>
      <c r="T45" s="1" t="s">
        <v>1008</v>
      </c>
      <c r="U45">
        <v>638396825</v>
      </c>
      <c r="V45" s="1" t="s">
        <v>276</v>
      </c>
      <c r="W45" s="1" t="s">
        <v>1180</v>
      </c>
      <c r="X45" s="1" t="s">
        <v>1007</v>
      </c>
      <c r="Y45" s="1" t="s">
        <v>1009</v>
      </c>
      <c r="Z45" s="1" t="s">
        <v>1010</v>
      </c>
      <c r="AA45">
        <v>380517679</v>
      </c>
      <c r="AB45" s="1" t="s">
        <v>1104</v>
      </c>
      <c r="AC45" s="1" t="s">
        <v>1058</v>
      </c>
      <c r="AD45" s="1" t="s">
        <v>1011</v>
      </c>
      <c r="AE45" s="1" t="s">
        <v>1012</v>
      </c>
      <c r="AF45">
        <v>380517676</v>
      </c>
      <c r="AG45" s="1" t="s">
        <v>956</v>
      </c>
      <c r="AH45" s="1" t="s">
        <v>937</v>
      </c>
      <c r="AI45" s="1" t="s">
        <v>1013</v>
      </c>
      <c r="AJ45" s="1" t="s">
        <v>1014</v>
      </c>
      <c r="AK45">
        <v>380517676</v>
      </c>
      <c r="AL45" s="1" t="s">
        <v>1003</v>
      </c>
      <c r="AM45" s="1" t="s">
        <v>1190</v>
      </c>
      <c r="AN45" s="1" t="s">
        <v>1015</v>
      </c>
      <c r="AO45" s="1" t="s">
        <v>1016</v>
      </c>
      <c r="AP45">
        <v>380517677</v>
      </c>
      <c r="AQ45" s="1" t="s">
        <v>992</v>
      </c>
      <c r="AR45" s="1" t="s">
        <v>1087</v>
      </c>
      <c r="AS45" s="1" t="s">
        <v>1017</v>
      </c>
      <c r="AT45" s="1" t="s">
        <v>1018</v>
      </c>
      <c r="AU45">
        <v>380517676</v>
      </c>
      <c r="AV45" s="1" t="s">
        <v>1204</v>
      </c>
      <c r="AW45" s="1" t="s">
        <v>1216</v>
      </c>
      <c r="AX45" s="1" t="s">
        <v>945</v>
      </c>
      <c r="AY45">
        <v>770016945</v>
      </c>
      <c r="AZ45" s="1" t="s">
        <v>946</v>
      </c>
      <c r="BA45">
        <v>629385384</v>
      </c>
      <c r="BB45" s="1" t="s">
        <v>1019</v>
      </c>
      <c r="BC45" s="1" t="s">
        <v>1020</v>
      </c>
      <c r="BD45">
        <v>21</v>
      </c>
      <c r="BE45">
        <v>380517676</v>
      </c>
      <c r="BF45">
        <v>47.2862548828125</v>
      </c>
      <c r="BG45">
        <v>5.0106353759765598</v>
      </c>
      <c r="BH45">
        <v>451647903</v>
      </c>
      <c r="BI45">
        <v>298</v>
      </c>
      <c r="BJ45" s="2">
        <v>35536</v>
      </c>
      <c r="BK45" s="1" t="s">
        <v>3292</v>
      </c>
      <c r="BL45" s="1" t="s">
        <v>290</v>
      </c>
      <c r="BM45" s="1" t="s">
        <v>291</v>
      </c>
      <c r="BN45" s="1" t="s">
        <v>292</v>
      </c>
      <c r="BO45" s="1" t="s">
        <v>291</v>
      </c>
      <c r="BP45" s="1" t="s">
        <v>293</v>
      </c>
      <c r="BQ45" s="1" t="s">
        <v>294</v>
      </c>
      <c r="BR45">
        <v>80</v>
      </c>
      <c r="BS45">
        <v>18438908.41</v>
      </c>
      <c r="BT45" s="1" t="s">
        <v>295</v>
      </c>
      <c r="BU45" s="1" t="s">
        <v>359</v>
      </c>
      <c r="BV45">
        <v>312677</v>
      </c>
      <c r="BW45">
        <v>1.2762054776674012E-2</v>
      </c>
      <c r="BX45">
        <v>48.171424803850499</v>
      </c>
      <c r="BY45">
        <v>4.7904881211401937</v>
      </c>
      <c r="BZ45">
        <v>7.7447067097426432</v>
      </c>
      <c r="CA45">
        <v>60.706619634733336</v>
      </c>
      <c r="CB45" s="1" t="s">
        <v>715</v>
      </c>
      <c r="CC45">
        <v>2</v>
      </c>
      <c r="CD45" s="1" t="s">
        <v>402</v>
      </c>
      <c r="CE45" s="1" t="s">
        <v>299</v>
      </c>
      <c r="CF45">
        <v>1106</v>
      </c>
      <c r="CG45" s="1" t="s">
        <v>362</v>
      </c>
      <c r="CH45" s="1" t="s">
        <v>972</v>
      </c>
      <c r="CI45" s="1" t="s">
        <v>973</v>
      </c>
      <c r="CJ45" s="1" t="s">
        <v>972</v>
      </c>
      <c r="CK45" s="1" t="s">
        <v>302</v>
      </c>
      <c r="CL45" s="1" t="s">
        <v>974</v>
      </c>
      <c r="CM45">
        <v>3020409000020</v>
      </c>
      <c r="CO45" s="1"/>
      <c r="CP45" s="1" t="s">
        <v>716</v>
      </c>
      <c r="CQ45" s="1" t="s">
        <v>556</v>
      </c>
      <c r="CR45" s="1" t="s">
        <v>407</v>
      </c>
      <c r="CS45">
        <v>4562</v>
      </c>
      <c r="CT45">
        <v>3064</v>
      </c>
      <c r="CU45">
        <v>3000</v>
      </c>
      <c r="CV45" s="1" t="s">
        <v>309</v>
      </c>
      <c r="CW45" s="1" t="s">
        <v>308</v>
      </c>
      <c r="CX45">
        <v>3000</v>
      </c>
      <c r="CY45">
        <v>2592</v>
      </c>
      <c r="CZ45" t="s">
        <v>368</v>
      </c>
      <c r="DA45" s="1" t="s">
        <v>309</v>
      </c>
      <c r="DB45">
        <v>1582</v>
      </c>
      <c r="DC45">
        <v>1498</v>
      </c>
      <c r="DD45">
        <v>84</v>
      </c>
      <c r="DE45">
        <v>0</v>
      </c>
      <c r="DF45">
        <v>745</v>
      </c>
      <c r="DG45">
        <v>753</v>
      </c>
      <c r="DH45">
        <v>0</v>
      </c>
      <c r="DI45">
        <v>0</v>
      </c>
      <c r="DJ45">
        <v>0</v>
      </c>
      <c r="DK45" s="1" t="s">
        <v>557</v>
      </c>
      <c r="DL45" s="1" t="s">
        <v>1021</v>
      </c>
      <c r="DM45">
        <v>3000</v>
      </c>
      <c r="DN45" s="1"/>
      <c r="DO45">
        <v>1030</v>
      </c>
      <c r="DP45">
        <v>0</v>
      </c>
      <c r="DQ45">
        <v>1030</v>
      </c>
      <c r="DR45" s="1"/>
      <c r="DS45">
        <v>954</v>
      </c>
      <c r="DT45">
        <v>0</v>
      </c>
      <c r="DU45">
        <v>142</v>
      </c>
      <c r="DV45" t="s">
        <v>556</v>
      </c>
      <c r="DW45" s="1" t="s">
        <v>558</v>
      </c>
      <c r="DX45">
        <v>18</v>
      </c>
      <c r="DZ45">
        <v>3</v>
      </c>
      <c r="EA45">
        <v>2</v>
      </c>
      <c r="EB45">
        <v>7</v>
      </c>
      <c r="EC45">
        <v>3</v>
      </c>
      <c r="ED45">
        <v>0</v>
      </c>
      <c r="EE45">
        <v>0</v>
      </c>
      <c r="EF45">
        <v>12</v>
      </c>
      <c r="EG45">
        <v>2010</v>
      </c>
      <c r="EI45" s="1"/>
      <c r="EJ45" s="1" t="s">
        <v>313</v>
      </c>
      <c r="EK45" s="1" t="s">
        <v>314</v>
      </c>
      <c r="EL45">
        <v>30</v>
      </c>
      <c r="EM45">
        <v>21</v>
      </c>
      <c r="EN45">
        <v>15</v>
      </c>
      <c r="EO45" s="1" t="s">
        <v>315</v>
      </c>
      <c r="EP45">
        <v>18</v>
      </c>
      <c r="EQ45">
        <v>103.16051437187859</v>
      </c>
      <c r="ER45" s="1" t="s">
        <v>411</v>
      </c>
      <c r="ES45">
        <v>4.5179787316151208</v>
      </c>
      <c r="ET45">
        <v>0</v>
      </c>
      <c r="EU45" s="1"/>
      <c r="EV45">
        <v>95.254051591552127</v>
      </c>
      <c r="EW45">
        <v>0</v>
      </c>
      <c r="EX45" t="s">
        <v>316</v>
      </c>
      <c r="EY45">
        <v>0</v>
      </c>
      <c r="EZ45" s="1" t="s">
        <v>317</v>
      </c>
      <c r="FA45" s="2"/>
      <c r="FB45" s="1" t="s">
        <v>318</v>
      </c>
      <c r="FC45">
        <v>2</v>
      </c>
      <c r="FD45" s="1"/>
      <c r="FE45" s="2"/>
      <c r="FF45" s="1" t="s">
        <v>1022</v>
      </c>
      <c r="FG45" s="1" t="s">
        <v>319</v>
      </c>
      <c r="FH45" s="1" t="s">
        <v>319</v>
      </c>
      <c r="FI45" s="1" t="s">
        <v>319</v>
      </c>
      <c r="FJ45" s="1" t="s">
        <v>319</v>
      </c>
      <c r="FK45" s="1" t="s">
        <v>320</v>
      </c>
      <c r="FL45">
        <v>18.920000000000002</v>
      </c>
      <c r="FM45">
        <v>5555.0352877307268</v>
      </c>
      <c r="FN45" s="1" t="s">
        <v>321</v>
      </c>
      <c r="FO45" s="1" t="s">
        <v>322</v>
      </c>
      <c r="FP45" s="1" t="s">
        <v>1023</v>
      </c>
      <c r="FQ45" s="1" t="s">
        <v>1024</v>
      </c>
      <c r="FR45" s="1" t="s">
        <v>325</v>
      </c>
      <c r="FS45" s="1"/>
      <c r="FT45" s="1" t="s">
        <v>326</v>
      </c>
      <c r="FU45">
        <v>494198191</v>
      </c>
      <c r="FV45" s="1" t="s">
        <v>319</v>
      </c>
      <c r="FW45" s="1" t="s">
        <v>319</v>
      </c>
      <c r="FX45" s="1" t="s">
        <v>322</v>
      </c>
      <c r="FY45" s="1" t="s">
        <v>322</v>
      </c>
      <c r="FZ45" s="1" t="s">
        <v>322</v>
      </c>
      <c r="GA45" s="1" t="s">
        <v>322</v>
      </c>
      <c r="GB45" s="1"/>
      <c r="GC45" s="1"/>
      <c r="GD45" s="1"/>
      <c r="GE45" s="1" t="s">
        <v>319</v>
      </c>
      <c r="GF45" s="1" t="s">
        <v>415</v>
      </c>
      <c r="GG45" s="1"/>
      <c r="GH45" s="1" t="s">
        <v>322</v>
      </c>
      <c r="GI45" s="1" t="s">
        <v>1025</v>
      </c>
      <c r="GJ45" s="1" t="s">
        <v>322</v>
      </c>
      <c r="GK45" s="2">
        <v>42370</v>
      </c>
      <c r="GL45" s="1" t="s">
        <v>322</v>
      </c>
      <c r="GM45" s="1" t="s">
        <v>322</v>
      </c>
      <c r="GN45">
        <v>43059</v>
      </c>
      <c r="GO45" s="1" t="s">
        <v>319</v>
      </c>
      <c r="GQ45" s="1"/>
      <c r="GR45" s="1"/>
      <c r="GS45" s="1"/>
      <c r="GT45" s="1" t="s">
        <v>319</v>
      </c>
      <c r="GU45" s="1" t="s">
        <v>319</v>
      </c>
      <c r="GV45" s="1" t="s">
        <v>319</v>
      </c>
      <c r="GW45" s="1" t="s">
        <v>319</v>
      </c>
      <c r="GX45" s="1" t="s">
        <v>319</v>
      </c>
      <c r="GY45" s="1" t="s">
        <v>319</v>
      </c>
      <c r="GZ45" s="1" t="s">
        <v>319</v>
      </c>
      <c r="HA45" s="2">
        <v>44076</v>
      </c>
      <c r="HB45" s="2">
        <v>42653</v>
      </c>
      <c r="HC45" s="1"/>
      <c r="HD45" s="1"/>
      <c r="HE45" s="1"/>
      <c r="HF45" s="1"/>
      <c r="HG45" s="1"/>
      <c r="HH45" s="1"/>
      <c r="HI45" s="1" t="s">
        <v>319</v>
      </c>
      <c r="HJ45" s="1" t="s">
        <v>330</v>
      </c>
      <c r="HK45" s="2"/>
      <c r="HL45" s="1"/>
      <c r="HM45" s="1" t="s">
        <v>322</v>
      </c>
      <c r="HN45" s="1" t="s">
        <v>322</v>
      </c>
      <c r="HO45" s="1"/>
      <c r="HP45" s="1"/>
      <c r="HQ45" s="1"/>
      <c r="HR45" s="1"/>
      <c r="HS45" s="1"/>
      <c r="HT45" s="1"/>
      <c r="HU45" s="1" t="s">
        <v>331</v>
      </c>
      <c r="HV45">
        <v>4621968013</v>
      </c>
      <c r="HW45">
        <v>40638184</v>
      </c>
      <c r="HX45">
        <v>99102565515</v>
      </c>
      <c r="HY45" s="1" t="s">
        <v>1026</v>
      </c>
      <c r="HZ45">
        <v>4318803</v>
      </c>
      <c r="IA45">
        <v>4321529</v>
      </c>
      <c r="IB45" s="1" t="s">
        <v>1027</v>
      </c>
      <c r="IC45">
        <v>830106</v>
      </c>
      <c r="ID45" s="1" t="s">
        <v>1028</v>
      </c>
      <c r="IE45">
        <v>3.09</v>
      </c>
      <c r="IF45">
        <v>3.01</v>
      </c>
      <c r="IG45">
        <v>4.01</v>
      </c>
      <c r="IH45">
        <v>3.2</v>
      </c>
      <c r="II45">
        <v>2.85</v>
      </c>
      <c r="IJ45">
        <v>4.2699999999999996</v>
      </c>
      <c r="IK45">
        <v>4.2699999999999996</v>
      </c>
    </row>
    <row r="46" spans="1:245" x14ac:dyDescent="0.3">
      <c r="A46">
        <v>1744</v>
      </c>
      <c r="B46">
        <v>2360</v>
      </c>
      <c r="C46" s="1" t="s">
        <v>2073</v>
      </c>
      <c r="D46" s="1" t="s">
        <v>1451</v>
      </c>
      <c r="E46" t="s">
        <v>3275</v>
      </c>
      <c r="F46" s="1" t="s">
        <v>267</v>
      </c>
      <c r="G46" s="1" t="s">
        <v>268</v>
      </c>
      <c r="H46">
        <v>608729156</v>
      </c>
      <c r="I46" s="1" t="s">
        <v>2074</v>
      </c>
      <c r="J46" s="1" t="s">
        <v>2075</v>
      </c>
      <c r="L46">
        <v>43801</v>
      </c>
      <c r="M46" s="1" t="s">
        <v>2076</v>
      </c>
      <c r="N46" s="1" t="s">
        <v>2077</v>
      </c>
      <c r="O46">
        <v>327957575</v>
      </c>
      <c r="P46" s="1" t="s">
        <v>273</v>
      </c>
      <c r="Q46" s="1" t="s">
        <v>1984</v>
      </c>
      <c r="R46" s="1" t="s">
        <v>2101</v>
      </c>
      <c r="S46" s="1" t="s">
        <v>2078</v>
      </c>
      <c r="T46" s="1" t="s">
        <v>2079</v>
      </c>
      <c r="U46">
        <v>327957575</v>
      </c>
      <c r="V46" s="1" t="s">
        <v>276</v>
      </c>
      <c r="W46" s="1" t="s">
        <v>2099</v>
      </c>
      <c r="X46" s="1" t="s">
        <v>274</v>
      </c>
      <c r="Y46" s="1" t="s">
        <v>2080</v>
      </c>
      <c r="Z46" s="1" t="s">
        <v>2081</v>
      </c>
      <c r="AA46">
        <v>327957574</v>
      </c>
      <c r="AB46" s="1" t="s">
        <v>2121</v>
      </c>
      <c r="AC46" s="1" t="s">
        <v>2166</v>
      </c>
      <c r="AD46" s="1" t="s">
        <v>2082</v>
      </c>
      <c r="AE46" s="1" t="s">
        <v>2083</v>
      </c>
      <c r="AF46">
        <v>645570264</v>
      </c>
      <c r="AG46" s="1" t="s">
        <v>2160</v>
      </c>
      <c r="AH46" s="1" t="s">
        <v>279</v>
      </c>
      <c r="AI46" s="1" t="s">
        <v>2084</v>
      </c>
      <c r="AJ46" s="1" t="s">
        <v>2085</v>
      </c>
      <c r="AK46">
        <v>327957575</v>
      </c>
      <c r="AL46" s="1" t="s">
        <v>2086</v>
      </c>
      <c r="AM46" s="1" t="s">
        <v>2013</v>
      </c>
      <c r="AN46" s="1" t="s">
        <v>2087</v>
      </c>
      <c r="AO46" s="1" t="s">
        <v>2088</v>
      </c>
      <c r="AP46">
        <v>327957575</v>
      </c>
      <c r="AQ46" s="1" t="s">
        <v>2049</v>
      </c>
      <c r="AR46" s="1" t="s">
        <v>2015</v>
      </c>
      <c r="AS46" s="1" t="s">
        <v>2089</v>
      </c>
      <c r="AT46" s="1" t="s">
        <v>2090</v>
      </c>
      <c r="AU46">
        <v>327957575</v>
      </c>
      <c r="AV46" s="1" t="s">
        <v>2140</v>
      </c>
      <c r="AW46" s="1" t="s">
        <v>2063</v>
      </c>
      <c r="AX46" s="1" t="s">
        <v>287</v>
      </c>
      <c r="AY46">
        <v>7873000100</v>
      </c>
      <c r="AZ46" s="1"/>
      <c r="BB46" s="1" t="s">
        <v>2091</v>
      </c>
      <c r="BC46" s="1" t="s">
        <v>2092</v>
      </c>
      <c r="BD46">
        <v>59</v>
      </c>
      <c r="BE46">
        <v>327957575</v>
      </c>
      <c r="BF46">
        <v>50.337890625</v>
      </c>
      <c r="BG46">
        <v>3.0953445434570299</v>
      </c>
      <c r="BH46">
        <v>451647903</v>
      </c>
      <c r="BI46">
        <v>256</v>
      </c>
      <c r="BJ46" s="2">
        <v>36670</v>
      </c>
      <c r="BK46" s="1" t="s">
        <v>2454</v>
      </c>
      <c r="BL46" s="1" t="s">
        <v>290</v>
      </c>
      <c r="BM46" s="1" t="s">
        <v>291</v>
      </c>
      <c r="BN46" s="1" t="s">
        <v>292</v>
      </c>
      <c r="BO46" s="1" t="s">
        <v>291</v>
      </c>
      <c r="BP46" s="1" t="s">
        <v>293</v>
      </c>
      <c r="BQ46" s="1" t="s">
        <v>294</v>
      </c>
      <c r="BR46">
        <v>80</v>
      </c>
      <c r="BS46">
        <v>27685231.620000001</v>
      </c>
      <c r="BT46" s="1" t="s">
        <v>295</v>
      </c>
      <c r="BU46" s="1" t="s">
        <v>296</v>
      </c>
      <c r="BV46">
        <v>495344</v>
      </c>
      <c r="BW46">
        <v>1.0380398523479452E-2</v>
      </c>
      <c r="BX46">
        <v>53.714050240654103</v>
      </c>
      <c r="BY46">
        <v>1.9975989538691454</v>
      </c>
      <c r="BZ46">
        <v>6.6993164985384936</v>
      </c>
      <c r="CA46">
        <v>62.41096569306174</v>
      </c>
      <c r="CB46" s="1" t="s">
        <v>360</v>
      </c>
      <c r="CC46">
        <v>1</v>
      </c>
      <c r="CD46" s="1" t="s">
        <v>298</v>
      </c>
      <c r="CE46" s="1" t="s">
        <v>504</v>
      </c>
      <c r="CF46">
        <v>1101</v>
      </c>
      <c r="CG46" s="1" t="s">
        <v>300</v>
      </c>
      <c r="CH46" s="1" t="s">
        <v>1474</v>
      </c>
      <c r="CI46" s="1" t="s">
        <v>1475</v>
      </c>
      <c r="CJ46" s="1" t="s">
        <v>1474</v>
      </c>
      <c r="CK46" s="1" t="s">
        <v>1475</v>
      </c>
      <c r="CL46" s="1" t="s">
        <v>1476</v>
      </c>
      <c r="CM46">
        <v>3020409000010</v>
      </c>
      <c r="CO46" s="1"/>
      <c r="CP46" s="1" t="s">
        <v>304</v>
      </c>
      <c r="CQ46" s="1" t="s">
        <v>367</v>
      </c>
      <c r="CR46" s="1" t="s">
        <v>306</v>
      </c>
      <c r="CS46">
        <v>7990</v>
      </c>
      <c r="CT46">
        <v>2950</v>
      </c>
      <c r="CU46">
        <v>3000</v>
      </c>
      <c r="CV46" s="1" t="s">
        <v>309</v>
      </c>
      <c r="CW46" s="1" t="s">
        <v>308</v>
      </c>
      <c r="CY46">
        <v>5040</v>
      </c>
      <c r="CZ46" t="s">
        <v>873</v>
      </c>
      <c r="DA46" s="1" t="s">
        <v>874</v>
      </c>
      <c r="DB46">
        <v>5040</v>
      </c>
      <c r="DC46">
        <v>5040</v>
      </c>
      <c r="DD46">
        <v>30</v>
      </c>
      <c r="DE46">
        <v>0</v>
      </c>
      <c r="DF46">
        <v>1700</v>
      </c>
      <c r="DG46">
        <v>3340</v>
      </c>
      <c r="DH46">
        <v>0</v>
      </c>
      <c r="DI46">
        <v>0</v>
      </c>
      <c r="DJ46">
        <v>0</v>
      </c>
      <c r="DK46" s="1" t="s">
        <v>369</v>
      </c>
      <c r="DL46" s="1" t="s">
        <v>370</v>
      </c>
      <c r="DN46" s="1" t="s">
        <v>1095</v>
      </c>
      <c r="DO46">
        <v>1330</v>
      </c>
      <c r="DP46">
        <v>0</v>
      </c>
      <c r="DQ46">
        <v>1330</v>
      </c>
      <c r="DR46" s="1"/>
      <c r="DS46">
        <v>662</v>
      </c>
      <c r="DT46">
        <v>42</v>
      </c>
      <c r="DU46">
        <v>284</v>
      </c>
      <c r="DV46">
        <v>249</v>
      </c>
      <c r="DW46" s="1" t="s">
        <v>558</v>
      </c>
      <c r="DX46">
        <v>18</v>
      </c>
      <c r="DZ46">
        <v>2</v>
      </c>
      <c r="EA46">
        <v>2</v>
      </c>
      <c r="EB46">
        <v>9</v>
      </c>
      <c r="EC46">
        <v>2</v>
      </c>
      <c r="ED46">
        <v>0</v>
      </c>
      <c r="EE46">
        <v>0</v>
      </c>
      <c r="EF46">
        <v>13</v>
      </c>
      <c r="EG46">
        <v>2010</v>
      </c>
      <c r="EI46" s="1"/>
      <c r="EJ46" s="1" t="s">
        <v>313</v>
      </c>
      <c r="EK46" s="1" t="s">
        <v>314</v>
      </c>
      <c r="EL46">
        <v>30</v>
      </c>
      <c r="EM46">
        <v>27</v>
      </c>
      <c r="EN46">
        <v>11</v>
      </c>
      <c r="EO46" s="1" t="s">
        <v>315</v>
      </c>
      <c r="EP46">
        <v>30</v>
      </c>
      <c r="EQ46">
        <v>71.873576143802381</v>
      </c>
      <c r="ER46" s="1" t="s">
        <v>411</v>
      </c>
      <c r="ES46">
        <v>8.2842542406944037</v>
      </c>
      <c r="ET46">
        <v>0</v>
      </c>
      <c r="EU46" s="1"/>
      <c r="EV46">
        <v>100.13975843728284</v>
      </c>
      <c r="EW46">
        <v>2</v>
      </c>
      <c r="EX46" t="s">
        <v>316</v>
      </c>
      <c r="EY46">
        <v>2</v>
      </c>
      <c r="EZ46" s="1" t="s">
        <v>1381</v>
      </c>
      <c r="FA46" s="2"/>
      <c r="FB46" s="1" t="s">
        <v>1382</v>
      </c>
      <c r="FC46">
        <v>1</v>
      </c>
      <c r="FD46" s="1"/>
      <c r="FE46" s="2"/>
      <c r="FF46" s="1"/>
      <c r="FG46" s="1" t="s">
        <v>319</v>
      </c>
      <c r="FH46" s="1" t="s">
        <v>319</v>
      </c>
      <c r="FI46" s="1" t="s">
        <v>319</v>
      </c>
      <c r="FJ46" s="1" t="s">
        <v>319</v>
      </c>
      <c r="FK46" s="1" t="s">
        <v>320</v>
      </c>
      <c r="FL46">
        <v>18.920000000000002</v>
      </c>
      <c r="FM46">
        <v>4120.9370249728554</v>
      </c>
      <c r="FN46" s="1" t="s">
        <v>2094</v>
      </c>
      <c r="FO46" s="1" t="s">
        <v>319</v>
      </c>
      <c r="FP46" s="1" t="s">
        <v>323</v>
      </c>
      <c r="FQ46" s="1" t="s">
        <v>324</v>
      </c>
      <c r="FR46" s="1" t="s">
        <v>1750</v>
      </c>
      <c r="FS46" s="1"/>
      <c r="FT46" s="1" t="s">
        <v>1751</v>
      </c>
      <c r="FV46" s="1" t="s">
        <v>322</v>
      </c>
      <c r="FW46" s="1" t="s">
        <v>322</v>
      </c>
      <c r="FX46" s="1" t="s">
        <v>322</v>
      </c>
      <c r="FY46" s="1" t="s">
        <v>1752</v>
      </c>
      <c r="FZ46" s="1" t="s">
        <v>322</v>
      </c>
      <c r="GA46" s="1" t="s">
        <v>322</v>
      </c>
      <c r="GB46" s="1" t="s">
        <v>319</v>
      </c>
      <c r="GC46" s="1" t="s">
        <v>322</v>
      </c>
      <c r="GD46" s="1" t="s">
        <v>322</v>
      </c>
      <c r="GE46" s="1" t="s">
        <v>322</v>
      </c>
      <c r="GF46" s="1" t="s">
        <v>327</v>
      </c>
      <c r="GG46" s="1"/>
      <c r="GH46" s="1" t="s">
        <v>322</v>
      </c>
      <c r="GI46" s="1"/>
      <c r="GJ46" s="1" t="s">
        <v>322</v>
      </c>
      <c r="GK46" s="2">
        <v>42005</v>
      </c>
      <c r="GL46" s="1" t="s">
        <v>322</v>
      </c>
      <c r="GM46" s="1" t="s">
        <v>322</v>
      </c>
      <c r="GN46">
        <v>42954</v>
      </c>
      <c r="GO46" s="1" t="s">
        <v>319</v>
      </c>
      <c r="GQ46" s="1"/>
      <c r="GR46" s="1"/>
      <c r="GS46" s="1"/>
      <c r="GT46" s="1" t="s">
        <v>322</v>
      </c>
      <c r="GU46" s="1" t="s">
        <v>1479</v>
      </c>
      <c r="GV46" s="1" t="s">
        <v>322</v>
      </c>
      <c r="GW46" s="1" t="s">
        <v>319</v>
      </c>
      <c r="GX46" s="1" t="s">
        <v>322</v>
      </c>
      <c r="GY46" s="1" t="s">
        <v>319</v>
      </c>
      <c r="GZ46" s="1" t="s">
        <v>319</v>
      </c>
      <c r="HA46" s="2">
        <v>44063</v>
      </c>
      <c r="HB46" s="2">
        <v>42660</v>
      </c>
      <c r="HC46" s="1"/>
      <c r="HD46" s="1" t="s">
        <v>322</v>
      </c>
      <c r="HE46" s="1"/>
      <c r="HF46" s="1"/>
      <c r="HG46" s="1"/>
      <c r="HH46" s="1"/>
      <c r="HI46" s="1" t="s">
        <v>322</v>
      </c>
      <c r="HJ46" s="1" t="s">
        <v>330</v>
      </c>
      <c r="HK46" s="2"/>
      <c r="HL46" s="1"/>
      <c r="HM46" s="1" t="s">
        <v>322</v>
      </c>
      <c r="HN46" s="1" t="s">
        <v>322</v>
      </c>
      <c r="HO46" s="1"/>
      <c r="HP46" s="1"/>
      <c r="HQ46" s="1"/>
      <c r="HR46" s="1"/>
      <c r="HS46" s="1"/>
      <c r="HT46" s="1"/>
      <c r="HU46" s="1" t="s">
        <v>331</v>
      </c>
      <c r="HV46">
        <v>4622014010</v>
      </c>
      <c r="HW46">
        <v>40638675</v>
      </c>
      <c r="HX46">
        <v>99102569341</v>
      </c>
      <c r="HY46" s="1" t="s">
        <v>2095</v>
      </c>
      <c r="HZ46">
        <v>4319029</v>
      </c>
      <c r="IA46">
        <v>4321565</v>
      </c>
      <c r="IB46" s="1" t="s">
        <v>2096</v>
      </c>
      <c r="IC46">
        <v>830207</v>
      </c>
      <c r="ID46" s="1" t="s">
        <v>2097</v>
      </c>
      <c r="IE46">
        <v>3.68</v>
      </c>
      <c r="IF46">
        <v>4.58</v>
      </c>
      <c r="IG46">
        <v>5.72</v>
      </c>
      <c r="IH46">
        <v>5.22</v>
      </c>
      <c r="II46">
        <v>5.97</v>
      </c>
      <c r="IJ46">
        <v>4.91</v>
      </c>
      <c r="IK46">
        <v>4.91</v>
      </c>
    </row>
    <row r="47" spans="1:245" x14ac:dyDescent="0.3">
      <c r="A47">
        <v>1941</v>
      </c>
      <c r="B47">
        <v>2442</v>
      </c>
      <c r="C47" s="1" t="s">
        <v>2323</v>
      </c>
      <c r="D47" s="1" t="s">
        <v>700</v>
      </c>
      <c r="E47" t="s">
        <v>3275</v>
      </c>
      <c r="F47" s="1" t="s">
        <v>2181</v>
      </c>
      <c r="G47" s="1" t="s">
        <v>2182</v>
      </c>
      <c r="H47">
        <v>686016869</v>
      </c>
      <c r="I47" s="1" t="s">
        <v>2324</v>
      </c>
      <c r="J47" s="1" t="s">
        <v>2325</v>
      </c>
      <c r="L47">
        <v>44025</v>
      </c>
      <c r="M47" s="1" t="s">
        <v>2326</v>
      </c>
      <c r="N47" s="1" t="s">
        <v>2327</v>
      </c>
      <c r="O47">
        <v>237629968</v>
      </c>
      <c r="P47" s="1" t="s">
        <v>273</v>
      </c>
      <c r="Q47" s="1" t="s">
        <v>2324</v>
      </c>
      <c r="R47" s="1" t="s">
        <v>2260</v>
      </c>
      <c r="S47" s="1" t="s">
        <v>2328</v>
      </c>
      <c r="T47" s="1" t="s">
        <v>2329</v>
      </c>
      <c r="U47">
        <v>237629966</v>
      </c>
      <c r="V47" s="1" t="s">
        <v>276</v>
      </c>
      <c r="W47" s="1" t="s">
        <v>2324</v>
      </c>
      <c r="X47" s="1" t="s">
        <v>2187</v>
      </c>
      <c r="Y47" s="1" t="s">
        <v>2330</v>
      </c>
      <c r="Z47" s="1" t="s">
        <v>2331</v>
      </c>
      <c r="AA47">
        <v>237629965</v>
      </c>
      <c r="AB47" s="1" t="s">
        <v>2183</v>
      </c>
      <c r="AC47" s="1" t="s">
        <v>2353</v>
      </c>
      <c r="AD47" s="1" t="s">
        <v>524</v>
      </c>
      <c r="AE47" s="1"/>
      <c r="AG47" s="1" t="s">
        <v>2233</v>
      </c>
      <c r="AH47" s="1" t="s">
        <v>2217</v>
      </c>
      <c r="AI47" s="1" t="s">
        <v>2332</v>
      </c>
      <c r="AJ47" s="1" t="s">
        <v>2333</v>
      </c>
      <c r="AK47">
        <v>237629964</v>
      </c>
      <c r="AL47" s="1" t="s">
        <v>2391</v>
      </c>
      <c r="AM47" s="1" t="s">
        <v>2401</v>
      </c>
      <c r="AN47" s="1" t="s">
        <v>2334</v>
      </c>
      <c r="AO47" s="1" t="s">
        <v>2335</v>
      </c>
      <c r="AP47">
        <v>237629962</v>
      </c>
      <c r="AQ47" s="1" t="s">
        <v>2345</v>
      </c>
      <c r="AR47" s="1" t="s">
        <v>2289</v>
      </c>
      <c r="AS47" s="1" t="s">
        <v>2336</v>
      </c>
      <c r="AT47" s="1" t="s">
        <v>2337</v>
      </c>
      <c r="AU47">
        <v>237629967</v>
      </c>
      <c r="AV47" s="1" t="s">
        <v>2368</v>
      </c>
      <c r="AW47" s="1" t="s">
        <v>2223</v>
      </c>
      <c r="AX47" s="1" t="s">
        <v>2199</v>
      </c>
      <c r="AY47">
        <v>620112927</v>
      </c>
      <c r="AZ47" s="1" t="s">
        <v>356</v>
      </c>
      <c r="BA47">
        <v>678408522</v>
      </c>
      <c r="BB47" s="1" t="s">
        <v>2338</v>
      </c>
      <c r="BC47" s="1" t="s">
        <v>2339</v>
      </c>
      <c r="BD47">
        <v>28</v>
      </c>
      <c r="BE47">
        <v>237629960</v>
      </c>
      <c r="BF47">
        <v>48.7430209102642</v>
      </c>
      <c r="BG47">
        <v>1.34483708728021</v>
      </c>
      <c r="BH47">
        <v>451647903</v>
      </c>
      <c r="BI47">
        <v>1304</v>
      </c>
      <c r="BJ47" s="2">
        <v>41836</v>
      </c>
      <c r="BK47" s="1" t="s">
        <v>3278</v>
      </c>
      <c r="BL47" s="1" t="s">
        <v>290</v>
      </c>
      <c r="BM47" s="1" t="s">
        <v>291</v>
      </c>
      <c r="BN47" s="1" t="s">
        <v>292</v>
      </c>
      <c r="BO47" s="1" t="s">
        <v>291</v>
      </c>
      <c r="BP47" s="1" t="s">
        <v>293</v>
      </c>
      <c r="BQ47" s="1" t="s">
        <v>294</v>
      </c>
      <c r="BR47">
        <v>80</v>
      </c>
      <c r="BS47">
        <v>17971534.149999999</v>
      </c>
      <c r="BT47" s="1" t="s">
        <v>295</v>
      </c>
      <c r="BU47" s="1" t="s">
        <v>359</v>
      </c>
      <c r="BV47">
        <v>278115</v>
      </c>
      <c r="BW47">
        <v>1.424471955111197E-2</v>
      </c>
      <c r="BX47">
        <v>45.685633282784998</v>
      </c>
      <c r="BY47">
        <v>6.9547647304454872</v>
      </c>
      <c r="BZ47">
        <v>2.2820580866354585</v>
      </c>
      <c r="CA47">
        <v>54.922456099865947</v>
      </c>
      <c r="CB47" s="1" t="s">
        <v>443</v>
      </c>
      <c r="CC47">
        <v>1</v>
      </c>
      <c r="CD47" s="1" t="s">
        <v>298</v>
      </c>
      <c r="CE47" s="1" t="s">
        <v>504</v>
      </c>
      <c r="CF47">
        <v>1101</v>
      </c>
      <c r="CG47" s="1" t="s">
        <v>300</v>
      </c>
      <c r="CH47" s="1" t="s">
        <v>301</v>
      </c>
      <c r="CI47" s="1" t="s">
        <v>302</v>
      </c>
      <c r="CJ47" s="1" t="s">
        <v>301</v>
      </c>
      <c r="CK47" s="1" t="s">
        <v>302</v>
      </c>
      <c r="CL47" s="1" t="s">
        <v>303</v>
      </c>
      <c r="CM47">
        <v>3601651117009</v>
      </c>
      <c r="CO47" s="1"/>
      <c r="CP47" s="1" t="s">
        <v>444</v>
      </c>
      <c r="CQ47" s="1" t="s">
        <v>367</v>
      </c>
      <c r="CR47" s="1" t="s">
        <v>505</v>
      </c>
      <c r="CS47">
        <v>6866</v>
      </c>
      <c r="CT47">
        <v>3800</v>
      </c>
      <c r="CU47">
        <v>3000</v>
      </c>
      <c r="CV47" s="1" t="s">
        <v>309</v>
      </c>
      <c r="CW47" s="1" t="s">
        <v>408</v>
      </c>
      <c r="CY47">
        <v>3000</v>
      </c>
      <c r="CZ47">
        <v>3000</v>
      </c>
      <c r="DA47" s="1" t="s">
        <v>309</v>
      </c>
      <c r="DB47">
        <v>3066</v>
      </c>
      <c r="DC47">
        <v>3066</v>
      </c>
      <c r="DD47">
        <v>0</v>
      </c>
      <c r="DE47">
        <v>0</v>
      </c>
      <c r="DF47">
        <v>1120</v>
      </c>
      <c r="DG47">
        <v>1946</v>
      </c>
      <c r="DH47">
        <v>0</v>
      </c>
      <c r="DI47">
        <v>0</v>
      </c>
      <c r="DJ47">
        <v>0</v>
      </c>
      <c r="DK47" s="1" t="s">
        <v>310</v>
      </c>
      <c r="DL47" s="1"/>
      <c r="DN47" s="1"/>
      <c r="DO47">
        <v>800</v>
      </c>
      <c r="DP47">
        <v>800</v>
      </c>
      <c r="DQ47">
        <v>0</v>
      </c>
      <c r="DR47" s="1"/>
      <c r="DS47">
        <v>391</v>
      </c>
      <c r="DT47">
        <v>96</v>
      </c>
      <c r="DU47">
        <v>283</v>
      </c>
      <c r="DV47">
        <v>273</v>
      </c>
      <c r="DW47" s="1" t="s">
        <v>371</v>
      </c>
      <c r="DX47">
        <v>15</v>
      </c>
      <c r="DZ47">
        <v>2</v>
      </c>
      <c r="EA47">
        <v>2</v>
      </c>
      <c r="EB47">
        <v>8</v>
      </c>
      <c r="EC47">
        <v>2</v>
      </c>
      <c r="ED47">
        <v>0</v>
      </c>
      <c r="EE47">
        <v>1</v>
      </c>
      <c r="EF47">
        <v>13</v>
      </c>
      <c r="EG47">
        <v>2014</v>
      </c>
      <c r="EI47" s="1"/>
      <c r="EJ47" s="1" t="s">
        <v>313</v>
      </c>
      <c r="EK47" s="1" t="s">
        <v>314</v>
      </c>
      <c r="EL47">
        <v>28</v>
      </c>
      <c r="EM47">
        <v>20</v>
      </c>
      <c r="EN47">
        <v>12</v>
      </c>
      <c r="EO47" s="1" t="s">
        <v>664</v>
      </c>
      <c r="EP47">
        <v>20</v>
      </c>
      <c r="EQ47">
        <v>86.594481506882531</v>
      </c>
      <c r="ER47" s="1" t="s">
        <v>411</v>
      </c>
      <c r="ES47">
        <v>5.0802095817371082</v>
      </c>
      <c r="ET47">
        <v>0</v>
      </c>
      <c r="EU47" s="1"/>
      <c r="EV47">
        <v>82.20702777720048</v>
      </c>
      <c r="EW47">
        <v>0</v>
      </c>
      <c r="EX47" t="s">
        <v>316</v>
      </c>
      <c r="EY47">
        <v>0</v>
      </c>
      <c r="EZ47" s="1" t="s">
        <v>317</v>
      </c>
      <c r="FA47" s="2"/>
      <c r="FB47" s="1" t="s">
        <v>318</v>
      </c>
      <c r="FC47">
        <v>1</v>
      </c>
      <c r="FD47" s="1"/>
      <c r="FE47" s="2"/>
      <c r="FF47" s="1" t="s">
        <v>1022</v>
      </c>
      <c r="FG47" s="1" t="s">
        <v>322</v>
      </c>
      <c r="FH47" s="1" t="s">
        <v>319</v>
      </c>
      <c r="FI47" s="1" t="s">
        <v>319</v>
      </c>
      <c r="FJ47" s="1" t="s">
        <v>319</v>
      </c>
      <c r="FK47" s="1" t="s">
        <v>1096</v>
      </c>
      <c r="FL47">
        <v>19.27</v>
      </c>
      <c r="FM47">
        <v>8205.9386809269163</v>
      </c>
      <c r="FN47" s="1" t="s">
        <v>321</v>
      </c>
      <c r="FO47" s="1" t="s">
        <v>322</v>
      </c>
      <c r="FP47" s="1" t="s">
        <v>323</v>
      </c>
      <c r="FQ47" s="1" t="s">
        <v>324</v>
      </c>
      <c r="FR47" s="1" t="s">
        <v>325</v>
      </c>
      <c r="FS47" s="1" t="s">
        <v>918</v>
      </c>
      <c r="FT47" s="1" t="s">
        <v>666</v>
      </c>
      <c r="FV47" s="1" t="s">
        <v>322</v>
      </c>
      <c r="FW47" s="1" t="s">
        <v>322</v>
      </c>
      <c r="FX47" s="1" t="s">
        <v>322</v>
      </c>
      <c r="FY47" s="1" t="s">
        <v>322</v>
      </c>
      <c r="FZ47" s="1" t="s">
        <v>319</v>
      </c>
      <c r="GA47" s="1" t="s">
        <v>322</v>
      </c>
      <c r="GB47" s="1" t="s">
        <v>322</v>
      </c>
      <c r="GC47" s="1" t="s">
        <v>322</v>
      </c>
      <c r="GD47" s="1" t="s">
        <v>322</v>
      </c>
      <c r="GE47" s="1" t="s">
        <v>322</v>
      </c>
      <c r="GF47" s="1" t="s">
        <v>667</v>
      </c>
      <c r="GG47" s="1"/>
      <c r="GH47" s="1" t="s">
        <v>322</v>
      </c>
      <c r="GI47" s="1"/>
      <c r="GJ47" s="1" t="s">
        <v>322</v>
      </c>
      <c r="GK47" s="2">
        <v>41640</v>
      </c>
      <c r="GL47" s="1" t="s">
        <v>322</v>
      </c>
      <c r="GM47" s="1" t="s">
        <v>322</v>
      </c>
      <c r="GN47">
        <v>43011</v>
      </c>
      <c r="GO47" s="1" t="s">
        <v>319</v>
      </c>
      <c r="GQ47" s="1"/>
      <c r="GR47" s="1"/>
      <c r="GS47" s="1"/>
      <c r="GT47" s="1" t="s">
        <v>319</v>
      </c>
      <c r="GU47" s="1" t="s">
        <v>2340</v>
      </c>
      <c r="GV47" s="1" t="s">
        <v>322</v>
      </c>
      <c r="GW47" s="1" t="s">
        <v>322</v>
      </c>
      <c r="GX47" s="1" t="s">
        <v>319</v>
      </c>
      <c r="GY47" s="1" t="s">
        <v>319</v>
      </c>
      <c r="GZ47" s="1" t="s">
        <v>319</v>
      </c>
      <c r="HA47" s="2">
        <v>44086</v>
      </c>
      <c r="HB47" s="2">
        <v>42660</v>
      </c>
      <c r="HC47" s="1"/>
      <c r="HD47" s="1"/>
      <c r="HE47" s="1"/>
      <c r="HF47" s="1"/>
      <c r="HG47" s="1"/>
      <c r="HH47" s="1"/>
      <c r="HI47" s="1" t="s">
        <v>322</v>
      </c>
      <c r="HJ47" s="1" t="s">
        <v>330</v>
      </c>
      <c r="HK47" s="2"/>
      <c r="HL47" s="1" t="s">
        <v>322</v>
      </c>
      <c r="HM47" s="1" t="s">
        <v>322</v>
      </c>
      <c r="HN47" s="1" t="s">
        <v>322</v>
      </c>
      <c r="HO47" s="1"/>
      <c r="HP47" s="1"/>
      <c r="HQ47" s="1"/>
      <c r="HR47" s="1"/>
      <c r="HS47" s="1"/>
      <c r="HT47" s="1"/>
      <c r="HU47" s="1" t="s">
        <v>331</v>
      </c>
      <c r="HV47">
        <v>4218067011</v>
      </c>
      <c r="HW47">
        <v>40638801</v>
      </c>
      <c r="HX47">
        <v>99102567733</v>
      </c>
      <c r="HY47" s="1" t="s">
        <v>2341</v>
      </c>
      <c r="HZ47">
        <v>4225744</v>
      </c>
      <c r="IA47">
        <v>4321355</v>
      </c>
      <c r="IB47" s="1" t="s">
        <v>2342</v>
      </c>
      <c r="IC47">
        <v>830235</v>
      </c>
      <c r="ID47" s="1" t="s">
        <v>2343</v>
      </c>
      <c r="IE47">
        <v>3.1</v>
      </c>
      <c r="IF47">
        <v>3</v>
      </c>
      <c r="IG47">
        <v>3.53</v>
      </c>
      <c r="IH47">
        <v>4.53</v>
      </c>
      <c r="II47">
        <v>5.62</v>
      </c>
      <c r="IJ47">
        <v>5.6758181818181814</v>
      </c>
      <c r="IK47">
        <v>5.65</v>
      </c>
    </row>
    <row r="48" spans="1:245" x14ac:dyDescent="0.3">
      <c r="A48">
        <v>1924</v>
      </c>
      <c r="B48">
        <v>2428</v>
      </c>
      <c r="C48" s="1" t="s">
        <v>1254</v>
      </c>
      <c r="D48" s="1" t="s">
        <v>266</v>
      </c>
      <c r="E48" t="s">
        <v>3275</v>
      </c>
      <c r="F48" s="1" t="s">
        <v>1228</v>
      </c>
      <c r="G48" s="1" t="s">
        <v>1229</v>
      </c>
      <c r="H48">
        <v>624328593</v>
      </c>
      <c r="I48" s="1" t="s">
        <v>1255</v>
      </c>
      <c r="J48" s="1" t="s">
        <v>1256</v>
      </c>
      <c r="K48">
        <v>643283594</v>
      </c>
      <c r="L48">
        <v>44473</v>
      </c>
      <c r="M48" s="1" t="s">
        <v>1257</v>
      </c>
      <c r="N48" s="1" t="s">
        <v>1258</v>
      </c>
      <c r="O48">
        <v>329290158</v>
      </c>
      <c r="P48" s="1" t="s">
        <v>884</v>
      </c>
      <c r="Q48" s="1" t="s">
        <v>1430</v>
      </c>
      <c r="R48" s="1" t="s">
        <v>1389</v>
      </c>
      <c r="S48" s="1" t="s">
        <v>1257</v>
      </c>
      <c r="T48" s="1" t="s">
        <v>1258</v>
      </c>
      <c r="U48">
        <v>329290158</v>
      </c>
      <c r="V48" s="1" t="s">
        <v>754</v>
      </c>
      <c r="W48" s="1" t="s">
        <v>1387</v>
      </c>
      <c r="X48" s="1" t="s">
        <v>1299</v>
      </c>
      <c r="Y48" s="1" t="s">
        <v>1259</v>
      </c>
      <c r="Z48" s="1" t="s">
        <v>1260</v>
      </c>
      <c r="AA48">
        <v>329290156</v>
      </c>
      <c r="AB48" s="1" t="s">
        <v>1255</v>
      </c>
      <c r="AC48" s="1" t="s">
        <v>1259</v>
      </c>
      <c r="AD48" s="1" t="s">
        <v>389</v>
      </c>
      <c r="AE48" s="1"/>
      <c r="AG48" s="1" t="s">
        <v>1297</v>
      </c>
      <c r="AH48" s="1" t="s">
        <v>1347</v>
      </c>
      <c r="AI48" s="1" t="s">
        <v>1261</v>
      </c>
      <c r="AJ48" s="1" t="s">
        <v>1262</v>
      </c>
      <c r="AK48">
        <v>329290154</v>
      </c>
      <c r="AL48" s="1" t="s">
        <v>1411</v>
      </c>
      <c r="AM48" s="1" t="s">
        <v>1417</v>
      </c>
      <c r="AN48" s="1" t="s">
        <v>1263</v>
      </c>
      <c r="AO48" s="1" t="s">
        <v>1264</v>
      </c>
      <c r="AP48">
        <v>329290152</v>
      </c>
      <c r="AQ48" s="1" t="s">
        <v>1320</v>
      </c>
      <c r="AR48" s="1" t="s">
        <v>1265</v>
      </c>
      <c r="AS48" s="1" t="s">
        <v>1266</v>
      </c>
      <c r="AT48" s="1" t="s">
        <v>1267</v>
      </c>
      <c r="AU48">
        <v>329290157</v>
      </c>
      <c r="AV48" s="1" t="s">
        <v>1320</v>
      </c>
      <c r="AW48" s="1" t="s">
        <v>1443</v>
      </c>
      <c r="AX48" s="1" t="s">
        <v>1241</v>
      </c>
      <c r="AY48">
        <v>646374585</v>
      </c>
      <c r="AZ48" s="1" t="s">
        <v>1242</v>
      </c>
      <c r="BB48" s="1" t="s">
        <v>1268</v>
      </c>
      <c r="BC48" s="1" t="s">
        <v>1269</v>
      </c>
      <c r="BD48">
        <v>88</v>
      </c>
      <c r="BE48">
        <v>329290150</v>
      </c>
      <c r="BF48">
        <v>48.187744140625</v>
      </c>
      <c r="BG48">
        <v>6.4738311767578098</v>
      </c>
      <c r="BH48">
        <v>451647903</v>
      </c>
      <c r="BI48">
        <v>1163</v>
      </c>
      <c r="BJ48" s="2">
        <v>40331</v>
      </c>
      <c r="BK48" s="1" t="s">
        <v>3298</v>
      </c>
      <c r="BL48" s="1" t="s">
        <v>290</v>
      </c>
      <c r="BM48" s="1" t="s">
        <v>291</v>
      </c>
      <c r="BN48" s="1" t="s">
        <v>292</v>
      </c>
      <c r="BO48" s="1" t="s">
        <v>291</v>
      </c>
      <c r="BP48" s="1" t="s">
        <v>293</v>
      </c>
      <c r="BQ48" s="1" t="s">
        <v>294</v>
      </c>
      <c r="BR48">
        <v>80</v>
      </c>
      <c r="BS48">
        <v>29591354.059999999</v>
      </c>
      <c r="BT48" s="1" t="s">
        <v>295</v>
      </c>
      <c r="BU48" s="1" t="s">
        <v>401</v>
      </c>
      <c r="BV48">
        <v>433463</v>
      </c>
      <c r="BW48">
        <v>1.2631780112195E-2</v>
      </c>
      <c r="BX48">
        <v>60.457044900112102</v>
      </c>
      <c r="BY48">
        <v>0.99048922001714335</v>
      </c>
      <c r="BZ48">
        <v>8.6032795982505874</v>
      </c>
      <c r="CA48">
        <v>70.050813718379828</v>
      </c>
      <c r="CB48" s="1" t="s">
        <v>360</v>
      </c>
      <c r="CC48">
        <v>1</v>
      </c>
      <c r="CD48" s="1" t="s">
        <v>298</v>
      </c>
      <c r="CE48" s="1" t="s">
        <v>504</v>
      </c>
      <c r="CF48">
        <v>1101</v>
      </c>
      <c r="CG48" s="1" t="s">
        <v>300</v>
      </c>
      <c r="CH48" s="1" t="s">
        <v>972</v>
      </c>
      <c r="CI48" s="1" t="s">
        <v>973</v>
      </c>
      <c r="CJ48" s="1" t="s">
        <v>972</v>
      </c>
      <c r="CK48" s="1" t="s">
        <v>302</v>
      </c>
      <c r="CL48" s="1" t="s">
        <v>974</v>
      </c>
      <c r="CM48">
        <v>3020409000020</v>
      </c>
      <c r="CO48" s="1" t="s">
        <v>322</v>
      </c>
      <c r="CP48" s="1" t="s">
        <v>444</v>
      </c>
      <c r="CQ48" s="1" t="s">
        <v>406</v>
      </c>
      <c r="CR48" s="1" t="s">
        <v>505</v>
      </c>
      <c r="CS48">
        <v>5636</v>
      </c>
      <c r="CT48">
        <v>2972</v>
      </c>
      <c r="CU48">
        <v>3000</v>
      </c>
      <c r="CV48" s="1" t="s">
        <v>309</v>
      </c>
      <c r="CW48" s="1" t="s">
        <v>308</v>
      </c>
      <c r="CY48">
        <v>2664</v>
      </c>
      <c r="CZ48" t="s">
        <v>368</v>
      </c>
      <c r="DA48" s="1" t="s">
        <v>309</v>
      </c>
      <c r="DB48">
        <v>2664</v>
      </c>
      <c r="DC48">
        <v>2664</v>
      </c>
      <c r="DD48">
        <v>0</v>
      </c>
      <c r="DE48">
        <v>0</v>
      </c>
      <c r="DF48">
        <v>817</v>
      </c>
      <c r="DG48">
        <v>1847</v>
      </c>
      <c r="DH48">
        <v>0</v>
      </c>
      <c r="DI48">
        <v>0</v>
      </c>
      <c r="DJ48">
        <v>0</v>
      </c>
      <c r="DK48" s="1" t="s">
        <v>409</v>
      </c>
      <c r="DL48" s="1" t="s">
        <v>1270</v>
      </c>
      <c r="DN48" s="1"/>
      <c r="DO48">
        <v>462</v>
      </c>
      <c r="DP48">
        <v>0</v>
      </c>
      <c r="DQ48">
        <v>462</v>
      </c>
      <c r="DR48" s="1"/>
      <c r="DS48">
        <v>460</v>
      </c>
      <c r="DT48">
        <v>150</v>
      </c>
      <c r="DU48">
        <v>234</v>
      </c>
      <c r="DV48">
        <v>229</v>
      </c>
      <c r="DW48" s="1" t="s">
        <v>371</v>
      </c>
      <c r="DX48">
        <v>16</v>
      </c>
      <c r="DZ48">
        <v>2</v>
      </c>
      <c r="EA48">
        <v>2</v>
      </c>
      <c r="EB48">
        <v>9</v>
      </c>
      <c r="EC48">
        <v>2</v>
      </c>
      <c r="ED48">
        <v>0</v>
      </c>
      <c r="EE48">
        <v>0</v>
      </c>
      <c r="EF48">
        <v>13</v>
      </c>
      <c r="EG48">
        <v>2010</v>
      </c>
      <c r="EI48" s="1"/>
      <c r="EJ48" s="1" t="s">
        <v>313</v>
      </c>
      <c r="EK48" s="1" t="s">
        <v>314</v>
      </c>
      <c r="EL48">
        <v>29</v>
      </c>
      <c r="EM48">
        <v>25</v>
      </c>
      <c r="EN48">
        <v>12</v>
      </c>
      <c r="EO48" s="1" t="s">
        <v>315</v>
      </c>
      <c r="EP48">
        <v>33</v>
      </c>
      <c r="EQ48">
        <v>88.369955230968074</v>
      </c>
      <c r="ER48" s="1" t="s">
        <v>316</v>
      </c>
      <c r="ES48">
        <v>3.0472398355506236</v>
      </c>
      <c r="ET48">
        <v>0</v>
      </c>
      <c r="EU48" s="1"/>
      <c r="EV48">
        <v>101.06678787909567</v>
      </c>
      <c r="EW48">
        <v>0</v>
      </c>
      <c r="EX48" t="s">
        <v>316</v>
      </c>
      <c r="EY48">
        <v>0</v>
      </c>
      <c r="EZ48" s="1" t="s">
        <v>317</v>
      </c>
      <c r="FA48" s="2"/>
      <c r="FB48" s="1" t="s">
        <v>318</v>
      </c>
      <c r="FC48">
        <v>1</v>
      </c>
      <c r="FD48" s="1"/>
      <c r="FE48" s="2"/>
      <c r="FF48" s="1"/>
      <c r="FG48" s="1" t="s">
        <v>322</v>
      </c>
      <c r="FH48" s="1" t="s">
        <v>319</v>
      </c>
      <c r="FI48" s="1" t="s">
        <v>319</v>
      </c>
      <c r="FJ48" s="1" t="s">
        <v>319</v>
      </c>
      <c r="FK48" s="1" t="s">
        <v>320</v>
      </c>
      <c r="FL48">
        <v>18.920000000000002</v>
      </c>
      <c r="FM48">
        <v>4498.2024972855588</v>
      </c>
      <c r="FN48" s="1" t="s">
        <v>321</v>
      </c>
      <c r="FO48" s="1" t="s">
        <v>319</v>
      </c>
      <c r="FP48" s="1" t="s">
        <v>323</v>
      </c>
      <c r="FQ48" s="1" t="s">
        <v>559</v>
      </c>
      <c r="FR48" s="1" t="s">
        <v>325</v>
      </c>
      <c r="FS48" s="1"/>
      <c r="FT48" s="1" t="s">
        <v>326</v>
      </c>
      <c r="FU48">
        <v>494198191</v>
      </c>
      <c r="FV48" s="1" t="s">
        <v>319</v>
      </c>
      <c r="FW48" s="1" t="s">
        <v>322</v>
      </c>
      <c r="FX48" s="1" t="s">
        <v>322</v>
      </c>
      <c r="FY48" s="1" t="s">
        <v>322</v>
      </c>
      <c r="FZ48" s="1" t="s">
        <v>322</v>
      </c>
      <c r="GA48" s="1" t="s">
        <v>322</v>
      </c>
      <c r="GB48" s="1" t="s">
        <v>322</v>
      </c>
      <c r="GC48" s="1" t="s">
        <v>322</v>
      </c>
      <c r="GD48" s="1" t="s">
        <v>322</v>
      </c>
      <c r="GE48" s="1" t="s">
        <v>322</v>
      </c>
      <c r="GF48" s="1" t="s">
        <v>415</v>
      </c>
      <c r="GG48" s="1"/>
      <c r="GH48" s="1" t="s">
        <v>322</v>
      </c>
      <c r="GI48" s="1"/>
      <c r="GJ48" s="1" t="s">
        <v>322</v>
      </c>
      <c r="GK48" s="2">
        <v>41640</v>
      </c>
      <c r="GL48" s="1" t="s">
        <v>322</v>
      </c>
      <c r="GM48" s="1" t="s">
        <v>322</v>
      </c>
      <c r="GN48">
        <v>43180</v>
      </c>
      <c r="GO48" s="1" t="s">
        <v>319</v>
      </c>
      <c r="GQ48" s="1"/>
      <c r="GR48" s="1"/>
      <c r="GS48" s="1"/>
      <c r="GT48" s="1" t="s">
        <v>322</v>
      </c>
      <c r="GU48" s="1" t="s">
        <v>1271</v>
      </c>
      <c r="GV48" s="1" t="s">
        <v>322</v>
      </c>
      <c r="GW48" s="1" t="s">
        <v>319</v>
      </c>
      <c r="GX48" s="1" t="s">
        <v>322</v>
      </c>
      <c r="GY48" s="1" t="s">
        <v>319</v>
      </c>
      <c r="GZ48" s="1" t="s">
        <v>319</v>
      </c>
      <c r="HA48" s="2">
        <v>44063</v>
      </c>
      <c r="HB48" s="2">
        <v>42667</v>
      </c>
      <c r="HC48" s="1"/>
      <c r="HD48" s="1" t="s">
        <v>322</v>
      </c>
      <c r="HE48" s="1"/>
      <c r="HF48" s="1"/>
      <c r="HG48" s="1"/>
      <c r="HH48" s="1"/>
      <c r="HI48" s="1" t="s">
        <v>322</v>
      </c>
      <c r="HJ48" s="1" t="s">
        <v>330</v>
      </c>
      <c r="HK48" s="2"/>
      <c r="HL48" s="1"/>
      <c r="HM48" s="1" t="s">
        <v>322</v>
      </c>
      <c r="HN48" s="1" t="s">
        <v>322</v>
      </c>
      <c r="HO48" s="1" t="s">
        <v>322</v>
      </c>
      <c r="HP48" s="1"/>
      <c r="HQ48" s="1"/>
      <c r="HR48" s="1"/>
      <c r="HS48" s="1"/>
      <c r="HT48" s="1"/>
      <c r="HU48" s="1" t="s">
        <v>331</v>
      </c>
      <c r="HV48">
        <v>4629996014</v>
      </c>
      <c r="HW48">
        <v>40638310</v>
      </c>
      <c r="HX48">
        <v>99102566519</v>
      </c>
      <c r="HY48" s="1" t="s">
        <v>1272</v>
      </c>
      <c r="HZ48">
        <v>4242175</v>
      </c>
      <c r="IA48">
        <v>4321343</v>
      </c>
      <c r="IB48" s="1" t="s">
        <v>1273</v>
      </c>
      <c r="IC48">
        <v>830144</v>
      </c>
      <c r="ID48" s="1" t="s">
        <v>1274</v>
      </c>
      <c r="IE48">
        <v>3.61</v>
      </c>
      <c r="IF48">
        <v>4.6100000000000003</v>
      </c>
      <c r="IG48">
        <v>5.71</v>
      </c>
      <c r="IH48">
        <v>5.94</v>
      </c>
      <c r="II48">
        <v>5.94</v>
      </c>
      <c r="IJ48">
        <v>3.82</v>
      </c>
      <c r="IK48">
        <v>3.82</v>
      </c>
    </row>
    <row r="49" spans="1:245" x14ac:dyDescent="0.3">
      <c r="A49">
        <v>1782</v>
      </c>
      <c r="B49">
        <v>2396</v>
      </c>
      <c r="C49" s="1" t="s">
        <v>1824</v>
      </c>
      <c r="D49" s="1" t="s">
        <v>1451</v>
      </c>
      <c r="E49" t="s">
        <v>3275</v>
      </c>
      <c r="F49" s="1" t="s">
        <v>1728</v>
      </c>
      <c r="G49" s="1" t="s">
        <v>1729</v>
      </c>
      <c r="H49">
        <v>626529799</v>
      </c>
      <c r="I49" s="1" t="s">
        <v>1825</v>
      </c>
      <c r="J49" s="1" t="s">
        <v>1826</v>
      </c>
      <c r="K49">
        <v>619491374</v>
      </c>
      <c r="L49">
        <v>44592</v>
      </c>
      <c r="M49" s="1" t="s">
        <v>1827</v>
      </c>
      <c r="N49" s="1" t="s">
        <v>1828</v>
      </c>
      <c r="O49">
        <v>618145057</v>
      </c>
      <c r="P49" s="1" t="s">
        <v>273</v>
      </c>
      <c r="Q49" s="1" t="s">
        <v>1898</v>
      </c>
      <c r="R49" s="1" t="s">
        <v>1875</v>
      </c>
      <c r="S49" s="1" t="s">
        <v>1829</v>
      </c>
      <c r="T49" s="1" t="s">
        <v>1830</v>
      </c>
      <c r="U49">
        <v>612270902</v>
      </c>
      <c r="V49" s="1" t="s">
        <v>276</v>
      </c>
      <c r="W49" s="1" t="s">
        <v>1873</v>
      </c>
      <c r="X49" s="1" t="s">
        <v>1734</v>
      </c>
      <c r="Y49" s="1" t="s">
        <v>1831</v>
      </c>
      <c r="Z49" s="1" t="s">
        <v>1832</v>
      </c>
      <c r="AA49">
        <v>320320100</v>
      </c>
      <c r="AB49" s="1" t="s">
        <v>1764</v>
      </c>
      <c r="AC49" s="1" t="s">
        <v>1806</v>
      </c>
      <c r="AD49" s="1" t="s">
        <v>1833</v>
      </c>
      <c r="AE49" s="1" t="s">
        <v>1834</v>
      </c>
      <c r="AF49">
        <v>320320100</v>
      </c>
      <c r="AG49" s="1" t="s">
        <v>1950</v>
      </c>
      <c r="AH49" s="1" t="s">
        <v>1835</v>
      </c>
      <c r="AI49" s="1" t="s">
        <v>1836</v>
      </c>
      <c r="AJ49" s="1" t="s">
        <v>1837</v>
      </c>
      <c r="AK49">
        <v>320320100</v>
      </c>
      <c r="AL49" s="1" t="s">
        <v>1920</v>
      </c>
      <c r="AM49" s="1" t="s">
        <v>1858</v>
      </c>
      <c r="AN49" s="1" t="s">
        <v>1838</v>
      </c>
      <c r="AO49" s="1" t="s">
        <v>1839</v>
      </c>
      <c r="AP49">
        <v>320320100</v>
      </c>
      <c r="AQ49" s="1" t="s">
        <v>1730</v>
      </c>
      <c r="AR49" s="1" t="s">
        <v>1740</v>
      </c>
      <c r="AS49" s="1" t="s">
        <v>1840</v>
      </c>
      <c r="AT49" s="1" t="s">
        <v>1841</v>
      </c>
      <c r="AU49">
        <v>320320100</v>
      </c>
      <c r="AV49" s="1" t="s">
        <v>1850</v>
      </c>
      <c r="AW49" s="1" t="s">
        <v>1955</v>
      </c>
      <c r="AX49" s="1" t="s">
        <v>1744</v>
      </c>
      <c r="AY49">
        <v>617425655</v>
      </c>
      <c r="AZ49" s="1" t="s">
        <v>660</v>
      </c>
      <c r="BA49">
        <v>678409252</v>
      </c>
      <c r="BB49" s="1" t="s">
        <v>1842</v>
      </c>
      <c r="BC49" s="1" t="s">
        <v>1843</v>
      </c>
      <c r="BD49">
        <v>59</v>
      </c>
      <c r="BE49">
        <v>320320100</v>
      </c>
      <c r="BF49">
        <v>50.6064453125</v>
      </c>
      <c r="BG49">
        <v>3.0594558715820299</v>
      </c>
      <c r="BH49">
        <v>451647903</v>
      </c>
      <c r="BI49">
        <v>710</v>
      </c>
      <c r="BJ49" s="2">
        <v>38637</v>
      </c>
      <c r="BK49" s="1" t="s">
        <v>3408</v>
      </c>
      <c r="BL49" s="1" t="s">
        <v>290</v>
      </c>
      <c r="BM49" s="1" t="s">
        <v>291</v>
      </c>
      <c r="BN49" s="1" t="s">
        <v>292</v>
      </c>
      <c r="BO49" s="1" t="s">
        <v>291</v>
      </c>
      <c r="BP49" s="1" t="s">
        <v>293</v>
      </c>
      <c r="BQ49" s="1" t="s">
        <v>294</v>
      </c>
      <c r="BR49">
        <v>80</v>
      </c>
      <c r="BS49">
        <v>28051181.699999999</v>
      </c>
      <c r="BT49" s="1" t="s">
        <v>295</v>
      </c>
      <c r="BU49" s="1" t="s">
        <v>296</v>
      </c>
      <c r="BV49">
        <v>464364</v>
      </c>
      <c r="BW49">
        <v>1.1464330406277411E-2</v>
      </c>
      <c r="BX49">
        <v>66.156787762906305</v>
      </c>
      <c r="BY49">
        <v>5.5952286762928267</v>
      </c>
      <c r="BZ49">
        <v>0</v>
      </c>
      <c r="CA49">
        <v>71.752016439199139</v>
      </c>
      <c r="CB49" s="1" t="s">
        <v>360</v>
      </c>
      <c r="CC49">
        <v>1</v>
      </c>
      <c r="CD49" s="1" t="s">
        <v>298</v>
      </c>
      <c r="CE49" s="1" t="s">
        <v>299</v>
      </c>
      <c r="CF49">
        <v>1101</v>
      </c>
      <c r="CG49" s="1" t="s">
        <v>300</v>
      </c>
      <c r="CH49" s="1" t="s">
        <v>1474</v>
      </c>
      <c r="CI49" s="1" t="s">
        <v>1475</v>
      </c>
      <c r="CJ49" s="1" t="s">
        <v>1474</v>
      </c>
      <c r="CK49" s="1" t="s">
        <v>1475</v>
      </c>
      <c r="CL49" s="1" t="s">
        <v>1476</v>
      </c>
      <c r="CM49">
        <v>3020409000010</v>
      </c>
      <c r="CO49" s="1"/>
      <c r="CP49" s="1" t="s">
        <v>1748</v>
      </c>
      <c r="CQ49" s="1" t="s">
        <v>766</v>
      </c>
      <c r="CR49" s="1" t="s">
        <v>505</v>
      </c>
      <c r="CS49">
        <v>7572</v>
      </c>
      <c r="CT49">
        <v>4000</v>
      </c>
      <c r="CU49">
        <v>3700</v>
      </c>
      <c r="CV49" s="1" t="s">
        <v>307</v>
      </c>
      <c r="CW49" s="1" t="s">
        <v>308</v>
      </c>
      <c r="CY49">
        <v>3492</v>
      </c>
      <c r="CZ49">
        <v>3500</v>
      </c>
      <c r="DA49" s="1" t="s">
        <v>307</v>
      </c>
      <c r="DB49">
        <v>3572</v>
      </c>
      <c r="DC49">
        <v>3572</v>
      </c>
      <c r="DD49">
        <v>84</v>
      </c>
      <c r="DE49">
        <v>0</v>
      </c>
      <c r="DF49">
        <v>1300</v>
      </c>
      <c r="DG49">
        <v>2272</v>
      </c>
      <c r="DH49">
        <v>0</v>
      </c>
      <c r="DI49">
        <v>0</v>
      </c>
      <c r="DJ49">
        <v>0</v>
      </c>
      <c r="DK49" s="1" t="s">
        <v>409</v>
      </c>
      <c r="DL49" s="1" t="s">
        <v>741</v>
      </c>
      <c r="DN49" s="1"/>
      <c r="DO49">
        <v>1000</v>
      </c>
      <c r="DP49">
        <v>0</v>
      </c>
      <c r="DQ49">
        <v>1000</v>
      </c>
      <c r="DR49" s="1" t="s">
        <v>790</v>
      </c>
      <c r="DS49">
        <v>545</v>
      </c>
      <c r="DT49">
        <v>110</v>
      </c>
      <c r="DU49">
        <v>628</v>
      </c>
      <c r="DV49">
        <v>383</v>
      </c>
      <c r="DW49" s="1" t="s">
        <v>371</v>
      </c>
      <c r="DX49">
        <v>20</v>
      </c>
      <c r="DZ49">
        <v>2</v>
      </c>
      <c r="EA49">
        <v>2</v>
      </c>
      <c r="EB49">
        <v>8</v>
      </c>
      <c r="EC49">
        <v>2</v>
      </c>
      <c r="ED49">
        <v>0</v>
      </c>
      <c r="EE49">
        <v>0</v>
      </c>
      <c r="EF49">
        <v>12</v>
      </c>
      <c r="EG49">
        <v>2012</v>
      </c>
      <c r="EI49" s="1"/>
      <c r="EJ49" s="1" t="s">
        <v>313</v>
      </c>
      <c r="EK49" s="1" t="s">
        <v>314</v>
      </c>
      <c r="EL49">
        <v>24</v>
      </c>
      <c r="EM49">
        <v>21</v>
      </c>
      <c r="EN49">
        <v>16</v>
      </c>
      <c r="EO49" s="1" t="s">
        <v>315</v>
      </c>
      <c r="EP49">
        <v>18</v>
      </c>
      <c r="EQ49">
        <v>71.873576143802381</v>
      </c>
      <c r="ER49" s="1" t="s">
        <v>411</v>
      </c>
      <c r="ES49">
        <v>8.2842542406944037</v>
      </c>
      <c r="ET49">
        <v>0</v>
      </c>
      <c r="EU49" s="1"/>
      <c r="EV49">
        <v>100.13975843728284</v>
      </c>
      <c r="EW49">
        <v>1</v>
      </c>
      <c r="EX49" t="s">
        <v>1844</v>
      </c>
      <c r="EY49">
        <v>1</v>
      </c>
      <c r="EZ49" s="1" t="s">
        <v>1381</v>
      </c>
      <c r="FA49" s="2"/>
      <c r="FB49" s="1" t="s">
        <v>1382</v>
      </c>
      <c r="FC49">
        <v>1</v>
      </c>
      <c r="FD49" s="1"/>
      <c r="FE49" s="2">
        <v>42370</v>
      </c>
      <c r="FF49" s="1"/>
      <c r="FG49" s="1" t="s">
        <v>322</v>
      </c>
      <c r="FH49" s="1" t="s">
        <v>322</v>
      </c>
      <c r="FI49" s="1" t="s">
        <v>319</v>
      </c>
      <c r="FJ49" s="1" t="s">
        <v>319</v>
      </c>
      <c r="FK49" s="1" t="s">
        <v>320</v>
      </c>
      <c r="FL49">
        <v>18.920000000000002</v>
      </c>
      <c r="FM49">
        <v>8919.0157437567868</v>
      </c>
      <c r="FN49" s="1" t="s">
        <v>321</v>
      </c>
      <c r="FO49" s="1" t="s">
        <v>322</v>
      </c>
      <c r="FP49" s="1" t="s">
        <v>323</v>
      </c>
      <c r="FQ49" s="1" t="s">
        <v>559</v>
      </c>
      <c r="FR49" s="1" t="s">
        <v>325</v>
      </c>
      <c r="FS49" s="1"/>
      <c r="FT49" s="1" t="s">
        <v>326</v>
      </c>
      <c r="FU49">
        <v>494198191</v>
      </c>
      <c r="FV49" s="1" t="s">
        <v>322</v>
      </c>
      <c r="FW49" s="1" t="s">
        <v>319</v>
      </c>
      <c r="FX49" s="1" t="s">
        <v>322</v>
      </c>
      <c r="FY49" s="1" t="s">
        <v>1121</v>
      </c>
      <c r="FZ49" s="1" t="s">
        <v>322</v>
      </c>
      <c r="GA49" s="1" t="s">
        <v>322</v>
      </c>
      <c r="GB49" s="1"/>
      <c r="GC49" s="1"/>
      <c r="GD49" s="1" t="s">
        <v>322</v>
      </c>
      <c r="GE49" s="1" t="s">
        <v>319</v>
      </c>
      <c r="GF49" s="1" t="s">
        <v>327</v>
      </c>
      <c r="GG49" s="1"/>
      <c r="GH49" s="1" t="s">
        <v>322</v>
      </c>
      <c r="GI49" s="1" t="s">
        <v>1357</v>
      </c>
      <c r="GJ49" s="1" t="s">
        <v>322</v>
      </c>
      <c r="GK49" s="2">
        <v>41640</v>
      </c>
      <c r="GL49" s="1" t="s">
        <v>322</v>
      </c>
      <c r="GM49" s="1" t="s">
        <v>322</v>
      </c>
      <c r="GN49">
        <v>42954</v>
      </c>
      <c r="GO49" s="1" t="s">
        <v>322</v>
      </c>
      <c r="GP49">
        <v>42979</v>
      </c>
      <c r="GQ49" s="1" t="s">
        <v>1845</v>
      </c>
      <c r="GR49" s="1" t="s">
        <v>322</v>
      </c>
      <c r="GS49" s="1" t="s">
        <v>448</v>
      </c>
      <c r="GT49" s="1" t="s">
        <v>322</v>
      </c>
      <c r="GU49" s="1" t="s">
        <v>1797</v>
      </c>
      <c r="GV49" s="1" t="s">
        <v>322</v>
      </c>
      <c r="GW49" s="1" t="s">
        <v>319</v>
      </c>
      <c r="GX49" s="1" t="s">
        <v>322</v>
      </c>
      <c r="GY49" s="1" t="s">
        <v>319</v>
      </c>
      <c r="GZ49" s="1" t="s">
        <v>319</v>
      </c>
      <c r="HA49" s="2">
        <v>44077</v>
      </c>
      <c r="HB49" s="2">
        <v>42653</v>
      </c>
      <c r="HC49" s="1"/>
      <c r="HD49" s="1"/>
      <c r="HE49" s="1"/>
      <c r="HF49" s="1"/>
      <c r="HG49" s="1"/>
      <c r="HH49" s="1"/>
      <c r="HI49" s="1" t="s">
        <v>322</v>
      </c>
      <c r="HJ49" s="1" t="s">
        <v>794</v>
      </c>
      <c r="HK49" s="2">
        <v>42736</v>
      </c>
      <c r="HL49" s="1"/>
      <c r="HM49" s="1" t="s">
        <v>322</v>
      </c>
      <c r="HN49" s="1" t="s">
        <v>322</v>
      </c>
      <c r="HO49" s="1" t="s">
        <v>322</v>
      </c>
      <c r="HP49" s="1"/>
      <c r="HQ49" s="1"/>
      <c r="HR49" s="1"/>
      <c r="HS49" s="1"/>
      <c r="HT49" s="1"/>
      <c r="HU49" s="1" t="s">
        <v>331</v>
      </c>
      <c r="HV49">
        <v>4623536010</v>
      </c>
      <c r="HW49">
        <v>40638563</v>
      </c>
      <c r="HX49">
        <v>99102567898</v>
      </c>
      <c r="HY49" s="1" t="s">
        <v>1846</v>
      </c>
      <c r="HZ49">
        <v>4242195</v>
      </c>
      <c r="IA49">
        <v>4321306</v>
      </c>
      <c r="IB49" s="1" t="s">
        <v>1847</v>
      </c>
      <c r="IC49">
        <v>830195</v>
      </c>
      <c r="ID49" s="1" t="s">
        <v>1848</v>
      </c>
      <c r="IE49">
        <v>2.04</v>
      </c>
      <c r="IF49">
        <v>2.33</v>
      </c>
      <c r="IG49">
        <v>2.27</v>
      </c>
      <c r="IH49">
        <v>1.8</v>
      </c>
      <c r="II49">
        <v>1.59</v>
      </c>
      <c r="IJ49">
        <v>2.639010989010989</v>
      </c>
      <c r="IK49">
        <v>2.65</v>
      </c>
    </row>
    <row r="50" spans="1:245" x14ac:dyDescent="0.3">
      <c r="A50">
        <v>1786</v>
      </c>
      <c r="B50">
        <v>2400</v>
      </c>
      <c r="C50" s="1" t="s">
        <v>1630</v>
      </c>
      <c r="D50" s="1" t="s">
        <v>1074</v>
      </c>
      <c r="E50" t="s">
        <v>3275</v>
      </c>
      <c r="F50" s="1" t="s">
        <v>3300</v>
      </c>
      <c r="G50" s="1" t="s">
        <v>1452</v>
      </c>
      <c r="H50">
        <v>625291561</v>
      </c>
      <c r="I50" s="1" t="s">
        <v>1631</v>
      </c>
      <c r="J50" s="1" t="s">
        <v>1632</v>
      </c>
      <c r="K50">
        <v>622818069</v>
      </c>
      <c r="L50">
        <v>43789</v>
      </c>
      <c r="M50" s="1" t="s">
        <v>1633</v>
      </c>
      <c r="N50" s="1" t="s">
        <v>1634</v>
      </c>
      <c r="O50">
        <v>169723758</v>
      </c>
      <c r="P50" s="1" t="s">
        <v>273</v>
      </c>
      <c r="Q50" s="1" t="s">
        <v>1683</v>
      </c>
      <c r="R50" s="1" t="s">
        <v>1685</v>
      </c>
      <c r="S50" s="1" t="s">
        <v>1635</v>
      </c>
      <c r="T50" s="1" t="s">
        <v>1636</v>
      </c>
      <c r="U50">
        <v>169723750</v>
      </c>
      <c r="V50" s="1"/>
      <c r="W50" s="1" t="s">
        <v>1459</v>
      </c>
      <c r="X50" s="1" t="s">
        <v>1560</v>
      </c>
      <c r="Y50" s="1" t="s">
        <v>1637</v>
      </c>
      <c r="Z50" s="1" t="s">
        <v>1638</v>
      </c>
      <c r="AA50">
        <v>169723754</v>
      </c>
      <c r="AB50" s="1" t="s">
        <v>1530</v>
      </c>
      <c r="AC50" s="1" t="s">
        <v>1637</v>
      </c>
      <c r="AD50" s="1" t="s">
        <v>1639</v>
      </c>
      <c r="AE50" s="1" t="s">
        <v>1640</v>
      </c>
      <c r="AF50">
        <v>169723756</v>
      </c>
      <c r="AG50" s="1" t="s">
        <v>1617</v>
      </c>
      <c r="AH50" s="1" t="s">
        <v>1689</v>
      </c>
      <c r="AI50" s="1" t="s">
        <v>1641</v>
      </c>
      <c r="AJ50" s="1" t="s">
        <v>1642</v>
      </c>
      <c r="AK50">
        <v>169723764</v>
      </c>
      <c r="AL50" s="1" t="s">
        <v>1658</v>
      </c>
      <c r="AM50" s="1" t="s">
        <v>1668</v>
      </c>
      <c r="AN50" s="1" t="s">
        <v>1643</v>
      </c>
      <c r="AO50" s="1" t="s">
        <v>1644</v>
      </c>
      <c r="AP50">
        <v>169723752</v>
      </c>
      <c r="AQ50" s="1" t="s">
        <v>1453</v>
      </c>
      <c r="AR50" s="1" t="s">
        <v>1466</v>
      </c>
      <c r="AS50" s="1" t="s">
        <v>1645</v>
      </c>
      <c r="AT50" s="1" t="s">
        <v>1646</v>
      </c>
      <c r="AU50">
        <v>169723757</v>
      </c>
      <c r="AV50" s="1" t="s">
        <v>1582</v>
      </c>
      <c r="AW50" s="1" t="s">
        <v>1695</v>
      </c>
      <c r="AX50" s="1" t="s">
        <v>1470</v>
      </c>
      <c r="AY50">
        <v>609519430</v>
      </c>
      <c r="AZ50" s="1" t="s">
        <v>1471</v>
      </c>
      <c r="BA50">
        <v>784179657</v>
      </c>
      <c r="BB50" s="1" t="s">
        <v>1647</v>
      </c>
      <c r="BC50" s="1" t="s">
        <v>1648</v>
      </c>
      <c r="BD50">
        <v>91</v>
      </c>
      <c r="BE50">
        <v>169723750</v>
      </c>
      <c r="BF50">
        <v>48.62548828125</v>
      </c>
      <c r="BG50">
        <v>2.3551864624023402</v>
      </c>
      <c r="BH50">
        <v>451647903</v>
      </c>
      <c r="BI50">
        <v>850</v>
      </c>
      <c r="BJ50" s="2">
        <v>39169</v>
      </c>
      <c r="BK50" s="1" t="s">
        <v>3304</v>
      </c>
      <c r="BL50" s="1" t="s">
        <v>290</v>
      </c>
      <c r="BM50" s="1" t="s">
        <v>291</v>
      </c>
      <c r="BN50" s="1" t="s">
        <v>292</v>
      </c>
      <c r="BO50" s="1" t="s">
        <v>291</v>
      </c>
      <c r="BP50" s="1" t="s">
        <v>293</v>
      </c>
      <c r="BQ50" s="1" t="s">
        <v>1093</v>
      </c>
      <c r="BR50">
        <v>85</v>
      </c>
      <c r="BS50">
        <v>30856434.600000001</v>
      </c>
      <c r="BT50" s="1" t="s">
        <v>295</v>
      </c>
      <c r="BU50" s="1" t="s">
        <v>555</v>
      </c>
      <c r="BV50">
        <v>431864</v>
      </c>
      <c r="BW50">
        <v>1.7311712980106794E-2</v>
      </c>
      <c r="BX50">
        <v>70.071800619766606</v>
      </c>
      <c r="BY50">
        <v>11.566745785806907</v>
      </c>
      <c r="BZ50">
        <v>4.974731874024747</v>
      </c>
      <c r="CA50">
        <v>86.613278279598248</v>
      </c>
      <c r="CB50" s="1" t="s">
        <v>476</v>
      </c>
      <c r="CC50">
        <v>1</v>
      </c>
      <c r="CD50" s="1" t="s">
        <v>361</v>
      </c>
      <c r="CE50" s="1" t="s">
        <v>402</v>
      </c>
      <c r="CF50">
        <v>1101</v>
      </c>
      <c r="CG50" s="1" t="s">
        <v>300</v>
      </c>
      <c r="CH50" s="1" t="s">
        <v>301</v>
      </c>
      <c r="CI50" s="1" t="s">
        <v>302</v>
      </c>
      <c r="CJ50" s="1" t="s">
        <v>301</v>
      </c>
      <c r="CK50" s="1" t="s">
        <v>302</v>
      </c>
      <c r="CL50" s="1" t="s">
        <v>303</v>
      </c>
      <c r="CM50">
        <v>3601651117009</v>
      </c>
      <c r="CO50" s="1"/>
      <c r="CP50" s="1" t="s">
        <v>444</v>
      </c>
      <c r="CQ50" s="1" t="s">
        <v>406</v>
      </c>
      <c r="CR50" s="1" t="s">
        <v>306</v>
      </c>
      <c r="CS50">
        <v>8715</v>
      </c>
      <c r="CT50">
        <v>5900</v>
      </c>
      <c r="CU50" t="s">
        <v>477</v>
      </c>
      <c r="CV50" s="1" t="s">
        <v>478</v>
      </c>
      <c r="CW50" s="1" t="s">
        <v>308</v>
      </c>
      <c r="CY50">
        <v>2810</v>
      </c>
      <c r="CZ50" t="s">
        <v>368</v>
      </c>
      <c r="DA50" s="1" t="s">
        <v>309</v>
      </c>
      <c r="DB50">
        <v>4299</v>
      </c>
      <c r="DC50">
        <v>2815</v>
      </c>
      <c r="DD50">
        <v>0</v>
      </c>
      <c r="DE50">
        <v>1484</v>
      </c>
      <c r="DF50">
        <v>0</v>
      </c>
      <c r="DG50">
        <v>2815</v>
      </c>
      <c r="DH50">
        <v>0</v>
      </c>
      <c r="DI50">
        <v>0</v>
      </c>
      <c r="DJ50">
        <v>0</v>
      </c>
      <c r="DK50" s="1" t="s">
        <v>409</v>
      </c>
      <c r="DL50" s="1" t="s">
        <v>741</v>
      </c>
      <c r="DN50" s="1"/>
      <c r="DO50">
        <v>1100</v>
      </c>
      <c r="DP50">
        <v>0</v>
      </c>
      <c r="DQ50">
        <v>1100</v>
      </c>
      <c r="DR50" s="1" t="s">
        <v>790</v>
      </c>
      <c r="DS50">
        <v>1217</v>
      </c>
      <c r="DT50">
        <v>144</v>
      </c>
      <c r="DU50">
        <v>278</v>
      </c>
      <c r="DV50">
        <v>384</v>
      </c>
      <c r="DW50" s="1" t="s">
        <v>371</v>
      </c>
      <c r="DX50">
        <v>20</v>
      </c>
      <c r="DY50">
        <v>2017</v>
      </c>
      <c r="DZ50">
        <v>2</v>
      </c>
      <c r="EA50">
        <v>2</v>
      </c>
      <c r="EB50">
        <v>14</v>
      </c>
      <c r="EC50">
        <v>3</v>
      </c>
      <c r="ED50">
        <v>2</v>
      </c>
      <c r="EE50">
        <v>1</v>
      </c>
      <c r="EF50">
        <v>22</v>
      </c>
      <c r="EG50">
        <v>2014</v>
      </c>
      <c r="EI50" s="1"/>
      <c r="EJ50" s="1" t="s">
        <v>313</v>
      </c>
      <c r="EK50" s="1" t="s">
        <v>314</v>
      </c>
      <c r="EL50">
        <v>31</v>
      </c>
      <c r="EM50">
        <v>27</v>
      </c>
      <c r="EN50">
        <v>17</v>
      </c>
      <c r="EO50" s="1" t="s">
        <v>315</v>
      </c>
      <c r="EP50">
        <v>18</v>
      </c>
      <c r="EQ50">
        <v>102.77610784903111</v>
      </c>
      <c r="ER50" s="1" t="s">
        <v>411</v>
      </c>
      <c r="ES50">
        <v>8.8117336056460971</v>
      </c>
      <c r="ET50">
        <v>0</v>
      </c>
      <c r="EU50" s="1"/>
      <c r="EV50">
        <v>56.74097620831926</v>
      </c>
      <c r="EW50">
        <v>2</v>
      </c>
      <c r="EX50" t="s">
        <v>316</v>
      </c>
      <c r="EY50">
        <v>2</v>
      </c>
      <c r="EZ50" s="1" t="s">
        <v>412</v>
      </c>
      <c r="FA50" s="2">
        <v>43101</v>
      </c>
      <c r="FB50" s="1" t="s">
        <v>1650</v>
      </c>
      <c r="FC50">
        <v>1</v>
      </c>
      <c r="FD50" s="1"/>
      <c r="FE50" s="2">
        <v>41640</v>
      </c>
      <c r="FF50" s="1"/>
      <c r="FG50" s="1" t="s">
        <v>319</v>
      </c>
      <c r="FH50" s="1" t="s">
        <v>322</v>
      </c>
      <c r="FI50" s="1" t="s">
        <v>322</v>
      </c>
      <c r="FJ50" s="1" t="s">
        <v>322</v>
      </c>
      <c r="FK50" s="1" t="s">
        <v>1096</v>
      </c>
      <c r="FL50">
        <v>19.27</v>
      </c>
      <c r="FM50">
        <v>10440.114973262032</v>
      </c>
      <c r="FN50" s="1" t="s">
        <v>321</v>
      </c>
      <c r="FO50" s="1" t="s">
        <v>322</v>
      </c>
      <c r="FP50" s="1" t="s">
        <v>323</v>
      </c>
      <c r="FQ50" s="1" t="s">
        <v>324</v>
      </c>
      <c r="FR50" s="1" t="s">
        <v>325</v>
      </c>
      <c r="FS50" s="1"/>
      <c r="FT50" s="1" t="s">
        <v>326</v>
      </c>
      <c r="FU50">
        <v>494198191</v>
      </c>
      <c r="FV50" s="1" t="s">
        <v>322</v>
      </c>
      <c r="FW50" s="1" t="s">
        <v>322</v>
      </c>
      <c r="FX50" s="1" t="s">
        <v>322</v>
      </c>
      <c r="FY50" s="1" t="s">
        <v>322</v>
      </c>
      <c r="FZ50" s="1" t="s">
        <v>322</v>
      </c>
      <c r="GA50" s="1" t="s">
        <v>322</v>
      </c>
      <c r="GB50" s="1" t="s">
        <v>322</v>
      </c>
      <c r="GC50" s="1" t="s">
        <v>322</v>
      </c>
      <c r="GD50" s="1" t="s">
        <v>322</v>
      </c>
      <c r="GE50" s="1" t="s">
        <v>322</v>
      </c>
      <c r="GF50" s="1" t="s">
        <v>415</v>
      </c>
      <c r="GG50" s="1"/>
      <c r="GH50" s="1" t="s">
        <v>319</v>
      </c>
      <c r="GI50" s="1" t="s">
        <v>1651</v>
      </c>
      <c r="GJ50" s="1" t="s">
        <v>322</v>
      </c>
      <c r="GK50" s="2">
        <v>41640</v>
      </c>
      <c r="GL50" s="1" t="s">
        <v>322</v>
      </c>
      <c r="GM50" s="1" t="s">
        <v>322</v>
      </c>
      <c r="GN50">
        <v>43011</v>
      </c>
      <c r="GO50" s="1" t="s">
        <v>322</v>
      </c>
      <c r="GP50">
        <v>43899</v>
      </c>
      <c r="GQ50" s="1" t="s">
        <v>1652</v>
      </c>
      <c r="GR50" s="1" t="s">
        <v>319</v>
      </c>
      <c r="GS50" s="1" t="s">
        <v>448</v>
      </c>
      <c r="GT50" s="1" t="s">
        <v>319</v>
      </c>
      <c r="GU50" s="1" t="s">
        <v>1653</v>
      </c>
      <c r="GV50" s="1" t="s">
        <v>319</v>
      </c>
      <c r="GW50" s="1" t="s">
        <v>319</v>
      </c>
      <c r="GX50" s="1" t="s">
        <v>319</v>
      </c>
      <c r="GY50" s="1" t="s">
        <v>319</v>
      </c>
      <c r="GZ50" s="1" t="s">
        <v>319</v>
      </c>
      <c r="HA50" s="2">
        <v>44074</v>
      </c>
      <c r="HB50" s="2">
        <v>42625</v>
      </c>
      <c r="HC50" s="1"/>
      <c r="HD50" s="1"/>
      <c r="HE50" s="1"/>
      <c r="HF50" s="1"/>
      <c r="HG50" s="1"/>
      <c r="HH50" s="1" t="s">
        <v>322</v>
      </c>
      <c r="HI50" s="1" t="s">
        <v>322</v>
      </c>
      <c r="HJ50" s="1" t="s">
        <v>794</v>
      </c>
      <c r="HK50" s="2">
        <v>42736</v>
      </c>
      <c r="HL50" s="1"/>
      <c r="HM50" s="1" t="s">
        <v>322</v>
      </c>
      <c r="HN50" s="1" t="s">
        <v>322</v>
      </c>
      <c r="HO50" s="1"/>
      <c r="HP50" s="1"/>
      <c r="HQ50" s="1"/>
      <c r="HR50" s="1"/>
      <c r="HS50" s="1"/>
      <c r="HT50" s="1"/>
      <c r="HU50" s="1" t="s">
        <v>331</v>
      </c>
      <c r="HV50">
        <v>4625089012</v>
      </c>
      <c r="HW50">
        <v>40638468</v>
      </c>
      <c r="HX50">
        <v>99102567745</v>
      </c>
      <c r="HY50" s="1" t="s">
        <v>1654</v>
      </c>
      <c r="HZ50">
        <v>4242194</v>
      </c>
      <c r="IA50">
        <v>4321317</v>
      </c>
      <c r="IB50" s="1" t="s">
        <v>1655</v>
      </c>
      <c r="IC50">
        <v>830016</v>
      </c>
      <c r="ID50" s="1" t="s">
        <v>1656</v>
      </c>
      <c r="IE50">
        <v>2.16</v>
      </c>
      <c r="IF50">
        <v>1.96</v>
      </c>
      <c r="IG50">
        <v>2.3199999999999998</v>
      </c>
      <c r="IH50">
        <v>2.86</v>
      </c>
      <c r="II50">
        <v>2.7</v>
      </c>
      <c r="IJ50">
        <v>1.7852127659574468</v>
      </c>
      <c r="IK50">
        <v>1.78</v>
      </c>
    </row>
    <row r="51" spans="1:245" x14ac:dyDescent="0.3">
      <c r="A51">
        <v>1930</v>
      </c>
      <c r="B51">
        <v>2432</v>
      </c>
      <c r="C51" s="1" t="s">
        <v>3388</v>
      </c>
      <c r="D51" s="1" t="s">
        <v>1074</v>
      </c>
      <c r="E51" t="s">
        <v>1247</v>
      </c>
      <c r="F51" s="1" t="s">
        <v>3300</v>
      </c>
      <c r="G51" s="1"/>
      <c r="I51" s="1"/>
      <c r="J51" s="1"/>
      <c r="M51" s="1"/>
      <c r="N51" s="1"/>
      <c r="P51" s="1"/>
      <c r="Q51" s="1"/>
      <c r="R51" s="1"/>
      <c r="S51" s="1"/>
      <c r="T51" s="1"/>
      <c r="V51" s="1"/>
      <c r="W51" s="1"/>
      <c r="X51" s="1"/>
      <c r="Y51" s="1"/>
      <c r="Z51" s="1"/>
      <c r="AB51" s="1"/>
      <c r="AC51" s="1"/>
      <c r="AD51" s="1"/>
      <c r="AE51" s="1"/>
      <c r="AG51" s="1"/>
      <c r="AH51" s="1"/>
      <c r="AI51" s="1"/>
      <c r="AJ51" s="1"/>
      <c r="AL51" s="1"/>
      <c r="AM51" s="1"/>
      <c r="AN51" s="1"/>
      <c r="AO51" s="1"/>
      <c r="AQ51" s="1"/>
      <c r="AR51" s="1"/>
      <c r="AS51" s="1"/>
      <c r="AT51" s="1"/>
      <c r="AV51" s="1"/>
      <c r="AW51" s="1"/>
      <c r="AX51" s="1"/>
      <c r="AZ51" s="1"/>
      <c r="BB51" s="1" t="s">
        <v>3389</v>
      </c>
      <c r="BC51" s="1" t="s">
        <v>3390</v>
      </c>
      <c r="BD51">
        <v>78</v>
      </c>
      <c r="BE51">
        <v>130905880</v>
      </c>
      <c r="BF51">
        <v>48.970813900000003</v>
      </c>
      <c r="BG51">
        <v>1.8638906999999501</v>
      </c>
      <c r="BH51">
        <v>451647903</v>
      </c>
      <c r="BI51">
        <v>1221</v>
      </c>
      <c r="BJ51" s="2">
        <v>41171</v>
      </c>
      <c r="BK51" s="1" t="s">
        <v>3391</v>
      </c>
      <c r="BL51" s="1" t="s">
        <v>290</v>
      </c>
      <c r="BM51" s="1" t="s">
        <v>291</v>
      </c>
      <c r="BN51" s="1" t="s">
        <v>292</v>
      </c>
      <c r="BO51" s="1" t="s">
        <v>291</v>
      </c>
      <c r="BP51" s="1" t="s">
        <v>293</v>
      </c>
      <c r="BQ51" s="1" t="s">
        <v>1247</v>
      </c>
      <c r="BR51">
        <v>75</v>
      </c>
      <c r="BS51">
        <v>0</v>
      </c>
      <c r="BT51" s="1" t="s">
        <v>295</v>
      </c>
      <c r="BU51" s="1" t="s">
        <v>3392</v>
      </c>
      <c r="BV51">
        <v>0</v>
      </c>
      <c r="BW51">
        <v>0</v>
      </c>
      <c r="BX51">
        <v>14.949957143799038</v>
      </c>
      <c r="BY51">
        <v>0</v>
      </c>
      <c r="BZ51">
        <v>0</v>
      </c>
      <c r="CA51">
        <v>14.949957143799038</v>
      </c>
      <c r="CB51" s="1" t="s">
        <v>443</v>
      </c>
      <c r="CC51">
        <v>1</v>
      </c>
      <c r="CD51" s="1" t="s">
        <v>361</v>
      </c>
      <c r="CE51" s="1" t="s">
        <v>402</v>
      </c>
      <c r="CG51" s="1"/>
      <c r="CH51" s="1"/>
      <c r="CI51" s="1"/>
      <c r="CJ51" s="1"/>
      <c r="CK51" s="1"/>
      <c r="CL51" s="1"/>
      <c r="CO51" s="1"/>
      <c r="CP51" s="1" t="s">
        <v>3393</v>
      </c>
      <c r="CQ51" s="1" t="s">
        <v>556</v>
      </c>
      <c r="CR51" s="1" t="s">
        <v>407</v>
      </c>
      <c r="CS51">
        <v>4962</v>
      </c>
      <c r="CT51">
        <v>2640</v>
      </c>
      <c r="CU51">
        <v>2500</v>
      </c>
      <c r="CV51" s="1" t="s">
        <v>584</v>
      </c>
      <c r="CW51" s="1" t="s">
        <v>308</v>
      </c>
      <c r="CY51">
        <v>2321</v>
      </c>
      <c r="CZ51" t="s">
        <v>368</v>
      </c>
      <c r="DA51" s="1" t="s">
        <v>309</v>
      </c>
      <c r="DB51">
        <v>2322</v>
      </c>
      <c r="DC51">
        <v>2322</v>
      </c>
      <c r="DG51">
        <v>2322</v>
      </c>
      <c r="DK51" s="1" t="s">
        <v>369</v>
      </c>
      <c r="DL51" s="1"/>
      <c r="DN51" s="1"/>
      <c r="DO51">
        <v>428</v>
      </c>
      <c r="DQ51">
        <v>428</v>
      </c>
      <c r="DR51" s="1"/>
      <c r="DS51">
        <v>223</v>
      </c>
      <c r="DT51">
        <v>38</v>
      </c>
      <c r="DU51">
        <v>273</v>
      </c>
      <c r="DV51">
        <v>341</v>
      </c>
      <c r="DW51" s="1" t="s">
        <v>371</v>
      </c>
      <c r="DX51">
        <v>17</v>
      </c>
      <c r="DY51">
        <v>2018</v>
      </c>
      <c r="DZ51">
        <v>2</v>
      </c>
      <c r="EA51">
        <v>2</v>
      </c>
      <c r="EB51">
        <v>6</v>
      </c>
      <c r="EC51">
        <v>2</v>
      </c>
      <c r="ED51">
        <v>0</v>
      </c>
      <c r="EF51">
        <v>10</v>
      </c>
      <c r="EG51">
        <v>2012</v>
      </c>
      <c r="EI51" s="1"/>
      <c r="EJ51" s="1" t="s">
        <v>313</v>
      </c>
      <c r="EK51" s="1" t="s">
        <v>314</v>
      </c>
      <c r="EL51">
        <v>28</v>
      </c>
      <c r="EM51">
        <v>22</v>
      </c>
      <c r="EN51">
        <v>12</v>
      </c>
      <c r="EO51" s="1" t="s">
        <v>315</v>
      </c>
      <c r="EQ51">
        <v>150.97907750798689</v>
      </c>
      <c r="ER51" s="1" t="s">
        <v>322</v>
      </c>
      <c r="ET51">
        <v>5</v>
      </c>
      <c r="EU51" s="1"/>
      <c r="EW51">
        <v>61</v>
      </c>
      <c r="EZ51" s="1" t="s">
        <v>412</v>
      </c>
      <c r="FA51" s="2">
        <v>43292</v>
      </c>
      <c r="FB51" s="1" t="s">
        <v>1892</v>
      </c>
      <c r="FC51">
        <v>1</v>
      </c>
      <c r="FD51" s="1"/>
      <c r="FE51" s="2">
        <v>42370</v>
      </c>
      <c r="FF51" s="1" t="s">
        <v>3394</v>
      </c>
      <c r="FG51" s="1" t="s">
        <v>322</v>
      </c>
      <c r="FH51" s="1" t="s">
        <v>322</v>
      </c>
      <c r="FI51" s="1" t="s">
        <v>322</v>
      </c>
      <c r="FJ51" s="1" t="s">
        <v>322</v>
      </c>
      <c r="FK51" s="1" t="s">
        <v>1096</v>
      </c>
      <c r="FL51">
        <v>19.27</v>
      </c>
      <c r="FM51">
        <v>7985.1358288770061</v>
      </c>
      <c r="FN51" s="1" t="s">
        <v>321</v>
      </c>
      <c r="FO51" s="1" t="s">
        <v>319</v>
      </c>
      <c r="FP51" s="1" t="s">
        <v>323</v>
      </c>
      <c r="FQ51" s="1" t="s">
        <v>324</v>
      </c>
      <c r="FR51" s="1" t="s">
        <v>325</v>
      </c>
      <c r="FS51" s="1"/>
      <c r="FT51" s="1" t="s">
        <v>666</v>
      </c>
      <c r="FV51" s="1" t="s">
        <v>322</v>
      </c>
      <c r="FW51" s="1" t="s">
        <v>322</v>
      </c>
      <c r="FX51" s="1" t="s">
        <v>322</v>
      </c>
      <c r="FY51" s="1" t="s">
        <v>319</v>
      </c>
      <c r="FZ51" s="1" t="s">
        <v>322</v>
      </c>
      <c r="GA51" s="1" t="s">
        <v>322</v>
      </c>
      <c r="GB51" s="1" t="s">
        <v>322</v>
      </c>
      <c r="GC51" s="1" t="s">
        <v>319</v>
      </c>
      <c r="GD51" s="1" t="s">
        <v>319</v>
      </c>
      <c r="GE51" s="1" t="s">
        <v>415</v>
      </c>
      <c r="GF51" s="1"/>
      <c r="GG51" s="1"/>
      <c r="GH51" s="1" t="s">
        <v>322</v>
      </c>
      <c r="GI51" s="1"/>
      <c r="GJ51" s="1" t="s">
        <v>322</v>
      </c>
      <c r="GK51" s="2">
        <v>2016</v>
      </c>
      <c r="GL51" s="1" t="s">
        <v>322</v>
      </c>
      <c r="GM51" s="1" t="s">
        <v>322</v>
      </c>
      <c r="GN51">
        <v>43011</v>
      </c>
      <c r="GO51" s="1" t="s">
        <v>319</v>
      </c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2"/>
      <c r="HB51" s="2">
        <v>42660</v>
      </c>
      <c r="HC51" s="1"/>
      <c r="HD51" s="1"/>
      <c r="HE51" s="1"/>
      <c r="HF51" s="1"/>
      <c r="HG51" s="1"/>
      <c r="HH51" s="1"/>
      <c r="HI51" s="1" t="s">
        <v>322</v>
      </c>
      <c r="HJ51" s="1"/>
      <c r="HK51" s="2"/>
      <c r="HL51" s="1"/>
      <c r="HM51" s="1" t="s">
        <v>322</v>
      </c>
      <c r="HN51" s="1" t="s">
        <v>322</v>
      </c>
      <c r="HO51" s="1"/>
      <c r="HP51" s="1"/>
      <c r="HQ51" s="1"/>
      <c r="HR51" s="1"/>
      <c r="HS51" s="1"/>
      <c r="HT51" s="1"/>
      <c r="HU51" s="1" t="s">
        <v>331</v>
      </c>
      <c r="HV51">
        <v>4633523016</v>
      </c>
      <c r="HW51">
        <v>40638474</v>
      </c>
      <c r="HX51">
        <v>99102567800</v>
      </c>
      <c r="HY51" s="1" t="s">
        <v>3395</v>
      </c>
      <c r="HZ51">
        <v>4320882</v>
      </c>
      <c r="IA51">
        <v>4321541</v>
      </c>
      <c r="IB51" s="1" t="s">
        <v>3396</v>
      </c>
      <c r="IC51">
        <v>830113</v>
      </c>
      <c r="ID51" s="1" t="s">
        <v>3397</v>
      </c>
      <c r="IE51">
        <v>2.2000000000000002</v>
      </c>
      <c r="IF51">
        <v>3.2</v>
      </c>
      <c r="IG51">
        <v>4.2</v>
      </c>
      <c r="IH51">
        <v>5.25</v>
      </c>
      <c r="II51">
        <v>6.54</v>
      </c>
      <c r="IJ51">
        <v>10.25</v>
      </c>
    </row>
    <row r="52" spans="1:245" x14ac:dyDescent="0.3">
      <c r="A52">
        <v>1738</v>
      </c>
      <c r="B52">
        <v>2355</v>
      </c>
      <c r="C52" s="1" t="s">
        <v>1275</v>
      </c>
      <c r="D52" s="1" t="s">
        <v>266</v>
      </c>
      <c r="E52" t="s">
        <v>3275</v>
      </c>
      <c r="F52" s="1" t="s">
        <v>1228</v>
      </c>
      <c r="G52" s="1" t="s">
        <v>1229</v>
      </c>
      <c r="H52">
        <v>624328593</v>
      </c>
      <c r="I52" s="1" t="s">
        <v>1276</v>
      </c>
      <c r="J52" s="1" t="s">
        <v>1277</v>
      </c>
      <c r="K52">
        <v>770016677</v>
      </c>
      <c r="L52">
        <v>43850</v>
      </c>
      <c r="M52" s="1" t="s">
        <v>524</v>
      </c>
      <c r="N52" s="1"/>
      <c r="P52" s="1"/>
      <c r="Q52" s="1" t="s">
        <v>1430</v>
      </c>
      <c r="R52" s="1" t="s">
        <v>1389</v>
      </c>
      <c r="S52" s="1" t="s">
        <v>1278</v>
      </c>
      <c r="T52" s="1" t="s">
        <v>1279</v>
      </c>
      <c r="U52">
        <v>387847936</v>
      </c>
      <c r="V52" s="1" t="s">
        <v>276</v>
      </c>
      <c r="W52" s="1" t="s">
        <v>1387</v>
      </c>
      <c r="X52" s="1" t="s">
        <v>1299</v>
      </c>
      <c r="Y52" s="1" t="s">
        <v>1280</v>
      </c>
      <c r="Z52" s="1" t="s">
        <v>1281</v>
      </c>
      <c r="AA52">
        <v>387847910</v>
      </c>
      <c r="AB52" s="1" t="s">
        <v>1255</v>
      </c>
      <c r="AC52" s="1" t="s">
        <v>1259</v>
      </c>
      <c r="AD52" s="1" t="s">
        <v>1282</v>
      </c>
      <c r="AE52" s="1" t="s">
        <v>1283</v>
      </c>
      <c r="AG52" s="1" t="s">
        <v>1297</v>
      </c>
      <c r="AH52" s="1" t="s">
        <v>1347</v>
      </c>
      <c r="AI52" s="1" t="s">
        <v>1284</v>
      </c>
      <c r="AJ52" s="1" t="s">
        <v>1285</v>
      </c>
      <c r="AK52">
        <v>387847932</v>
      </c>
      <c r="AL52" s="1" t="s">
        <v>1411</v>
      </c>
      <c r="AM52" s="1" t="s">
        <v>1417</v>
      </c>
      <c r="AN52" s="1" t="s">
        <v>1286</v>
      </c>
      <c r="AO52" s="1" t="s">
        <v>1287</v>
      </c>
      <c r="AP52">
        <v>387847912</v>
      </c>
      <c r="AQ52" s="1" t="s">
        <v>1320</v>
      </c>
      <c r="AR52" s="1" t="s">
        <v>1265</v>
      </c>
      <c r="AS52" s="1" t="s">
        <v>1286</v>
      </c>
      <c r="AT52" s="1" t="s">
        <v>1287</v>
      </c>
      <c r="AU52">
        <v>387847912</v>
      </c>
      <c r="AV52" s="1" t="s">
        <v>1320</v>
      </c>
      <c r="AW52" s="1" t="s">
        <v>1443</v>
      </c>
      <c r="AX52" s="1" t="s">
        <v>1241</v>
      </c>
      <c r="AY52">
        <v>646374586</v>
      </c>
      <c r="AZ52" s="1" t="s">
        <v>1242</v>
      </c>
      <c r="BB52" s="1" t="s">
        <v>1288</v>
      </c>
      <c r="BC52" s="1" t="s">
        <v>1289</v>
      </c>
      <c r="BD52">
        <v>57</v>
      </c>
      <c r="BE52">
        <v>387847910</v>
      </c>
      <c r="BF52">
        <v>49.178466796875</v>
      </c>
      <c r="BG52">
        <v>6.8770904541015598</v>
      </c>
      <c r="BH52">
        <v>451647903</v>
      </c>
      <c r="BI52">
        <v>264</v>
      </c>
      <c r="BJ52" s="2">
        <v>36740</v>
      </c>
      <c r="BK52" s="1" t="s">
        <v>2093</v>
      </c>
      <c r="BL52" s="1" t="s">
        <v>290</v>
      </c>
      <c r="BM52" s="1" t="s">
        <v>291</v>
      </c>
      <c r="BN52" s="1" t="s">
        <v>292</v>
      </c>
      <c r="BO52" s="1" t="s">
        <v>291</v>
      </c>
      <c r="BP52" s="1" t="s">
        <v>293</v>
      </c>
      <c r="BQ52" s="1" t="s">
        <v>1247</v>
      </c>
      <c r="BR52">
        <v>75</v>
      </c>
      <c r="BS52">
        <v>17137220</v>
      </c>
      <c r="BT52" s="1" t="s">
        <v>295</v>
      </c>
      <c r="BU52" s="1" t="s">
        <v>663</v>
      </c>
      <c r="BV52">
        <v>311250</v>
      </c>
      <c r="BW52">
        <v>7.4804548046915331E-3</v>
      </c>
      <c r="BX52">
        <v>43.428562009626198</v>
      </c>
      <c r="BY52">
        <v>0.80952066987538751</v>
      </c>
      <c r="BZ52">
        <v>7.1318179820223735</v>
      </c>
      <c r="CA52">
        <v>51.369900661523964</v>
      </c>
      <c r="CB52" s="1" t="s">
        <v>297</v>
      </c>
      <c r="CC52">
        <v>1</v>
      </c>
      <c r="CD52" s="1" t="s">
        <v>298</v>
      </c>
      <c r="CE52" s="1" t="s">
        <v>504</v>
      </c>
      <c r="CF52">
        <v>1101</v>
      </c>
      <c r="CG52" s="1" t="s">
        <v>300</v>
      </c>
      <c r="CH52" s="1" t="s">
        <v>972</v>
      </c>
      <c r="CI52" s="1" t="s">
        <v>973</v>
      </c>
      <c r="CJ52" s="1" t="s">
        <v>972</v>
      </c>
      <c r="CK52" s="1" t="s">
        <v>302</v>
      </c>
      <c r="CL52" s="1" t="s">
        <v>974</v>
      </c>
      <c r="CM52">
        <v>3020409000020</v>
      </c>
      <c r="CO52" s="1"/>
      <c r="CP52" s="1" t="s">
        <v>444</v>
      </c>
      <c r="CQ52" s="1" t="s">
        <v>305</v>
      </c>
      <c r="CR52" s="1" t="s">
        <v>306</v>
      </c>
      <c r="CS52">
        <v>5990</v>
      </c>
      <c r="CT52">
        <v>3688</v>
      </c>
      <c r="CU52">
        <v>3700</v>
      </c>
      <c r="CV52" s="1" t="s">
        <v>307</v>
      </c>
      <c r="CW52" s="1" t="s">
        <v>308</v>
      </c>
      <c r="CY52">
        <v>2302</v>
      </c>
      <c r="CZ52" t="s">
        <v>368</v>
      </c>
      <c r="DA52" s="1" t="s">
        <v>309</v>
      </c>
      <c r="DB52">
        <v>2302</v>
      </c>
      <c r="DC52">
        <v>2302</v>
      </c>
      <c r="DD52">
        <v>0</v>
      </c>
      <c r="DE52">
        <v>0</v>
      </c>
      <c r="DF52">
        <v>812</v>
      </c>
      <c r="DG52">
        <v>1490</v>
      </c>
      <c r="DH52">
        <v>0</v>
      </c>
      <c r="DI52">
        <v>0</v>
      </c>
      <c r="DJ52">
        <v>0</v>
      </c>
      <c r="DK52" s="1" t="s">
        <v>369</v>
      </c>
      <c r="DL52" s="1" t="s">
        <v>741</v>
      </c>
      <c r="DN52" s="1"/>
      <c r="DO52">
        <v>968</v>
      </c>
      <c r="DP52">
        <v>0</v>
      </c>
      <c r="DQ52">
        <v>968</v>
      </c>
      <c r="DR52" s="1"/>
      <c r="DS52">
        <v>500</v>
      </c>
      <c r="DT52">
        <v>96</v>
      </c>
      <c r="DU52">
        <v>170</v>
      </c>
      <c r="DV52">
        <v>284</v>
      </c>
      <c r="DW52" s="1" t="s">
        <v>558</v>
      </c>
      <c r="DX52">
        <v>12</v>
      </c>
      <c r="DZ52">
        <v>2</v>
      </c>
      <c r="EA52">
        <v>1</v>
      </c>
      <c r="EB52">
        <v>9</v>
      </c>
      <c r="EC52">
        <v>2</v>
      </c>
      <c r="ED52">
        <v>0</v>
      </c>
      <c r="EE52">
        <v>0</v>
      </c>
      <c r="EF52">
        <v>12</v>
      </c>
      <c r="EG52">
        <v>2010</v>
      </c>
      <c r="EI52" s="1"/>
      <c r="EJ52" s="1" t="s">
        <v>313</v>
      </c>
      <c r="EK52" s="1" t="s">
        <v>314</v>
      </c>
      <c r="EL52">
        <v>23</v>
      </c>
      <c r="EM52">
        <v>21</v>
      </c>
      <c r="EN52">
        <v>12</v>
      </c>
      <c r="EO52" s="1" t="s">
        <v>1290</v>
      </c>
      <c r="EP52">
        <v>21</v>
      </c>
      <c r="EQ52">
        <v>87.678687843085385</v>
      </c>
      <c r="ER52" s="1" t="s">
        <v>316</v>
      </c>
      <c r="ES52">
        <v>3.9682164756568818</v>
      </c>
      <c r="ET52">
        <v>0</v>
      </c>
      <c r="EU52" s="1"/>
      <c r="EV52">
        <v>77.569183964626177</v>
      </c>
      <c r="EW52">
        <v>2</v>
      </c>
      <c r="EX52" t="s">
        <v>316</v>
      </c>
      <c r="EY52">
        <v>2</v>
      </c>
      <c r="EZ52" s="1" t="s">
        <v>317</v>
      </c>
      <c r="FA52" s="2"/>
      <c r="FB52" s="1" t="s">
        <v>318</v>
      </c>
      <c r="FC52">
        <v>1</v>
      </c>
      <c r="FD52" s="1"/>
      <c r="FE52" s="2"/>
      <c r="FF52" s="1"/>
      <c r="FG52" s="1" t="s">
        <v>319</v>
      </c>
      <c r="FH52" s="1" t="s">
        <v>319</v>
      </c>
      <c r="FI52" s="1" t="s">
        <v>319</v>
      </c>
      <c r="FJ52" s="1" t="s">
        <v>319</v>
      </c>
      <c r="FK52" s="1" t="s">
        <v>320</v>
      </c>
      <c r="FL52">
        <v>18.920000000000002</v>
      </c>
      <c r="FM52">
        <v>3618.4732175171916</v>
      </c>
      <c r="FN52" s="1" t="s">
        <v>321</v>
      </c>
      <c r="FO52" s="1" t="s">
        <v>322</v>
      </c>
      <c r="FP52" s="1" t="s">
        <v>323</v>
      </c>
      <c r="FQ52" s="1" t="s">
        <v>559</v>
      </c>
      <c r="FR52" s="1" t="s">
        <v>325</v>
      </c>
      <c r="FS52" s="1"/>
      <c r="FT52" s="1" t="s">
        <v>326</v>
      </c>
      <c r="FU52">
        <v>494198191</v>
      </c>
      <c r="FV52" s="1" t="s">
        <v>319</v>
      </c>
      <c r="FW52" s="1" t="s">
        <v>322</v>
      </c>
      <c r="FX52" s="1" t="s">
        <v>322</v>
      </c>
      <c r="FY52" s="1" t="s">
        <v>322</v>
      </c>
      <c r="FZ52" s="1" t="s">
        <v>322</v>
      </c>
      <c r="GA52" s="1" t="s">
        <v>322</v>
      </c>
      <c r="GB52" s="1" t="s">
        <v>319</v>
      </c>
      <c r="GC52" s="1" t="s">
        <v>322</v>
      </c>
      <c r="GD52" s="1" t="s">
        <v>322</v>
      </c>
      <c r="GE52" s="1" t="s">
        <v>319</v>
      </c>
      <c r="GF52" s="1" t="s">
        <v>327</v>
      </c>
      <c r="GG52" s="1"/>
      <c r="GH52" s="1" t="s">
        <v>322</v>
      </c>
      <c r="GI52" s="1"/>
      <c r="GJ52" s="1" t="s">
        <v>322</v>
      </c>
      <c r="GK52" s="2">
        <v>42005</v>
      </c>
      <c r="GL52" s="1" t="s">
        <v>322</v>
      </c>
      <c r="GM52" s="1" t="s">
        <v>322</v>
      </c>
      <c r="GN52">
        <v>43235</v>
      </c>
      <c r="GO52" s="1" t="s">
        <v>322</v>
      </c>
      <c r="GQ52" s="1" t="s">
        <v>1291</v>
      </c>
      <c r="GR52" s="1" t="s">
        <v>322</v>
      </c>
      <c r="GS52" s="1" t="s">
        <v>448</v>
      </c>
      <c r="GT52" s="1" t="s">
        <v>322</v>
      </c>
      <c r="GU52" s="1" t="s">
        <v>1292</v>
      </c>
      <c r="GV52" s="1" t="s">
        <v>322</v>
      </c>
      <c r="GW52" s="1" t="s">
        <v>322</v>
      </c>
      <c r="GX52" s="1" t="s">
        <v>322</v>
      </c>
      <c r="GY52" s="1" t="s">
        <v>319</v>
      </c>
      <c r="GZ52" s="1" t="s">
        <v>319</v>
      </c>
      <c r="HA52" s="2">
        <v>44064</v>
      </c>
      <c r="HB52" s="2">
        <v>42667</v>
      </c>
      <c r="HC52" s="1"/>
      <c r="HD52" s="1" t="s">
        <v>322</v>
      </c>
      <c r="HE52" s="1"/>
      <c r="HF52" s="1"/>
      <c r="HG52" s="1"/>
      <c r="HH52" s="1"/>
      <c r="HI52" s="1" t="s">
        <v>319</v>
      </c>
      <c r="HJ52" s="1" t="s">
        <v>1122</v>
      </c>
      <c r="HK52" s="2">
        <v>43101</v>
      </c>
      <c r="HL52" s="1"/>
      <c r="HM52" s="1" t="s">
        <v>322</v>
      </c>
      <c r="HN52" s="1" t="s">
        <v>322</v>
      </c>
      <c r="HO52" s="1" t="s">
        <v>322</v>
      </c>
      <c r="HP52" s="1"/>
      <c r="HQ52" s="1"/>
      <c r="HR52" s="1"/>
      <c r="HS52" s="1"/>
      <c r="HT52" s="1"/>
      <c r="HU52" s="1" t="s">
        <v>331</v>
      </c>
      <c r="HV52">
        <v>4622006013</v>
      </c>
      <c r="HW52">
        <v>40638327</v>
      </c>
      <c r="HX52">
        <v>99102566521</v>
      </c>
      <c r="HY52" s="1" t="s">
        <v>1293</v>
      </c>
      <c r="HZ52">
        <v>4320753</v>
      </c>
      <c r="IA52">
        <v>4321054</v>
      </c>
      <c r="IB52" s="1" t="s">
        <v>1294</v>
      </c>
      <c r="IC52">
        <v>830140</v>
      </c>
      <c r="ID52" s="1" t="s">
        <v>1295</v>
      </c>
      <c r="IE52">
        <v>3.54</v>
      </c>
      <c r="IF52">
        <v>3.51</v>
      </c>
      <c r="IG52">
        <v>4.1399999999999997</v>
      </c>
      <c r="IH52">
        <v>4.6500000000000004</v>
      </c>
      <c r="II52">
        <v>4.16</v>
      </c>
      <c r="IJ52">
        <v>2.4900000000000002</v>
      </c>
      <c r="IK52">
        <v>2.4900000000000002</v>
      </c>
    </row>
    <row r="53" spans="1:245" x14ac:dyDescent="0.3">
      <c r="A53">
        <v>1751</v>
      </c>
      <c r="B53">
        <v>2366</v>
      </c>
      <c r="C53" s="1" t="s">
        <v>1483</v>
      </c>
      <c r="D53" s="1" t="s">
        <v>1074</v>
      </c>
      <c r="E53" t="s">
        <v>3275</v>
      </c>
      <c r="F53" s="1" t="s">
        <v>3300</v>
      </c>
      <c r="G53" s="1" t="s">
        <v>1452</v>
      </c>
      <c r="H53">
        <v>625291561</v>
      </c>
      <c r="I53" s="1" t="s">
        <v>1484</v>
      </c>
      <c r="J53" s="1" t="s">
        <v>1485</v>
      </c>
      <c r="K53">
        <v>620111199</v>
      </c>
      <c r="L53">
        <v>44095</v>
      </c>
      <c r="M53" s="1" t="s">
        <v>1486</v>
      </c>
      <c r="N53" s="1" t="s">
        <v>1487</v>
      </c>
      <c r="O53">
        <v>130111268</v>
      </c>
      <c r="P53" s="1" t="s">
        <v>273</v>
      </c>
      <c r="Q53" s="1" t="s">
        <v>1683</v>
      </c>
      <c r="R53" s="1" t="s">
        <v>1685</v>
      </c>
      <c r="S53" s="1" t="s">
        <v>1488</v>
      </c>
      <c r="T53" s="1" t="s">
        <v>1489</v>
      </c>
      <c r="U53">
        <v>130111287</v>
      </c>
      <c r="V53" s="1" t="s">
        <v>276</v>
      </c>
      <c r="W53" s="1" t="s">
        <v>1459</v>
      </c>
      <c r="X53" s="1" t="s">
        <v>1560</v>
      </c>
      <c r="Y53" s="1" t="s">
        <v>1490</v>
      </c>
      <c r="Z53" s="1" t="s">
        <v>1491</v>
      </c>
      <c r="AA53">
        <v>130111266</v>
      </c>
      <c r="AB53" s="1" t="s">
        <v>1530</v>
      </c>
      <c r="AC53" s="1" t="s">
        <v>1637</v>
      </c>
      <c r="AD53" s="1" t="s">
        <v>1492</v>
      </c>
      <c r="AE53" s="1" t="s">
        <v>1493</v>
      </c>
      <c r="AF53">
        <v>130111265</v>
      </c>
      <c r="AG53" s="1" t="s">
        <v>1617</v>
      </c>
      <c r="AH53" s="1" t="s">
        <v>1689</v>
      </c>
      <c r="AI53" s="1" t="s">
        <v>1494</v>
      </c>
      <c r="AJ53" s="1" t="s">
        <v>1495</v>
      </c>
      <c r="AK53">
        <v>130111264</v>
      </c>
      <c r="AL53" s="1" t="s">
        <v>1658</v>
      </c>
      <c r="AM53" s="1" t="s">
        <v>1668</v>
      </c>
      <c r="AN53" s="1" t="s">
        <v>1496</v>
      </c>
      <c r="AO53" s="1" t="s">
        <v>1497</v>
      </c>
      <c r="AP53">
        <v>130111262</v>
      </c>
      <c r="AQ53" s="1" t="s">
        <v>1453</v>
      </c>
      <c r="AR53" s="1" t="s">
        <v>1466</v>
      </c>
      <c r="AS53" s="1" t="s">
        <v>1498</v>
      </c>
      <c r="AT53" s="1" t="s">
        <v>1499</v>
      </c>
      <c r="AU53">
        <v>130111263</v>
      </c>
      <c r="AV53" s="1" t="s">
        <v>1582</v>
      </c>
      <c r="AW53" s="1" t="s">
        <v>1695</v>
      </c>
      <c r="AX53" s="1" t="s">
        <v>1470</v>
      </c>
      <c r="AY53">
        <v>609519424</v>
      </c>
      <c r="AZ53" s="1" t="s">
        <v>1471</v>
      </c>
      <c r="BA53">
        <v>784179651</v>
      </c>
      <c r="BB53" s="1" t="s">
        <v>1500</v>
      </c>
      <c r="BC53" s="1" t="s">
        <v>1501</v>
      </c>
      <c r="BD53">
        <v>95</v>
      </c>
      <c r="BE53">
        <v>130111260</v>
      </c>
      <c r="BF53">
        <v>48.9737548828125</v>
      </c>
      <c r="BG53">
        <v>2.4195175170898402</v>
      </c>
      <c r="BH53">
        <v>451647903</v>
      </c>
      <c r="BI53">
        <v>447</v>
      </c>
      <c r="BJ53" s="2">
        <v>37239</v>
      </c>
      <c r="BK53" s="1" t="s">
        <v>3301</v>
      </c>
      <c r="BL53" s="1" t="s">
        <v>290</v>
      </c>
      <c r="BM53" s="1" t="s">
        <v>291</v>
      </c>
      <c r="BN53" s="1" t="s">
        <v>292</v>
      </c>
      <c r="BO53" s="1" t="s">
        <v>1502</v>
      </c>
      <c r="BP53" s="1" t="s">
        <v>293</v>
      </c>
      <c r="BQ53" s="1" t="s">
        <v>1093</v>
      </c>
      <c r="BR53">
        <v>88</v>
      </c>
      <c r="BS53">
        <v>37362900.109999999</v>
      </c>
      <c r="BT53" s="1" t="s">
        <v>295</v>
      </c>
      <c r="BU53" s="1" t="s">
        <v>401</v>
      </c>
      <c r="BV53">
        <v>569994</v>
      </c>
      <c r="BW53">
        <v>1.5473485693390857E-2</v>
      </c>
      <c r="BX53">
        <v>93.714379903738404</v>
      </c>
      <c r="BY53">
        <v>13.021417111711814</v>
      </c>
      <c r="BZ53">
        <v>0.86970286367332594</v>
      </c>
      <c r="CA53">
        <v>107.60549987912354</v>
      </c>
      <c r="CB53" s="1" t="s">
        <v>297</v>
      </c>
      <c r="CC53">
        <v>1</v>
      </c>
      <c r="CD53" s="1" t="s">
        <v>361</v>
      </c>
      <c r="CE53" s="1" t="s">
        <v>402</v>
      </c>
      <c r="CF53">
        <v>1101</v>
      </c>
      <c r="CG53" s="1" t="s">
        <v>300</v>
      </c>
      <c r="CH53" s="1" t="s">
        <v>301</v>
      </c>
      <c r="CI53" s="1" t="s">
        <v>302</v>
      </c>
      <c r="CJ53" s="1" t="s">
        <v>301</v>
      </c>
      <c r="CK53" s="1" t="s">
        <v>302</v>
      </c>
      <c r="CL53" s="1" t="s">
        <v>303</v>
      </c>
      <c r="CM53">
        <v>3601651117009</v>
      </c>
      <c r="CO53" s="1"/>
      <c r="CP53" s="1" t="s">
        <v>444</v>
      </c>
      <c r="CQ53" s="1" t="s">
        <v>556</v>
      </c>
      <c r="CR53" s="1" t="s">
        <v>505</v>
      </c>
      <c r="CS53">
        <v>7009</v>
      </c>
      <c r="CT53">
        <v>4000</v>
      </c>
      <c r="CU53">
        <v>3700</v>
      </c>
      <c r="CV53" s="1" t="s">
        <v>307</v>
      </c>
      <c r="CW53" s="1" t="s">
        <v>308</v>
      </c>
      <c r="CY53">
        <v>3701</v>
      </c>
      <c r="CZ53">
        <v>3500</v>
      </c>
      <c r="DA53" s="1" t="s">
        <v>307</v>
      </c>
      <c r="DB53">
        <v>3009</v>
      </c>
      <c r="DC53">
        <v>3009</v>
      </c>
      <c r="DD53">
        <v>0</v>
      </c>
      <c r="DE53">
        <v>0</v>
      </c>
      <c r="DF53">
        <v>0</v>
      </c>
      <c r="DG53">
        <v>3009</v>
      </c>
      <c r="DH53">
        <v>0</v>
      </c>
      <c r="DI53">
        <v>0</v>
      </c>
      <c r="DJ53">
        <v>0</v>
      </c>
      <c r="DK53" s="1" t="s">
        <v>369</v>
      </c>
      <c r="DL53" s="1" t="s">
        <v>311</v>
      </c>
      <c r="DN53" s="1"/>
      <c r="DO53">
        <v>600</v>
      </c>
      <c r="DP53">
        <v>0</v>
      </c>
      <c r="DQ53">
        <v>600</v>
      </c>
      <c r="DR53" s="1"/>
      <c r="DS53">
        <v>664</v>
      </c>
      <c r="DT53">
        <v>100</v>
      </c>
      <c r="DU53">
        <v>231</v>
      </c>
      <c r="DV53" t="s">
        <v>556</v>
      </c>
      <c r="DW53" s="1" t="s">
        <v>371</v>
      </c>
      <c r="DX53">
        <v>21</v>
      </c>
      <c r="DZ53">
        <v>2</v>
      </c>
      <c r="EA53">
        <v>2</v>
      </c>
      <c r="EB53">
        <v>14</v>
      </c>
      <c r="EC53">
        <v>4</v>
      </c>
      <c r="ED53">
        <v>0</v>
      </c>
      <c r="EE53">
        <v>0</v>
      </c>
      <c r="EF53">
        <v>20</v>
      </c>
      <c r="EG53">
        <v>2010</v>
      </c>
      <c r="EI53" s="1"/>
      <c r="EJ53" s="1" t="s">
        <v>313</v>
      </c>
      <c r="EK53" s="1" t="s">
        <v>314</v>
      </c>
      <c r="EL53">
        <v>46</v>
      </c>
      <c r="EM53">
        <v>32</v>
      </c>
      <c r="EN53">
        <v>12</v>
      </c>
      <c r="EO53" s="1" t="s">
        <v>315</v>
      </c>
      <c r="EP53">
        <v>15</v>
      </c>
      <c r="EQ53">
        <v>122.19226394211172</v>
      </c>
      <c r="ER53" s="1" t="s">
        <v>411</v>
      </c>
      <c r="ES53">
        <v>8.2712139583983522</v>
      </c>
      <c r="ET53">
        <v>0</v>
      </c>
      <c r="EU53" s="1"/>
      <c r="EV53">
        <v>54.91403906400555</v>
      </c>
      <c r="EW53">
        <v>0</v>
      </c>
      <c r="EX53" t="s">
        <v>316</v>
      </c>
      <c r="EY53">
        <v>0</v>
      </c>
      <c r="EZ53" s="1" t="s">
        <v>412</v>
      </c>
      <c r="FA53" s="2"/>
      <c r="FB53" s="1" t="s">
        <v>818</v>
      </c>
      <c r="FC53">
        <v>1</v>
      </c>
      <c r="FD53" s="1"/>
      <c r="FE53" s="2">
        <v>42370</v>
      </c>
      <c r="FF53" s="1" t="s">
        <v>1503</v>
      </c>
      <c r="FG53" s="1" t="s">
        <v>322</v>
      </c>
      <c r="FH53" s="1" t="s">
        <v>322</v>
      </c>
      <c r="FI53" s="1" t="s">
        <v>322</v>
      </c>
      <c r="FJ53" s="1" t="s">
        <v>319</v>
      </c>
      <c r="FK53" s="1" t="s">
        <v>1096</v>
      </c>
      <c r="FL53">
        <v>19.27</v>
      </c>
      <c r="FM53">
        <v>14430.616221033864</v>
      </c>
      <c r="FN53" s="1" t="s">
        <v>1504</v>
      </c>
      <c r="FO53" s="1" t="s">
        <v>322</v>
      </c>
      <c r="FP53" s="1" t="s">
        <v>323</v>
      </c>
      <c r="FQ53" s="1" t="s">
        <v>559</v>
      </c>
      <c r="FR53" s="1" t="s">
        <v>325</v>
      </c>
      <c r="FS53" s="1"/>
      <c r="FT53" s="1" t="s">
        <v>326</v>
      </c>
      <c r="FU53">
        <v>494198191</v>
      </c>
      <c r="FV53" s="1" t="s">
        <v>322</v>
      </c>
      <c r="FW53" s="1" t="s">
        <v>322</v>
      </c>
      <c r="FX53" s="1" t="s">
        <v>322</v>
      </c>
      <c r="FY53" s="1" t="s">
        <v>322</v>
      </c>
      <c r="FZ53" s="1" t="s">
        <v>322</v>
      </c>
      <c r="GA53" s="1" t="s">
        <v>322</v>
      </c>
      <c r="GB53" s="1" t="s">
        <v>322</v>
      </c>
      <c r="GC53" s="1" t="s">
        <v>322</v>
      </c>
      <c r="GD53" s="1" t="s">
        <v>319</v>
      </c>
      <c r="GE53" s="1" t="s">
        <v>319</v>
      </c>
      <c r="GF53" s="1" t="s">
        <v>415</v>
      </c>
      <c r="GG53" s="1"/>
      <c r="GH53" s="1" t="s">
        <v>319</v>
      </c>
      <c r="GI53" s="1" t="s">
        <v>484</v>
      </c>
      <c r="GJ53" s="1" t="s">
        <v>322</v>
      </c>
      <c r="GK53" s="2">
        <v>42370</v>
      </c>
      <c r="GL53" s="1" t="s">
        <v>322</v>
      </c>
      <c r="GM53" s="1" t="s">
        <v>322</v>
      </c>
      <c r="GN53">
        <v>43116</v>
      </c>
      <c r="GO53" s="1" t="s">
        <v>322</v>
      </c>
      <c r="GP53">
        <v>43891</v>
      </c>
      <c r="GQ53" s="1" t="s">
        <v>1505</v>
      </c>
      <c r="GR53" s="1" t="s">
        <v>319</v>
      </c>
      <c r="GS53" s="1"/>
      <c r="GT53" s="1" t="s">
        <v>319</v>
      </c>
      <c r="GU53" s="1" t="s">
        <v>319</v>
      </c>
      <c r="GV53" s="1" t="s">
        <v>319</v>
      </c>
      <c r="GW53" s="1" t="s">
        <v>319</v>
      </c>
      <c r="GX53" s="1" t="s">
        <v>319</v>
      </c>
      <c r="GY53" s="1" t="s">
        <v>319</v>
      </c>
      <c r="GZ53" s="1" t="s">
        <v>319</v>
      </c>
      <c r="HA53" s="2">
        <v>44064</v>
      </c>
      <c r="HB53" s="2">
        <v>42660</v>
      </c>
      <c r="HC53" s="1"/>
      <c r="HD53" s="1"/>
      <c r="HE53" s="1"/>
      <c r="HF53" s="1"/>
      <c r="HG53" s="1"/>
      <c r="HH53" s="1"/>
      <c r="HI53" s="1" t="s">
        <v>319</v>
      </c>
      <c r="HJ53" s="1" t="s">
        <v>330</v>
      </c>
      <c r="HK53" s="2"/>
      <c r="HL53" s="1"/>
      <c r="HM53" s="1" t="s">
        <v>322</v>
      </c>
      <c r="HN53" s="1" t="s">
        <v>322</v>
      </c>
      <c r="HO53" s="1"/>
      <c r="HP53" s="1"/>
      <c r="HQ53" s="1"/>
      <c r="HR53" s="1"/>
      <c r="HS53" s="1"/>
      <c r="HT53" s="1"/>
      <c r="HU53" s="1" t="s">
        <v>331</v>
      </c>
      <c r="HV53">
        <v>4622020013</v>
      </c>
      <c r="HW53">
        <v>40638400</v>
      </c>
      <c r="HX53">
        <v>99102567630</v>
      </c>
      <c r="HY53" s="1" t="s">
        <v>1506</v>
      </c>
      <c r="HZ53">
        <v>4320758</v>
      </c>
      <c r="IA53">
        <v>4321073</v>
      </c>
      <c r="IB53" s="1" t="s">
        <v>1507</v>
      </c>
      <c r="IC53">
        <v>830124</v>
      </c>
      <c r="ID53" s="1" t="s">
        <v>1508</v>
      </c>
      <c r="IE53">
        <v>4.8</v>
      </c>
      <c r="IF53">
        <v>6</v>
      </c>
      <c r="IG53">
        <v>7.26</v>
      </c>
      <c r="IH53">
        <v>8.36</v>
      </c>
      <c r="II53">
        <v>9.4</v>
      </c>
      <c r="IJ53">
        <v>7.04</v>
      </c>
      <c r="IK53">
        <v>7.04</v>
      </c>
    </row>
    <row r="54" spans="1:245" x14ac:dyDescent="0.3">
      <c r="A54">
        <v>1914</v>
      </c>
      <c r="B54">
        <v>2422</v>
      </c>
      <c r="C54" s="1" t="s">
        <v>1296</v>
      </c>
      <c r="D54" s="1" t="s">
        <v>266</v>
      </c>
      <c r="E54" t="s">
        <v>3275</v>
      </c>
      <c r="F54" s="1" t="s">
        <v>1228</v>
      </c>
      <c r="G54" s="1" t="s">
        <v>1229</v>
      </c>
      <c r="H54">
        <v>624328593</v>
      </c>
      <c r="I54" s="1" t="s">
        <v>1297</v>
      </c>
      <c r="J54" s="1" t="s">
        <v>1298</v>
      </c>
      <c r="K54">
        <v>616024915</v>
      </c>
      <c r="L54">
        <v>44592</v>
      </c>
      <c r="M54" s="1" t="s">
        <v>1299</v>
      </c>
      <c r="N54" s="1" t="s">
        <v>1300</v>
      </c>
      <c r="O54">
        <v>612438640</v>
      </c>
      <c r="P54" s="1" t="s">
        <v>884</v>
      </c>
      <c r="Q54" s="1" t="s">
        <v>1430</v>
      </c>
      <c r="R54" s="1" t="s">
        <v>1389</v>
      </c>
      <c r="S54" s="1" t="s">
        <v>1299</v>
      </c>
      <c r="T54" s="1" t="s">
        <v>1300</v>
      </c>
      <c r="U54">
        <v>612438640</v>
      </c>
      <c r="V54" s="1" t="s">
        <v>754</v>
      </c>
      <c r="W54" s="1" t="s">
        <v>1387</v>
      </c>
      <c r="X54" s="1" t="s">
        <v>1299</v>
      </c>
      <c r="Y54" s="1" t="s">
        <v>1301</v>
      </c>
      <c r="Z54" s="1" t="s">
        <v>1302</v>
      </c>
      <c r="AB54" s="1" t="s">
        <v>1255</v>
      </c>
      <c r="AC54" s="1" t="s">
        <v>1259</v>
      </c>
      <c r="AD54" s="1" t="s">
        <v>1303</v>
      </c>
      <c r="AE54" s="1" t="s">
        <v>1304</v>
      </c>
      <c r="AF54">
        <v>388050256</v>
      </c>
      <c r="AG54" s="1" t="s">
        <v>1297</v>
      </c>
      <c r="AH54" s="1" t="s">
        <v>1347</v>
      </c>
      <c r="AI54" s="1" t="s">
        <v>1305</v>
      </c>
      <c r="AJ54" s="1" t="s">
        <v>1306</v>
      </c>
      <c r="AK54">
        <v>388050254</v>
      </c>
      <c r="AL54" s="1" t="s">
        <v>1411</v>
      </c>
      <c r="AM54" s="1" t="s">
        <v>1417</v>
      </c>
      <c r="AN54" s="1" t="s">
        <v>1307</v>
      </c>
      <c r="AO54" s="1" t="s">
        <v>1308</v>
      </c>
      <c r="AP54">
        <v>388050253</v>
      </c>
      <c r="AQ54" s="1" t="s">
        <v>1320</v>
      </c>
      <c r="AR54" s="1" t="s">
        <v>1265</v>
      </c>
      <c r="AS54" s="1" t="s">
        <v>1309</v>
      </c>
      <c r="AT54" s="1" t="s">
        <v>1310</v>
      </c>
      <c r="AU54">
        <v>388050257</v>
      </c>
      <c r="AV54" s="1" t="s">
        <v>1320</v>
      </c>
      <c r="AW54" s="1" t="s">
        <v>1443</v>
      </c>
      <c r="AX54" s="1" t="s">
        <v>1241</v>
      </c>
      <c r="AY54">
        <v>646374587</v>
      </c>
      <c r="AZ54" s="1" t="s">
        <v>1242</v>
      </c>
      <c r="BB54" s="1" t="s">
        <v>1311</v>
      </c>
      <c r="BC54" s="1" t="s">
        <v>1312</v>
      </c>
      <c r="BD54">
        <v>67</v>
      </c>
      <c r="BE54">
        <v>388050250</v>
      </c>
      <c r="BF54">
        <v>48.828125</v>
      </c>
      <c r="BG54">
        <v>7.7519683837890598</v>
      </c>
      <c r="BH54">
        <v>451647903</v>
      </c>
      <c r="BI54">
        <v>1064</v>
      </c>
      <c r="BJ54" s="2">
        <v>39631</v>
      </c>
      <c r="BK54" s="1" t="s">
        <v>2745</v>
      </c>
      <c r="BL54" s="1" t="s">
        <v>290</v>
      </c>
      <c r="BM54" s="1" t="s">
        <v>291</v>
      </c>
      <c r="BN54" s="1" t="s">
        <v>292</v>
      </c>
      <c r="BO54" s="1" t="s">
        <v>291</v>
      </c>
      <c r="BP54" s="1" t="s">
        <v>293</v>
      </c>
      <c r="BQ54" s="1" t="s">
        <v>1247</v>
      </c>
      <c r="BR54">
        <v>75</v>
      </c>
      <c r="BS54">
        <v>19768569.280000001</v>
      </c>
      <c r="BT54" s="1" t="s">
        <v>295</v>
      </c>
      <c r="BU54" s="1" t="s">
        <v>359</v>
      </c>
      <c r="BV54">
        <v>327956</v>
      </c>
      <c r="BW54">
        <v>1.2396655357493765E-2</v>
      </c>
      <c r="BX54">
        <v>59.085514604074604</v>
      </c>
      <c r="BY54">
        <v>1.0833333333333333</v>
      </c>
      <c r="BZ54">
        <v>3.6426649963737057</v>
      </c>
      <c r="CA54">
        <v>63.811512933781643</v>
      </c>
      <c r="CB54" s="1" t="s">
        <v>443</v>
      </c>
      <c r="CC54">
        <v>1</v>
      </c>
      <c r="CD54" s="1" t="s">
        <v>298</v>
      </c>
      <c r="CE54" s="1" t="s">
        <v>504</v>
      </c>
      <c r="CF54">
        <v>1106</v>
      </c>
      <c r="CG54" s="1" t="s">
        <v>362</v>
      </c>
      <c r="CH54" s="1" t="s">
        <v>972</v>
      </c>
      <c r="CI54" s="1" t="s">
        <v>973</v>
      </c>
      <c r="CJ54" s="1" t="s">
        <v>972</v>
      </c>
      <c r="CK54" s="1" t="s">
        <v>302</v>
      </c>
      <c r="CL54" s="1" t="s">
        <v>974</v>
      </c>
      <c r="CM54">
        <v>3020409000020</v>
      </c>
      <c r="CO54" s="1"/>
      <c r="CP54" s="1" t="s">
        <v>444</v>
      </c>
      <c r="CQ54" s="1" t="s">
        <v>305</v>
      </c>
      <c r="CR54" s="1" t="s">
        <v>505</v>
      </c>
      <c r="CS54">
        <v>7099</v>
      </c>
      <c r="CT54">
        <v>3689</v>
      </c>
      <c r="CU54">
        <v>3700</v>
      </c>
      <c r="CV54" s="1" t="s">
        <v>307</v>
      </c>
      <c r="CW54" s="1" t="s">
        <v>308</v>
      </c>
      <c r="CY54">
        <v>3259</v>
      </c>
      <c r="CZ54">
        <v>3000</v>
      </c>
      <c r="DA54" s="1" t="s">
        <v>309</v>
      </c>
      <c r="DB54">
        <v>3410</v>
      </c>
      <c r="DC54">
        <v>3410</v>
      </c>
      <c r="DD54">
        <v>0</v>
      </c>
      <c r="DE54">
        <v>0</v>
      </c>
      <c r="DF54">
        <v>1220</v>
      </c>
      <c r="DG54">
        <v>2190</v>
      </c>
      <c r="DH54">
        <v>0</v>
      </c>
      <c r="DI54">
        <v>0</v>
      </c>
      <c r="DJ54">
        <v>0</v>
      </c>
      <c r="DK54" s="1" t="s">
        <v>409</v>
      </c>
      <c r="DL54" s="1" t="s">
        <v>1313</v>
      </c>
      <c r="DN54" s="1"/>
      <c r="DO54">
        <v>957</v>
      </c>
      <c r="DP54">
        <v>0</v>
      </c>
      <c r="DQ54">
        <v>957</v>
      </c>
      <c r="DR54" s="1"/>
      <c r="DS54">
        <v>850</v>
      </c>
      <c r="DT54">
        <v>97</v>
      </c>
      <c r="DU54">
        <v>257</v>
      </c>
      <c r="DV54">
        <v>335</v>
      </c>
      <c r="DW54" s="1" t="s">
        <v>371</v>
      </c>
      <c r="DX54">
        <v>16</v>
      </c>
      <c r="DZ54">
        <v>2</v>
      </c>
      <c r="EA54">
        <v>2</v>
      </c>
      <c r="EB54">
        <v>9</v>
      </c>
      <c r="EC54">
        <v>2</v>
      </c>
      <c r="ED54">
        <v>0</v>
      </c>
      <c r="EE54">
        <v>1</v>
      </c>
      <c r="EF54">
        <v>14</v>
      </c>
      <c r="EG54">
        <v>2014</v>
      </c>
      <c r="EI54" s="1"/>
      <c r="EJ54" s="1" t="s">
        <v>313</v>
      </c>
      <c r="EK54" s="1" t="s">
        <v>314</v>
      </c>
      <c r="EL54">
        <v>20</v>
      </c>
      <c r="EM54">
        <v>20</v>
      </c>
      <c r="EN54">
        <v>12</v>
      </c>
      <c r="EO54" s="1" t="s">
        <v>315</v>
      </c>
      <c r="EP54">
        <v>22</v>
      </c>
      <c r="EQ54">
        <v>95.284901856551087</v>
      </c>
      <c r="ER54" s="1" t="s">
        <v>316</v>
      </c>
      <c r="ES54">
        <v>5.197358283084605</v>
      </c>
      <c r="ET54">
        <v>0</v>
      </c>
      <c r="EU54" s="1"/>
      <c r="EV54">
        <v>74.860195621271245</v>
      </c>
      <c r="EW54">
        <v>1</v>
      </c>
      <c r="EX54" t="s">
        <v>1314</v>
      </c>
      <c r="EY54">
        <v>1</v>
      </c>
      <c r="EZ54" s="1" t="s">
        <v>412</v>
      </c>
      <c r="FA54" s="2">
        <v>44197</v>
      </c>
      <c r="FB54" s="1" t="s">
        <v>507</v>
      </c>
      <c r="FC54">
        <v>1</v>
      </c>
      <c r="FD54" s="1"/>
      <c r="FE54" s="2"/>
      <c r="FF54" s="1"/>
      <c r="FG54" s="1" t="s">
        <v>322</v>
      </c>
      <c r="FH54" s="1" t="s">
        <v>319</v>
      </c>
      <c r="FI54" s="1" t="s">
        <v>319</v>
      </c>
      <c r="FJ54" s="1" t="s">
        <v>319</v>
      </c>
      <c r="FK54" s="1" t="s">
        <v>320</v>
      </c>
      <c r="FL54">
        <v>18.920000000000002</v>
      </c>
      <c r="FM54">
        <v>3604.409156713717</v>
      </c>
      <c r="FN54" s="1" t="s">
        <v>321</v>
      </c>
      <c r="FO54" s="1" t="s">
        <v>322</v>
      </c>
      <c r="FP54" s="1" t="s">
        <v>323</v>
      </c>
      <c r="FQ54" s="1" t="s">
        <v>559</v>
      </c>
      <c r="FR54" s="1" t="s">
        <v>325</v>
      </c>
      <c r="FS54" s="1"/>
      <c r="FT54" s="1" t="s">
        <v>326</v>
      </c>
      <c r="FU54">
        <v>494198191</v>
      </c>
      <c r="FV54" s="1" t="s">
        <v>322</v>
      </c>
      <c r="FW54" s="1" t="s">
        <v>322</v>
      </c>
      <c r="FX54" s="1" t="s">
        <v>322</v>
      </c>
      <c r="FY54" s="1" t="s">
        <v>322</v>
      </c>
      <c r="FZ54" s="1" t="s">
        <v>322</v>
      </c>
      <c r="GA54" s="1" t="s">
        <v>322</v>
      </c>
      <c r="GB54" s="1" t="s">
        <v>322</v>
      </c>
      <c r="GC54" s="1" t="s">
        <v>322</v>
      </c>
      <c r="GD54" s="1" t="s">
        <v>319</v>
      </c>
      <c r="GE54" s="1" t="s">
        <v>322</v>
      </c>
      <c r="GF54" s="1" t="s">
        <v>415</v>
      </c>
      <c r="GG54" s="1"/>
      <c r="GH54" s="1" t="s">
        <v>319</v>
      </c>
      <c r="GI54" s="1"/>
      <c r="GJ54" s="1" t="s">
        <v>322</v>
      </c>
      <c r="GK54" s="2">
        <v>42005</v>
      </c>
      <c r="GL54" s="1" t="s">
        <v>322</v>
      </c>
      <c r="GM54" s="1" t="s">
        <v>322</v>
      </c>
      <c r="GN54">
        <v>43045</v>
      </c>
      <c r="GO54" s="1" t="s">
        <v>319</v>
      </c>
      <c r="GQ54" s="1"/>
      <c r="GR54" s="1"/>
      <c r="GS54" s="1"/>
      <c r="GT54" s="1" t="s">
        <v>322</v>
      </c>
      <c r="GU54" s="1" t="s">
        <v>1315</v>
      </c>
      <c r="GV54" s="1" t="s">
        <v>322</v>
      </c>
      <c r="GW54" s="1" t="s">
        <v>322</v>
      </c>
      <c r="GX54" s="1" t="s">
        <v>319</v>
      </c>
      <c r="GY54" s="1" t="s">
        <v>319</v>
      </c>
      <c r="GZ54" s="1" t="s">
        <v>319</v>
      </c>
      <c r="HA54" s="2">
        <v>44076</v>
      </c>
      <c r="HB54" s="2">
        <v>42667</v>
      </c>
      <c r="HC54" s="1"/>
      <c r="HD54" s="1"/>
      <c r="HE54" s="1"/>
      <c r="HF54" s="1"/>
      <c r="HG54" s="1"/>
      <c r="HH54" s="1"/>
      <c r="HI54" s="1" t="s">
        <v>319</v>
      </c>
      <c r="HJ54" s="1" t="s">
        <v>330</v>
      </c>
      <c r="HK54" s="2"/>
      <c r="HL54" s="1"/>
      <c r="HM54" s="1" t="s">
        <v>322</v>
      </c>
      <c r="HN54" s="1" t="s">
        <v>322</v>
      </c>
      <c r="HO54" s="1"/>
      <c r="HP54" s="1"/>
      <c r="HQ54" s="1"/>
      <c r="HR54" s="1"/>
      <c r="HS54" s="1"/>
      <c r="HT54" s="1"/>
      <c r="HU54" s="1" t="s">
        <v>331</v>
      </c>
      <c r="HV54">
        <v>4626871010</v>
      </c>
      <c r="HW54">
        <v>40638333</v>
      </c>
      <c r="HX54">
        <v>99102566545</v>
      </c>
      <c r="HY54" s="1" t="s">
        <v>1316</v>
      </c>
      <c r="HZ54">
        <v>4320881</v>
      </c>
      <c r="IA54">
        <v>4321536</v>
      </c>
      <c r="IB54" s="1" t="s">
        <v>1317</v>
      </c>
      <c r="IC54">
        <v>830029</v>
      </c>
      <c r="ID54" s="1" t="s">
        <v>1318</v>
      </c>
      <c r="IE54">
        <v>3.54</v>
      </c>
      <c r="IF54">
        <v>3.51</v>
      </c>
      <c r="IG54">
        <v>4.55</v>
      </c>
      <c r="IH54">
        <v>4.6500000000000004</v>
      </c>
      <c r="II54">
        <v>4.18</v>
      </c>
      <c r="IJ54">
        <v>2.5045454545454544</v>
      </c>
      <c r="IK54">
        <v>2.4900000000000002</v>
      </c>
    </row>
    <row r="55" spans="1:245" x14ac:dyDescent="0.3">
      <c r="A55">
        <v>1758</v>
      </c>
      <c r="B55">
        <v>2373</v>
      </c>
      <c r="C55" s="1" t="s">
        <v>770</v>
      </c>
      <c r="D55" s="1" t="s">
        <v>642</v>
      </c>
      <c r="E55" t="s">
        <v>3275</v>
      </c>
      <c r="F55" s="1" t="s">
        <v>643</v>
      </c>
      <c r="G55" s="1" t="s">
        <v>644</v>
      </c>
      <c r="H55">
        <v>610920310</v>
      </c>
      <c r="I55" s="1" t="s">
        <v>771</v>
      </c>
      <c r="J55" s="1" t="s">
        <v>772</v>
      </c>
      <c r="K55">
        <v>627683014</v>
      </c>
      <c r="L55">
        <v>43619</v>
      </c>
      <c r="M55" s="1" t="s">
        <v>773</v>
      </c>
      <c r="N55" s="1" t="s">
        <v>774</v>
      </c>
      <c r="O55">
        <v>251069486</v>
      </c>
      <c r="P55" s="1" t="s">
        <v>273</v>
      </c>
      <c r="Q55" s="1" t="s">
        <v>723</v>
      </c>
      <c r="R55" s="1" t="s">
        <v>647</v>
      </c>
      <c r="S55" s="1" t="s">
        <v>775</v>
      </c>
      <c r="T55" s="1" t="s">
        <v>776</v>
      </c>
      <c r="U55">
        <v>251069460</v>
      </c>
      <c r="V55" s="1" t="s">
        <v>276</v>
      </c>
      <c r="W55" s="1" t="s">
        <v>645</v>
      </c>
      <c r="X55" s="1" t="s">
        <v>857</v>
      </c>
      <c r="Y55" s="1" t="s">
        <v>777</v>
      </c>
      <c r="Z55" s="1" t="s">
        <v>778</v>
      </c>
      <c r="AA55">
        <v>251069463</v>
      </c>
      <c r="AB55" s="1" t="s">
        <v>853</v>
      </c>
      <c r="AC55" s="1" t="s">
        <v>777</v>
      </c>
      <c r="AD55" s="1" t="s">
        <v>779</v>
      </c>
      <c r="AE55" s="1" t="s">
        <v>780</v>
      </c>
      <c r="AF55">
        <v>251069460</v>
      </c>
      <c r="AG55" s="1" t="s">
        <v>645</v>
      </c>
      <c r="AH55" s="1" t="s">
        <v>838</v>
      </c>
      <c r="AI55" s="1" t="s">
        <v>781</v>
      </c>
      <c r="AJ55" s="1" t="s">
        <v>782</v>
      </c>
      <c r="AK55">
        <v>251069462</v>
      </c>
      <c r="AL55" s="1" t="s">
        <v>748</v>
      </c>
      <c r="AM55" s="1" t="s">
        <v>685</v>
      </c>
      <c r="AN55" s="1" t="s">
        <v>783</v>
      </c>
      <c r="AO55" s="1" t="s">
        <v>784</v>
      </c>
      <c r="AP55">
        <v>251069471</v>
      </c>
      <c r="AQ55" s="1" t="s">
        <v>830</v>
      </c>
      <c r="AR55" s="1" t="s">
        <v>734</v>
      </c>
      <c r="AS55" s="1" t="s">
        <v>785</v>
      </c>
      <c r="AT55" s="1" t="s">
        <v>786</v>
      </c>
      <c r="AU55">
        <v>251069470</v>
      </c>
      <c r="AV55" s="1" t="s">
        <v>787</v>
      </c>
      <c r="AW55" s="1" t="s">
        <v>785</v>
      </c>
      <c r="AX55" s="1" t="s">
        <v>659</v>
      </c>
      <c r="AY55">
        <v>617425666</v>
      </c>
      <c r="AZ55" s="1" t="s">
        <v>660</v>
      </c>
      <c r="BA55">
        <v>678409252</v>
      </c>
      <c r="BB55" s="1" t="s">
        <v>788</v>
      </c>
      <c r="BC55" s="1" t="s">
        <v>789</v>
      </c>
      <c r="BD55">
        <v>85</v>
      </c>
      <c r="BE55">
        <v>251069460</v>
      </c>
      <c r="BF55">
        <v>46.7255859375</v>
      </c>
      <c r="BG55">
        <v>-1.4287986755371</v>
      </c>
      <c r="BH55">
        <v>451647903</v>
      </c>
      <c r="BI55">
        <v>512</v>
      </c>
      <c r="BJ55" s="2">
        <v>37370</v>
      </c>
      <c r="BK55" s="1" t="s">
        <v>3289</v>
      </c>
      <c r="BL55" s="1" t="s">
        <v>290</v>
      </c>
      <c r="BM55" s="1" t="s">
        <v>291</v>
      </c>
      <c r="BN55" s="1" t="s">
        <v>292</v>
      </c>
      <c r="BO55" s="1" t="s">
        <v>291</v>
      </c>
      <c r="BP55" s="1" t="s">
        <v>293</v>
      </c>
      <c r="BQ55" s="1" t="s">
        <v>294</v>
      </c>
      <c r="BR55">
        <v>80</v>
      </c>
      <c r="BS55">
        <v>31334233.640000001</v>
      </c>
      <c r="BT55" s="1" t="s">
        <v>295</v>
      </c>
      <c r="BU55" s="1" t="s">
        <v>401</v>
      </c>
      <c r="BV55">
        <v>434096</v>
      </c>
      <c r="BW55">
        <v>8.715140852942907E-3</v>
      </c>
      <c r="BX55">
        <v>62.742796861607403</v>
      </c>
      <c r="BY55">
        <v>5.6257280059778871</v>
      </c>
      <c r="BZ55">
        <v>8.9659798685743173</v>
      </c>
      <c r="CA55">
        <v>77.334504736159616</v>
      </c>
      <c r="CB55" s="1" t="s">
        <v>297</v>
      </c>
      <c r="CC55">
        <v>1</v>
      </c>
      <c r="CD55" s="1" t="s">
        <v>298</v>
      </c>
      <c r="CE55" s="1" t="s">
        <v>361</v>
      </c>
      <c r="CF55">
        <v>1101</v>
      </c>
      <c r="CG55" s="1" t="s">
        <v>300</v>
      </c>
      <c r="CH55" s="1" t="s">
        <v>403</v>
      </c>
      <c r="CI55" s="1" t="s">
        <v>404</v>
      </c>
      <c r="CJ55" s="1" t="s">
        <v>301</v>
      </c>
      <c r="CK55" s="1" t="s">
        <v>302</v>
      </c>
      <c r="CL55" s="1" t="s">
        <v>527</v>
      </c>
      <c r="CM55">
        <v>3601651112004</v>
      </c>
      <c r="CO55" s="1"/>
      <c r="CP55" s="1" t="s">
        <v>444</v>
      </c>
      <c r="CQ55" s="1" t="s">
        <v>305</v>
      </c>
      <c r="CR55" s="1" t="s">
        <v>306</v>
      </c>
      <c r="CS55">
        <v>6690</v>
      </c>
      <c r="CT55">
        <v>3700</v>
      </c>
      <c r="CU55">
        <v>3700</v>
      </c>
      <c r="CV55" s="1" t="s">
        <v>307</v>
      </c>
      <c r="CW55" s="1" t="s">
        <v>308</v>
      </c>
      <c r="CY55">
        <v>2800</v>
      </c>
      <c r="CZ55" t="s">
        <v>368</v>
      </c>
      <c r="DA55" s="1" t="s">
        <v>309</v>
      </c>
      <c r="DB55">
        <v>2990</v>
      </c>
      <c r="DC55">
        <v>2990</v>
      </c>
      <c r="DD55">
        <v>0</v>
      </c>
      <c r="DE55">
        <v>0</v>
      </c>
      <c r="DF55">
        <v>1303</v>
      </c>
      <c r="DG55">
        <v>1687</v>
      </c>
      <c r="DH55">
        <v>0</v>
      </c>
      <c r="DI55">
        <v>0</v>
      </c>
      <c r="DJ55">
        <v>0</v>
      </c>
      <c r="DK55" s="1" t="s">
        <v>369</v>
      </c>
      <c r="DL55" s="1" t="s">
        <v>410</v>
      </c>
      <c r="DN55" s="1"/>
      <c r="DO55">
        <v>782</v>
      </c>
      <c r="DP55">
        <v>0</v>
      </c>
      <c r="DQ55">
        <v>782</v>
      </c>
      <c r="DR55" s="1" t="s">
        <v>790</v>
      </c>
      <c r="DS55">
        <v>418</v>
      </c>
      <c r="DT55">
        <v>85</v>
      </c>
      <c r="DU55">
        <v>227</v>
      </c>
      <c r="DV55">
        <v>288</v>
      </c>
      <c r="DW55" s="1" t="s">
        <v>371</v>
      </c>
      <c r="DX55">
        <v>18</v>
      </c>
      <c r="DZ55">
        <v>2</v>
      </c>
      <c r="EA55">
        <v>2</v>
      </c>
      <c r="EB55">
        <v>8</v>
      </c>
      <c r="EC55">
        <v>3</v>
      </c>
      <c r="ED55">
        <v>0</v>
      </c>
      <c r="EE55">
        <v>0</v>
      </c>
      <c r="EF55">
        <v>13</v>
      </c>
      <c r="EG55">
        <v>2010</v>
      </c>
      <c r="EI55" s="1"/>
      <c r="EJ55" s="1" t="s">
        <v>313</v>
      </c>
      <c r="EK55" s="1" t="s">
        <v>314</v>
      </c>
      <c r="EL55">
        <v>33</v>
      </c>
      <c r="EM55">
        <v>25</v>
      </c>
      <c r="EN55">
        <v>16</v>
      </c>
      <c r="EO55" s="1" t="s">
        <v>315</v>
      </c>
      <c r="EP55">
        <v>25</v>
      </c>
      <c r="EQ55">
        <v>58.536711923166102</v>
      </c>
      <c r="ER55" s="1" t="s">
        <v>316</v>
      </c>
      <c r="ES55">
        <v>2.7565764617557447</v>
      </c>
      <c r="ET55">
        <v>0</v>
      </c>
      <c r="EU55" s="1"/>
      <c r="EV55">
        <v>115.45190828059354</v>
      </c>
      <c r="EW55">
        <v>0</v>
      </c>
      <c r="EX55" t="s">
        <v>316</v>
      </c>
      <c r="EY55">
        <v>0</v>
      </c>
      <c r="EZ55" s="1" t="s">
        <v>412</v>
      </c>
      <c r="FA55" s="2">
        <v>43341</v>
      </c>
      <c r="FB55" s="1" t="s">
        <v>791</v>
      </c>
      <c r="FC55">
        <v>1</v>
      </c>
      <c r="FD55" s="1"/>
      <c r="FE55" s="2"/>
      <c r="FF55" s="1"/>
      <c r="FG55" s="1" t="s">
        <v>319</v>
      </c>
      <c r="FH55" s="1" t="s">
        <v>319</v>
      </c>
      <c r="FI55" s="1" t="s">
        <v>319</v>
      </c>
      <c r="FJ55" s="1" t="s">
        <v>319</v>
      </c>
      <c r="FK55" s="1" t="s">
        <v>373</v>
      </c>
      <c r="FL55">
        <v>18.59</v>
      </c>
      <c r="FM55">
        <v>4134.2521178637198</v>
      </c>
      <c r="FN55" s="1" t="s">
        <v>321</v>
      </c>
      <c r="FO55" s="1" t="s">
        <v>322</v>
      </c>
      <c r="FP55" s="1" t="s">
        <v>323</v>
      </c>
      <c r="FQ55" s="1" t="s">
        <v>559</v>
      </c>
      <c r="FR55" s="1" t="s">
        <v>325</v>
      </c>
      <c r="FS55" s="1" t="s">
        <v>374</v>
      </c>
      <c r="FT55" s="1" t="s">
        <v>326</v>
      </c>
      <c r="FU55">
        <v>494198191</v>
      </c>
      <c r="FV55" s="1" t="s">
        <v>322</v>
      </c>
      <c r="FW55" s="1" t="s">
        <v>319</v>
      </c>
      <c r="FX55" s="1" t="s">
        <v>322</v>
      </c>
      <c r="FY55" s="1" t="s">
        <v>322</v>
      </c>
      <c r="FZ55" s="1" t="s">
        <v>322</v>
      </c>
      <c r="GA55" s="1" t="s">
        <v>322</v>
      </c>
      <c r="GB55" s="1" t="s">
        <v>322</v>
      </c>
      <c r="GC55" s="1" t="s">
        <v>322</v>
      </c>
      <c r="GD55" s="1" t="s">
        <v>322</v>
      </c>
      <c r="GE55" s="1" t="s">
        <v>322</v>
      </c>
      <c r="GF55" s="1" t="s">
        <v>415</v>
      </c>
      <c r="GG55" s="1"/>
      <c r="GH55" s="1" t="s">
        <v>319</v>
      </c>
      <c r="GI55" s="1" t="s">
        <v>484</v>
      </c>
      <c r="GJ55" s="1" t="s">
        <v>322</v>
      </c>
      <c r="GK55" s="2">
        <v>42005</v>
      </c>
      <c r="GL55" s="1" t="s">
        <v>322</v>
      </c>
      <c r="GM55" s="1" t="s">
        <v>322</v>
      </c>
      <c r="GN55">
        <v>42996</v>
      </c>
      <c r="GO55" s="1" t="s">
        <v>322</v>
      </c>
      <c r="GP55">
        <v>42856</v>
      </c>
      <c r="GQ55" s="1" t="s">
        <v>792</v>
      </c>
      <c r="GR55" s="1" t="s">
        <v>322</v>
      </c>
      <c r="GS55" s="1" t="s">
        <v>418</v>
      </c>
      <c r="GT55" s="1" t="s">
        <v>322</v>
      </c>
      <c r="GU55" s="1" t="s">
        <v>793</v>
      </c>
      <c r="GV55" s="1" t="s">
        <v>319</v>
      </c>
      <c r="GW55" s="1" t="s">
        <v>322</v>
      </c>
      <c r="GX55" s="1" t="s">
        <v>319</v>
      </c>
      <c r="GY55" s="1" t="s">
        <v>319</v>
      </c>
      <c r="GZ55" s="1" t="s">
        <v>319</v>
      </c>
      <c r="HA55" s="2">
        <v>44085</v>
      </c>
      <c r="HB55" s="2">
        <v>42535</v>
      </c>
      <c r="HC55" s="1"/>
      <c r="HD55" s="1"/>
      <c r="HE55" s="1"/>
      <c r="HF55" s="1"/>
      <c r="HG55" s="1"/>
      <c r="HH55" s="1"/>
      <c r="HI55" s="1" t="s">
        <v>322</v>
      </c>
      <c r="HJ55" s="1" t="s">
        <v>794</v>
      </c>
      <c r="HK55" s="2">
        <v>42736</v>
      </c>
      <c r="HL55" s="1"/>
      <c r="HM55" s="1" t="s">
        <v>322</v>
      </c>
      <c r="HN55" s="1" t="s">
        <v>322</v>
      </c>
      <c r="HO55" s="1"/>
      <c r="HP55" s="1"/>
      <c r="HQ55" s="1"/>
      <c r="HR55" s="1"/>
      <c r="HS55" s="1"/>
      <c r="HT55" s="1"/>
      <c r="HU55" s="1" t="s">
        <v>331</v>
      </c>
      <c r="HV55">
        <v>4622028010</v>
      </c>
      <c r="HW55">
        <v>40638014</v>
      </c>
      <c r="HX55">
        <v>99102563933</v>
      </c>
      <c r="HY55" s="1" t="s">
        <v>795</v>
      </c>
      <c r="HZ55">
        <v>4319154</v>
      </c>
      <c r="IA55">
        <v>4321581</v>
      </c>
      <c r="IB55" s="1" t="s">
        <v>796</v>
      </c>
      <c r="IC55">
        <v>830086</v>
      </c>
      <c r="ID55" s="1" t="s">
        <v>797</v>
      </c>
      <c r="IE55">
        <v>4.93</v>
      </c>
      <c r="IF55">
        <v>5.83</v>
      </c>
      <c r="IG55">
        <v>5.15</v>
      </c>
      <c r="IH55">
        <v>4.12</v>
      </c>
      <c r="II55">
        <v>4.1500000000000004</v>
      </c>
      <c r="IJ55">
        <v>8.0299999999999994</v>
      </c>
      <c r="IK55">
        <v>8.0299999999999994</v>
      </c>
    </row>
    <row r="56" spans="1:245" x14ac:dyDescent="0.3">
      <c r="A56">
        <v>1925</v>
      </c>
      <c r="B56">
        <v>2429</v>
      </c>
      <c r="C56" s="1" t="s">
        <v>513</v>
      </c>
      <c r="D56" s="1" t="s">
        <v>382</v>
      </c>
      <c r="E56" t="s">
        <v>3275</v>
      </c>
      <c r="F56" s="1" t="s">
        <v>337</v>
      </c>
      <c r="G56" s="1" t="s">
        <v>338</v>
      </c>
      <c r="H56">
        <v>614540304</v>
      </c>
      <c r="I56" s="1" t="s">
        <v>514</v>
      </c>
      <c r="J56" s="1" t="s">
        <v>515</v>
      </c>
      <c r="K56">
        <v>609280358</v>
      </c>
      <c r="L56">
        <v>44060</v>
      </c>
      <c r="M56" s="1" t="s">
        <v>516</v>
      </c>
      <c r="N56" s="1" t="s">
        <v>517</v>
      </c>
      <c r="O56">
        <v>546661230</v>
      </c>
      <c r="P56" s="1" t="s">
        <v>273</v>
      </c>
      <c r="Q56" s="1" t="s">
        <v>454</v>
      </c>
      <c r="R56" s="1" t="s">
        <v>567</v>
      </c>
      <c r="S56" s="1" t="s">
        <v>518</v>
      </c>
      <c r="T56" s="1" t="s">
        <v>519</v>
      </c>
      <c r="U56">
        <v>546661239</v>
      </c>
      <c r="V56" s="1" t="s">
        <v>276</v>
      </c>
      <c r="W56" s="1" t="s">
        <v>454</v>
      </c>
      <c r="X56" s="1" t="s">
        <v>494</v>
      </c>
      <c r="Y56" s="1" t="s">
        <v>520</v>
      </c>
      <c r="Z56" s="1" t="s">
        <v>521</v>
      </c>
      <c r="AA56">
        <v>546661230</v>
      </c>
      <c r="AB56" s="1" t="s">
        <v>615</v>
      </c>
      <c r="AC56" s="1" t="s">
        <v>571</v>
      </c>
      <c r="AD56" s="1" t="s">
        <v>389</v>
      </c>
      <c r="AE56" s="1"/>
      <c r="AG56" s="1" t="s">
        <v>490</v>
      </c>
      <c r="AH56" s="1"/>
      <c r="AI56" s="1" t="s">
        <v>522</v>
      </c>
      <c r="AJ56" s="1" t="s">
        <v>523</v>
      </c>
      <c r="AK56">
        <v>546661234</v>
      </c>
      <c r="AL56" s="1" t="s">
        <v>565</v>
      </c>
      <c r="AM56" s="1" t="s">
        <v>392</v>
      </c>
      <c r="AN56" s="1" t="s">
        <v>524</v>
      </c>
      <c r="AO56" s="1"/>
      <c r="AQ56" s="1" t="s">
        <v>590</v>
      </c>
      <c r="AR56" s="1"/>
      <c r="AS56" s="1" t="s">
        <v>524</v>
      </c>
      <c r="AT56" s="1"/>
      <c r="AV56" s="1" t="s">
        <v>383</v>
      </c>
      <c r="AW56" s="1"/>
      <c r="AX56" s="1" t="s">
        <v>355</v>
      </c>
      <c r="AY56">
        <v>623422349</v>
      </c>
      <c r="AZ56" s="1" t="s">
        <v>356</v>
      </c>
      <c r="BA56">
        <v>678408521</v>
      </c>
      <c r="BB56" s="1" t="s">
        <v>525</v>
      </c>
      <c r="BC56" s="1" t="s">
        <v>526</v>
      </c>
      <c r="BD56">
        <v>17</v>
      </c>
      <c r="BE56">
        <v>546661230</v>
      </c>
      <c r="BF56">
        <v>46.2603759765625</v>
      </c>
      <c r="BG56">
        <v>-1.0115966796875</v>
      </c>
      <c r="BH56">
        <v>451647903</v>
      </c>
      <c r="BI56">
        <v>1189</v>
      </c>
      <c r="BJ56" s="2">
        <v>40359</v>
      </c>
      <c r="BK56" s="1" t="s">
        <v>3284</v>
      </c>
      <c r="BL56" s="1" t="s">
        <v>290</v>
      </c>
      <c r="BM56" s="1" t="s">
        <v>291</v>
      </c>
      <c r="BN56" s="1" t="s">
        <v>292</v>
      </c>
      <c r="BO56" s="1" t="s">
        <v>291</v>
      </c>
      <c r="BP56" s="1" t="s">
        <v>293</v>
      </c>
      <c r="BQ56" s="1" t="s">
        <v>294</v>
      </c>
      <c r="BR56">
        <v>80</v>
      </c>
      <c r="BS56">
        <v>18433015.640000001</v>
      </c>
      <c r="BT56" s="1" t="s">
        <v>295</v>
      </c>
      <c r="BU56" s="1" t="s">
        <v>359</v>
      </c>
      <c r="BV56">
        <v>239244</v>
      </c>
      <c r="BW56">
        <v>1.2739883831788902E-2</v>
      </c>
      <c r="BX56">
        <v>47.9142875980748</v>
      </c>
      <c r="BY56">
        <v>1.8094986923364305</v>
      </c>
      <c r="BZ56">
        <v>3.2191462824992851</v>
      </c>
      <c r="CA56">
        <v>52.942932572910522</v>
      </c>
      <c r="CB56" s="1" t="s">
        <v>360</v>
      </c>
      <c r="CC56">
        <v>1</v>
      </c>
      <c r="CD56" s="1" t="s">
        <v>402</v>
      </c>
      <c r="CE56" s="1" t="s">
        <v>402</v>
      </c>
      <c r="CF56">
        <v>1101</v>
      </c>
      <c r="CG56" s="1" t="s">
        <v>300</v>
      </c>
      <c r="CH56" s="1" t="s">
        <v>403</v>
      </c>
      <c r="CI56" s="1" t="s">
        <v>404</v>
      </c>
      <c r="CJ56" s="1" t="s">
        <v>301</v>
      </c>
      <c r="CK56" s="1" t="s">
        <v>302</v>
      </c>
      <c r="CL56" s="1" t="s">
        <v>527</v>
      </c>
      <c r="CM56">
        <v>3601651112004</v>
      </c>
      <c r="CO56" s="1"/>
      <c r="CP56" s="1" t="s">
        <v>528</v>
      </c>
      <c r="CQ56" s="1" t="s">
        <v>367</v>
      </c>
      <c r="CR56" s="1" t="s">
        <v>505</v>
      </c>
      <c r="CS56">
        <v>6450</v>
      </c>
      <c r="CT56">
        <v>2950</v>
      </c>
      <c r="CU56">
        <v>3000</v>
      </c>
      <c r="CV56" s="1" t="s">
        <v>309</v>
      </c>
      <c r="CW56" s="1" t="s">
        <v>308</v>
      </c>
      <c r="CY56">
        <v>3520</v>
      </c>
      <c r="CZ56">
        <v>3500</v>
      </c>
      <c r="DA56" s="1" t="s">
        <v>307</v>
      </c>
      <c r="DB56">
        <v>3500</v>
      </c>
      <c r="DC56">
        <v>3500</v>
      </c>
      <c r="DD56">
        <v>0</v>
      </c>
      <c r="DE56">
        <v>0</v>
      </c>
      <c r="DF56">
        <v>0</v>
      </c>
      <c r="DG56">
        <v>3500</v>
      </c>
      <c r="DH56">
        <v>0</v>
      </c>
      <c r="DI56">
        <v>0</v>
      </c>
      <c r="DJ56">
        <v>0</v>
      </c>
      <c r="DK56" s="1" t="s">
        <v>409</v>
      </c>
      <c r="DL56" s="1" t="s">
        <v>445</v>
      </c>
      <c r="DN56" s="1"/>
      <c r="DO56">
        <v>800</v>
      </c>
      <c r="DP56">
        <v>0</v>
      </c>
      <c r="DQ56">
        <v>800</v>
      </c>
      <c r="DR56" s="1"/>
      <c r="DS56">
        <v>400</v>
      </c>
      <c r="DT56">
        <v>100</v>
      </c>
      <c r="DU56">
        <v>300</v>
      </c>
      <c r="DV56">
        <v>242</v>
      </c>
      <c r="DW56" s="1" t="s">
        <v>371</v>
      </c>
      <c r="DX56">
        <v>15</v>
      </c>
      <c r="DZ56">
        <v>2</v>
      </c>
      <c r="EA56">
        <v>2</v>
      </c>
      <c r="EB56">
        <v>9</v>
      </c>
      <c r="EC56">
        <v>2</v>
      </c>
      <c r="ED56">
        <v>0</v>
      </c>
      <c r="EE56">
        <v>0</v>
      </c>
      <c r="EF56">
        <v>13</v>
      </c>
      <c r="EG56">
        <v>2010</v>
      </c>
      <c r="EI56" s="1"/>
      <c r="EJ56" s="1" t="s">
        <v>313</v>
      </c>
      <c r="EK56" s="1" t="s">
        <v>314</v>
      </c>
      <c r="EL56">
        <v>20</v>
      </c>
      <c r="EM56">
        <v>15</v>
      </c>
      <c r="EN56">
        <v>10</v>
      </c>
      <c r="EO56" s="1" t="s">
        <v>315</v>
      </c>
      <c r="EP56">
        <v>9</v>
      </c>
      <c r="EQ56">
        <v>73.130233433002331</v>
      </c>
      <c r="ER56" s="1" t="s">
        <v>316</v>
      </c>
      <c r="ES56">
        <v>2.2701181110022897</v>
      </c>
      <c r="ET56">
        <v>0</v>
      </c>
      <c r="EU56" s="1"/>
      <c r="EV56">
        <v>131.8290017317758</v>
      </c>
      <c r="EW56">
        <v>1</v>
      </c>
      <c r="EX56" t="s">
        <v>372</v>
      </c>
      <c r="EY56">
        <v>1</v>
      </c>
      <c r="EZ56" s="1" t="s">
        <v>412</v>
      </c>
      <c r="FA56" s="2">
        <v>44197</v>
      </c>
      <c r="FB56" s="1" t="s">
        <v>529</v>
      </c>
      <c r="FC56">
        <v>1</v>
      </c>
      <c r="FD56" s="1"/>
      <c r="FE56" s="2"/>
      <c r="FF56" s="1"/>
      <c r="FG56" s="1" t="s">
        <v>322</v>
      </c>
      <c r="FH56" s="1" t="s">
        <v>319</v>
      </c>
      <c r="FI56" s="1" t="s">
        <v>319</v>
      </c>
      <c r="FJ56" s="1" t="s">
        <v>319</v>
      </c>
      <c r="FK56" s="1" t="s">
        <v>373</v>
      </c>
      <c r="FL56">
        <v>18.59</v>
      </c>
      <c r="FM56">
        <v>4077.8360957642722</v>
      </c>
      <c r="FN56" s="1" t="s">
        <v>321</v>
      </c>
      <c r="FO56" s="1" t="s">
        <v>319</v>
      </c>
      <c r="FP56" s="1" t="s">
        <v>323</v>
      </c>
      <c r="FQ56" s="1" t="s">
        <v>324</v>
      </c>
      <c r="FR56" s="1" t="s">
        <v>325</v>
      </c>
      <c r="FS56" s="1"/>
      <c r="FT56" s="1" t="s">
        <v>326</v>
      </c>
      <c r="FU56">
        <v>494198191</v>
      </c>
      <c r="FV56" s="1" t="s">
        <v>319</v>
      </c>
      <c r="FW56" s="1" t="s">
        <v>322</v>
      </c>
      <c r="FX56" s="1" t="s">
        <v>322</v>
      </c>
      <c r="FY56" s="1" t="s">
        <v>322</v>
      </c>
      <c r="FZ56" s="1" t="s">
        <v>322</v>
      </c>
      <c r="GA56" s="1" t="s">
        <v>322</v>
      </c>
      <c r="GB56" s="1" t="s">
        <v>322</v>
      </c>
      <c r="GC56" s="1" t="s">
        <v>322</v>
      </c>
      <c r="GD56" s="1" t="s">
        <v>322</v>
      </c>
      <c r="GE56" s="1" t="s">
        <v>322</v>
      </c>
      <c r="GF56" s="1" t="s">
        <v>415</v>
      </c>
      <c r="GG56" s="1"/>
      <c r="GH56" s="1" t="s">
        <v>322</v>
      </c>
      <c r="GI56" s="1"/>
      <c r="GJ56" s="1" t="s">
        <v>322</v>
      </c>
      <c r="GK56" s="2">
        <v>42005</v>
      </c>
      <c r="GL56" s="1" t="s">
        <v>322</v>
      </c>
      <c r="GM56" s="1" t="s">
        <v>322</v>
      </c>
      <c r="GN56">
        <v>42996</v>
      </c>
      <c r="GO56" s="1" t="s">
        <v>319</v>
      </c>
      <c r="GP56" t="s">
        <v>530</v>
      </c>
      <c r="GQ56" s="1" t="s">
        <v>531</v>
      </c>
      <c r="GR56" s="1" t="s">
        <v>322</v>
      </c>
      <c r="GS56" s="1" t="s">
        <v>448</v>
      </c>
      <c r="GT56" s="1" t="s">
        <v>322</v>
      </c>
      <c r="GU56" s="1" t="s">
        <v>532</v>
      </c>
      <c r="GV56" s="1" t="s">
        <v>322</v>
      </c>
      <c r="GW56" s="1" t="s">
        <v>319</v>
      </c>
      <c r="GX56" s="1" t="s">
        <v>322</v>
      </c>
      <c r="GY56" s="1" t="s">
        <v>319</v>
      </c>
      <c r="GZ56" s="1" t="s">
        <v>319</v>
      </c>
      <c r="HA56" s="2">
        <v>44064</v>
      </c>
      <c r="HB56" s="2">
        <v>42625</v>
      </c>
      <c r="HC56" s="1"/>
      <c r="HD56" s="1" t="s">
        <v>322</v>
      </c>
      <c r="HE56" s="1"/>
      <c r="HF56" s="1"/>
      <c r="HG56" s="1"/>
      <c r="HH56" s="1"/>
      <c r="HI56" s="1" t="s">
        <v>322</v>
      </c>
      <c r="HJ56" s="1" t="s">
        <v>330</v>
      </c>
      <c r="HK56" s="2"/>
      <c r="HL56" s="1"/>
      <c r="HM56" s="1" t="s">
        <v>322</v>
      </c>
      <c r="HN56" s="1" t="s">
        <v>322</v>
      </c>
      <c r="HO56" s="1"/>
      <c r="HP56" s="1"/>
      <c r="HQ56" s="1"/>
      <c r="HR56" s="1"/>
      <c r="HS56" s="1"/>
      <c r="HT56" s="1"/>
      <c r="HU56" s="1" t="s">
        <v>331</v>
      </c>
      <c r="HV56">
        <v>4629997011</v>
      </c>
      <c r="HW56">
        <v>40638020</v>
      </c>
      <c r="HX56">
        <v>99102563969</v>
      </c>
      <c r="HY56" s="1" t="s">
        <v>533</v>
      </c>
      <c r="HZ56">
        <v>4319811</v>
      </c>
      <c r="IA56">
        <v>4321860</v>
      </c>
      <c r="IB56" s="1" t="s">
        <v>534</v>
      </c>
      <c r="IC56">
        <v>830154</v>
      </c>
      <c r="ID56" s="1" t="s">
        <v>535</v>
      </c>
      <c r="IE56">
        <v>3.72</v>
      </c>
      <c r="IF56">
        <v>3.95</v>
      </c>
      <c r="IG56">
        <v>3.15</v>
      </c>
      <c r="IH56">
        <v>3.67</v>
      </c>
      <c r="II56">
        <v>3.01</v>
      </c>
      <c r="IJ56">
        <v>4.9000000000000004</v>
      </c>
      <c r="IK56">
        <v>4.9000000000000004</v>
      </c>
    </row>
    <row r="57" spans="1:245" x14ac:dyDescent="0.3">
      <c r="A57">
        <v>1949</v>
      </c>
      <c r="B57">
        <v>2448</v>
      </c>
      <c r="C57" s="1" t="s">
        <v>2459</v>
      </c>
      <c r="D57" s="1" t="s">
        <v>642</v>
      </c>
      <c r="E57" t="s">
        <v>3275</v>
      </c>
      <c r="F57" s="1" t="s">
        <v>2415</v>
      </c>
      <c r="G57" s="1" t="s">
        <v>2416</v>
      </c>
      <c r="H57">
        <v>782575744</v>
      </c>
      <c r="I57" s="1" t="s">
        <v>2460</v>
      </c>
      <c r="J57" s="1" t="s">
        <v>2461</v>
      </c>
      <c r="L57">
        <v>43983</v>
      </c>
      <c r="M57" s="1" t="s">
        <v>2462</v>
      </c>
      <c r="N57" s="1" t="s">
        <v>2463</v>
      </c>
      <c r="O57">
        <v>297871430</v>
      </c>
      <c r="P57" s="1" t="s">
        <v>884</v>
      </c>
      <c r="Q57" s="1" t="s">
        <v>2634</v>
      </c>
      <c r="R57" s="1" t="s">
        <v>2572</v>
      </c>
      <c r="S57" s="1" t="s">
        <v>2462</v>
      </c>
      <c r="T57" s="1" t="s">
        <v>2463</v>
      </c>
      <c r="U57">
        <v>297871430</v>
      </c>
      <c r="V57" s="1" t="s">
        <v>754</v>
      </c>
      <c r="W57" s="1" t="s">
        <v>2634</v>
      </c>
      <c r="X57" s="1" t="s">
        <v>2638</v>
      </c>
      <c r="Y57" s="1" t="s">
        <v>2464</v>
      </c>
      <c r="Z57" s="1" t="s">
        <v>2465</v>
      </c>
      <c r="AA57">
        <v>243678225</v>
      </c>
      <c r="AB57" s="1" t="s">
        <v>2460</v>
      </c>
      <c r="AC57" s="1" t="s">
        <v>2534</v>
      </c>
      <c r="AD57" s="1" t="s">
        <v>2466</v>
      </c>
      <c r="AE57" s="1" t="s">
        <v>2467</v>
      </c>
      <c r="AG57" s="1" t="s">
        <v>2417</v>
      </c>
      <c r="AH57" s="1" t="s">
        <v>2466</v>
      </c>
      <c r="AI57" s="1" t="s">
        <v>2468</v>
      </c>
      <c r="AJ57" s="1" t="s">
        <v>2469</v>
      </c>
      <c r="AK57">
        <v>243678224</v>
      </c>
      <c r="AL57" s="1" t="s">
        <v>2480</v>
      </c>
      <c r="AM57" s="1" t="s">
        <v>2619</v>
      </c>
      <c r="AN57" s="1" t="s">
        <v>524</v>
      </c>
      <c r="AO57" s="1"/>
      <c r="AQ57" s="1" t="s">
        <v>2570</v>
      </c>
      <c r="AR57" s="1" t="s">
        <v>2646</v>
      </c>
      <c r="AS57" s="1" t="s">
        <v>2470</v>
      </c>
      <c r="AT57" s="1" t="s">
        <v>2471</v>
      </c>
      <c r="AU57">
        <v>243678227</v>
      </c>
      <c r="AV57" s="1" t="s">
        <v>2611</v>
      </c>
      <c r="AW57" s="1" t="s">
        <v>2625</v>
      </c>
      <c r="AX57" s="1" t="s">
        <v>2429</v>
      </c>
      <c r="AY57">
        <v>624644367</v>
      </c>
      <c r="AZ57" s="1" t="s">
        <v>2430</v>
      </c>
      <c r="BB57" s="1" t="s">
        <v>2472</v>
      </c>
      <c r="BC57" s="1" t="s">
        <v>2473</v>
      </c>
      <c r="BD57">
        <v>53</v>
      </c>
      <c r="BE57">
        <v>243678220</v>
      </c>
      <c r="BF57">
        <v>48.055326999999998</v>
      </c>
      <c r="BG57">
        <v>-0.73770000000000002</v>
      </c>
      <c r="BH57">
        <v>451647903</v>
      </c>
      <c r="BI57">
        <v>1411</v>
      </c>
      <c r="BJ57" s="2">
        <v>42823</v>
      </c>
      <c r="BK57" s="1" t="s">
        <v>3317</v>
      </c>
      <c r="BL57" s="1" t="s">
        <v>290</v>
      </c>
      <c r="BM57" s="1" t="s">
        <v>291</v>
      </c>
      <c r="BN57" s="1" t="s">
        <v>292</v>
      </c>
      <c r="BO57" s="1" t="s">
        <v>291</v>
      </c>
      <c r="BP57" s="1" t="s">
        <v>293</v>
      </c>
      <c r="BQ57" s="1" t="s">
        <v>294</v>
      </c>
      <c r="BR57">
        <v>80</v>
      </c>
      <c r="BS57">
        <v>12886411.449999999</v>
      </c>
      <c r="BT57" s="1" t="s">
        <v>295</v>
      </c>
      <c r="BU57" s="1" t="s">
        <v>663</v>
      </c>
      <c r="BV57">
        <v>202513</v>
      </c>
      <c r="BW57">
        <v>1.1984572737384654E-2</v>
      </c>
      <c r="BX57">
        <v>44.114459022878599</v>
      </c>
      <c r="BY57">
        <v>2.7500109887694788</v>
      </c>
      <c r="BZ57">
        <v>6.8269411661282158</v>
      </c>
      <c r="CA57">
        <v>53.691411177776295</v>
      </c>
      <c r="CB57" s="1" t="s">
        <v>360</v>
      </c>
      <c r="CC57">
        <v>1</v>
      </c>
      <c r="CD57" s="1" t="s">
        <v>298</v>
      </c>
      <c r="CE57" s="1" t="s">
        <v>504</v>
      </c>
      <c r="CF57">
        <v>1101</v>
      </c>
      <c r="CG57" s="1" t="s">
        <v>300</v>
      </c>
      <c r="CH57" s="1" t="s">
        <v>403</v>
      </c>
      <c r="CI57" s="1" t="s">
        <v>404</v>
      </c>
      <c r="CJ57" s="1" t="s">
        <v>301</v>
      </c>
      <c r="CK57" s="1" t="s">
        <v>302</v>
      </c>
      <c r="CL57" s="1" t="s">
        <v>527</v>
      </c>
      <c r="CM57">
        <v>3601651112004</v>
      </c>
      <c r="CO57" s="1"/>
      <c r="CP57" s="1" t="s">
        <v>2474</v>
      </c>
      <c r="CQ57" s="1" t="s">
        <v>406</v>
      </c>
      <c r="CR57" s="1" t="s">
        <v>505</v>
      </c>
      <c r="CS57">
        <v>5810</v>
      </c>
      <c r="CT57">
        <v>3010</v>
      </c>
      <c r="CU57">
        <v>3000</v>
      </c>
      <c r="CV57" s="1" t="s">
        <v>309</v>
      </c>
      <c r="CW57" s="1" t="s">
        <v>308</v>
      </c>
      <c r="CY57">
        <v>2800</v>
      </c>
      <c r="CZ57" t="s">
        <v>368</v>
      </c>
      <c r="DA57" s="1" t="s">
        <v>309</v>
      </c>
      <c r="DB57">
        <v>2800</v>
      </c>
      <c r="DC57">
        <v>2800</v>
      </c>
      <c r="DD57">
        <v>0</v>
      </c>
      <c r="DE57">
        <v>0</v>
      </c>
      <c r="DF57">
        <v>1430</v>
      </c>
      <c r="DG57">
        <v>1370</v>
      </c>
      <c r="DH57">
        <v>0</v>
      </c>
      <c r="DI57">
        <v>0</v>
      </c>
      <c r="DJ57">
        <v>0</v>
      </c>
      <c r="DK57" s="1" t="s">
        <v>369</v>
      </c>
      <c r="DL57" s="1"/>
      <c r="DN57" s="1"/>
      <c r="DO57">
        <v>654</v>
      </c>
      <c r="DP57">
        <v>0</v>
      </c>
      <c r="DQ57">
        <v>654</v>
      </c>
      <c r="DR57" s="1"/>
      <c r="DS57">
        <v>536</v>
      </c>
      <c r="DT57">
        <v>110</v>
      </c>
      <c r="DU57">
        <v>280</v>
      </c>
      <c r="DV57">
        <v>171</v>
      </c>
      <c r="DW57" s="1" t="s">
        <v>371</v>
      </c>
      <c r="DY57">
        <v>2017</v>
      </c>
      <c r="EA57">
        <v>2</v>
      </c>
      <c r="EB57">
        <v>6</v>
      </c>
      <c r="EC57">
        <v>2</v>
      </c>
      <c r="ED57">
        <v>0</v>
      </c>
      <c r="EE57">
        <v>0</v>
      </c>
      <c r="EF57">
        <v>10</v>
      </c>
      <c r="EG57">
        <v>2017</v>
      </c>
      <c r="EI57" s="1"/>
      <c r="EJ57" s="1" t="s">
        <v>313</v>
      </c>
      <c r="EK57" s="1" t="s">
        <v>314</v>
      </c>
      <c r="EL57">
        <v>28</v>
      </c>
      <c r="EM57">
        <v>0</v>
      </c>
      <c r="EN57">
        <v>12</v>
      </c>
      <c r="EO57" s="1" t="s">
        <v>315</v>
      </c>
      <c r="EP57">
        <v>16</v>
      </c>
      <c r="EQ57">
        <v>47</v>
      </c>
      <c r="ER57" s="1" t="s">
        <v>316</v>
      </c>
      <c r="ES57">
        <v>3</v>
      </c>
      <c r="ET57">
        <v>0</v>
      </c>
      <c r="EU57" s="1"/>
      <c r="EV57">
        <v>107</v>
      </c>
      <c r="EW57">
        <v>0</v>
      </c>
      <c r="EX57" t="s">
        <v>316</v>
      </c>
      <c r="EY57">
        <v>0</v>
      </c>
      <c r="EZ57" s="1" t="s">
        <v>412</v>
      </c>
      <c r="FA57" s="2">
        <v>42736</v>
      </c>
      <c r="FB57" s="1" t="s">
        <v>413</v>
      </c>
      <c r="FC57">
        <v>1</v>
      </c>
      <c r="FD57" s="1"/>
      <c r="FE57" s="2"/>
      <c r="FF57" s="1"/>
      <c r="FG57" s="1" t="s">
        <v>322</v>
      </c>
      <c r="FH57" s="1" t="s">
        <v>319</v>
      </c>
      <c r="FI57" s="1" t="s">
        <v>319</v>
      </c>
      <c r="FJ57" s="1" t="s">
        <v>319</v>
      </c>
      <c r="FK57" s="1" t="s">
        <v>373</v>
      </c>
      <c r="FL57">
        <v>18.59</v>
      </c>
      <c r="FM57">
        <v>4012.080110497237</v>
      </c>
      <c r="FN57" s="1" t="s">
        <v>321</v>
      </c>
      <c r="FO57" s="1" t="s">
        <v>322</v>
      </c>
      <c r="FP57" s="1" t="s">
        <v>323</v>
      </c>
      <c r="FQ57" s="1" t="s">
        <v>324</v>
      </c>
      <c r="FR57" s="1" t="s">
        <v>325</v>
      </c>
      <c r="FS57" s="1"/>
      <c r="FT57" s="1" t="s">
        <v>666</v>
      </c>
      <c r="FV57" s="1" t="s">
        <v>322</v>
      </c>
      <c r="FW57" s="1" t="s">
        <v>322</v>
      </c>
      <c r="FX57" s="1" t="s">
        <v>322</v>
      </c>
      <c r="FY57" s="1"/>
      <c r="FZ57" s="1" t="s">
        <v>319</v>
      </c>
      <c r="GA57" s="1" t="s">
        <v>322</v>
      </c>
      <c r="GB57" s="1" t="s">
        <v>322</v>
      </c>
      <c r="GC57" s="1" t="s">
        <v>322</v>
      </c>
      <c r="GD57" s="1" t="s">
        <v>322</v>
      </c>
      <c r="GE57" s="1"/>
      <c r="GF57" s="1" t="s">
        <v>667</v>
      </c>
      <c r="GG57" s="1"/>
      <c r="GH57" s="1" t="s">
        <v>322</v>
      </c>
      <c r="GI57" s="1"/>
      <c r="GJ57" s="1" t="s">
        <v>322</v>
      </c>
      <c r="GK57" s="2">
        <v>42736</v>
      </c>
      <c r="GL57" s="1" t="s">
        <v>322</v>
      </c>
      <c r="GM57" s="1" t="s">
        <v>322</v>
      </c>
      <c r="GN57">
        <v>43010</v>
      </c>
      <c r="GO57" s="1" t="s">
        <v>319</v>
      </c>
      <c r="GQ57" s="1"/>
      <c r="GR57" s="1"/>
      <c r="GS57" s="1"/>
      <c r="GT57" s="1" t="s">
        <v>322</v>
      </c>
      <c r="GU57" s="1" t="s">
        <v>2475</v>
      </c>
      <c r="GV57" s="1" t="s">
        <v>319</v>
      </c>
      <c r="GW57" s="1" t="s">
        <v>319</v>
      </c>
      <c r="GX57" s="1" t="s">
        <v>322</v>
      </c>
      <c r="GY57" s="1" t="s">
        <v>319</v>
      </c>
      <c r="GZ57" s="1" t="s">
        <v>319</v>
      </c>
      <c r="HA57" s="2">
        <v>44095</v>
      </c>
      <c r="HB57" s="2">
        <v>42823</v>
      </c>
      <c r="HC57" s="1"/>
      <c r="HD57" s="1"/>
      <c r="HE57" s="1"/>
      <c r="HF57" s="1"/>
      <c r="HG57" s="1"/>
      <c r="HH57" s="1"/>
      <c r="HI57" s="1" t="s">
        <v>322</v>
      </c>
      <c r="HJ57" s="1" t="s">
        <v>330</v>
      </c>
      <c r="HK57" s="2"/>
      <c r="HL57" s="1"/>
      <c r="HM57" s="1" t="s">
        <v>322</v>
      </c>
      <c r="HN57" s="1" t="s">
        <v>322</v>
      </c>
      <c r="HO57" s="1" t="s">
        <v>322</v>
      </c>
      <c r="HP57" s="1"/>
      <c r="HQ57" s="1"/>
      <c r="HR57" s="1"/>
      <c r="HS57" s="1"/>
      <c r="HT57" s="1"/>
      <c r="HU57" s="1" t="s">
        <v>331</v>
      </c>
      <c r="HV57">
        <v>4407916</v>
      </c>
      <c r="HW57">
        <v>40638847</v>
      </c>
      <c r="HX57">
        <v>99102569963</v>
      </c>
      <c r="HY57" s="1" t="s">
        <v>2476</v>
      </c>
      <c r="HZ57">
        <v>4407925</v>
      </c>
      <c r="IA57">
        <v>4407922</v>
      </c>
      <c r="IB57" s="1" t="s">
        <v>2477</v>
      </c>
      <c r="IC57">
        <v>335397</v>
      </c>
      <c r="ID57" s="1" t="s">
        <v>2478</v>
      </c>
      <c r="IE57">
        <v>0</v>
      </c>
      <c r="IF57">
        <v>0</v>
      </c>
      <c r="IG57">
        <v>2.9</v>
      </c>
      <c r="IH57">
        <v>2.8</v>
      </c>
      <c r="II57">
        <v>2.8</v>
      </c>
      <c r="IJ57">
        <v>3.1333333333333333</v>
      </c>
      <c r="IK57">
        <v>3.1</v>
      </c>
    </row>
    <row r="58" spans="1:245" x14ac:dyDescent="0.3">
      <c r="A58">
        <v>1740</v>
      </c>
      <c r="B58">
        <v>2357</v>
      </c>
      <c r="C58" s="1" t="s">
        <v>2344</v>
      </c>
      <c r="D58" s="1" t="s">
        <v>642</v>
      </c>
      <c r="E58" t="s">
        <v>3275</v>
      </c>
      <c r="F58" s="1" t="s">
        <v>2181</v>
      </c>
      <c r="G58" s="1" t="s">
        <v>2182</v>
      </c>
      <c r="H58">
        <v>686016869</v>
      </c>
      <c r="I58" s="1" t="s">
        <v>2345</v>
      </c>
      <c r="J58" s="1" t="s">
        <v>2346</v>
      </c>
      <c r="L58">
        <v>43313</v>
      </c>
      <c r="M58" s="1" t="s">
        <v>2347</v>
      </c>
      <c r="N58" s="1" t="s">
        <v>2348</v>
      </c>
      <c r="O58">
        <v>618740741</v>
      </c>
      <c r="P58" s="1" t="s">
        <v>273</v>
      </c>
      <c r="Q58" s="1" t="s">
        <v>2324</v>
      </c>
      <c r="R58" s="1" t="s">
        <v>2260</v>
      </c>
      <c r="S58" s="1" t="s">
        <v>2349</v>
      </c>
      <c r="T58" s="1" t="s">
        <v>2350</v>
      </c>
      <c r="U58">
        <v>243435904</v>
      </c>
      <c r="V58" s="1" t="s">
        <v>276</v>
      </c>
      <c r="W58" s="1" t="s">
        <v>2324</v>
      </c>
      <c r="X58" s="1" t="s">
        <v>2187</v>
      </c>
      <c r="Y58" s="1" t="s">
        <v>2351</v>
      </c>
      <c r="Z58" s="1" t="s">
        <v>2352</v>
      </c>
      <c r="AA58">
        <v>787860747</v>
      </c>
      <c r="AB58" s="1" t="s">
        <v>2183</v>
      </c>
      <c r="AC58" s="1" t="s">
        <v>2353</v>
      </c>
      <c r="AD58" s="1" t="s">
        <v>2354</v>
      </c>
      <c r="AE58" s="1" t="s">
        <v>2355</v>
      </c>
      <c r="AF58">
        <v>770279174</v>
      </c>
      <c r="AG58" s="1" t="s">
        <v>2233</v>
      </c>
      <c r="AH58" s="1" t="s">
        <v>2217</v>
      </c>
      <c r="AI58" s="1" t="s">
        <v>2356</v>
      </c>
      <c r="AJ58" s="1" t="s">
        <v>2357</v>
      </c>
      <c r="AK58">
        <v>243435900</v>
      </c>
      <c r="AL58" s="1" t="s">
        <v>2391</v>
      </c>
      <c r="AM58" s="1" t="s">
        <v>2401</v>
      </c>
      <c r="AN58" s="1" t="s">
        <v>524</v>
      </c>
      <c r="AO58" s="1"/>
      <c r="AQ58" s="1" t="s">
        <v>2345</v>
      </c>
      <c r="AR58" s="1" t="s">
        <v>2289</v>
      </c>
      <c r="AS58" s="1" t="s">
        <v>2358</v>
      </c>
      <c r="AT58" s="1" t="s">
        <v>2359</v>
      </c>
      <c r="AU58">
        <v>243435911</v>
      </c>
      <c r="AV58" s="1" t="s">
        <v>2368</v>
      </c>
      <c r="AW58" s="1" t="s">
        <v>2223</v>
      </c>
      <c r="AX58" s="1" t="s">
        <v>2199</v>
      </c>
      <c r="AY58">
        <v>620112928</v>
      </c>
      <c r="AZ58" s="1" t="s">
        <v>356</v>
      </c>
      <c r="BA58">
        <v>678408523</v>
      </c>
      <c r="BB58" s="1" t="s">
        <v>2360</v>
      </c>
      <c r="BC58" s="1" t="s">
        <v>2361</v>
      </c>
      <c r="BD58">
        <v>72</v>
      </c>
      <c r="BE58">
        <v>243435900</v>
      </c>
      <c r="BF58">
        <v>47.9742431640625</v>
      </c>
      <c r="BG58">
        <v>0.14555454254150399</v>
      </c>
      <c r="BH58">
        <v>451647903</v>
      </c>
      <c r="BI58">
        <v>314</v>
      </c>
      <c r="BJ58" s="2">
        <v>37363</v>
      </c>
      <c r="BK58" s="1" t="s">
        <v>3289</v>
      </c>
      <c r="BL58" s="1" t="s">
        <v>290</v>
      </c>
      <c r="BM58" s="1" t="s">
        <v>291</v>
      </c>
      <c r="BN58" s="1" t="s">
        <v>292</v>
      </c>
      <c r="BO58" s="1" t="s">
        <v>291</v>
      </c>
      <c r="BP58" s="1" t="s">
        <v>293</v>
      </c>
      <c r="BQ58" s="1" t="s">
        <v>294</v>
      </c>
      <c r="BR58">
        <v>80</v>
      </c>
      <c r="BS58">
        <v>22792177.719999999</v>
      </c>
      <c r="BT58" s="1" t="s">
        <v>295</v>
      </c>
      <c r="BU58" s="1" t="s">
        <v>296</v>
      </c>
      <c r="BV58">
        <v>368464</v>
      </c>
      <c r="BW58">
        <v>1.0209514902150852E-2</v>
      </c>
      <c r="BX58">
        <v>52.2283905848223</v>
      </c>
      <c r="BY58">
        <v>5.0785312410716239</v>
      </c>
      <c r="BZ58">
        <v>3.6801163710687681</v>
      </c>
      <c r="CA58">
        <v>60.987038196962693</v>
      </c>
      <c r="CB58" s="1" t="s">
        <v>297</v>
      </c>
      <c r="CC58">
        <v>1</v>
      </c>
      <c r="CD58" s="1" t="s">
        <v>298</v>
      </c>
      <c r="CE58" s="1" t="s">
        <v>504</v>
      </c>
      <c r="CF58">
        <v>1101</v>
      </c>
      <c r="CG58" s="1" t="s">
        <v>300</v>
      </c>
      <c r="CH58" s="1" t="s">
        <v>403</v>
      </c>
      <c r="CI58" s="1" t="s">
        <v>404</v>
      </c>
      <c r="CJ58" s="1" t="s">
        <v>301</v>
      </c>
      <c r="CK58" s="1" t="s">
        <v>302</v>
      </c>
      <c r="CL58" s="1" t="s">
        <v>527</v>
      </c>
      <c r="CM58">
        <v>3601651112004</v>
      </c>
      <c r="CO58" s="1"/>
      <c r="CP58" s="1" t="s">
        <v>1046</v>
      </c>
      <c r="CQ58" s="1" t="s">
        <v>406</v>
      </c>
      <c r="CR58" s="1" t="s">
        <v>306</v>
      </c>
      <c r="CS58">
        <v>7316</v>
      </c>
      <c r="CT58">
        <v>3700</v>
      </c>
      <c r="CU58">
        <v>3700</v>
      </c>
      <c r="CV58" s="1" t="s">
        <v>307</v>
      </c>
      <c r="CW58" s="1" t="s">
        <v>308</v>
      </c>
      <c r="CY58">
        <v>3616</v>
      </c>
      <c r="CZ58">
        <v>3500</v>
      </c>
      <c r="DA58" s="1" t="s">
        <v>307</v>
      </c>
      <c r="DB58">
        <v>3616</v>
      </c>
      <c r="DC58">
        <v>3616</v>
      </c>
      <c r="DD58">
        <v>0</v>
      </c>
      <c r="DE58">
        <v>0</v>
      </c>
      <c r="DF58">
        <v>722</v>
      </c>
      <c r="DG58">
        <v>2894</v>
      </c>
      <c r="DH58">
        <v>0</v>
      </c>
      <c r="DI58">
        <v>0</v>
      </c>
      <c r="DJ58">
        <v>0</v>
      </c>
      <c r="DK58" s="1" t="s">
        <v>369</v>
      </c>
      <c r="DL58" s="1" t="s">
        <v>410</v>
      </c>
      <c r="DN58" s="1" t="s">
        <v>1095</v>
      </c>
      <c r="DO58">
        <v>875</v>
      </c>
      <c r="DP58">
        <v>0</v>
      </c>
      <c r="DQ58">
        <v>875</v>
      </c>
      <c r="DR58" s="1"/>
      <c r="DS58">
        <v>910</v>
      </c>
      <c r="DT58">
        <v>118</v>
      </c>
      <c r="DU58">
        <v>232</v>
      </c>
      <c r="DV58">
        <v>295</v>
      </c>
      <c r="DW58" s="1" t="s">
        <v>371</v>
      </c>
      <c r="DX58">
        <v>18</v>
      </c>
      <c r="DY58">
        <v>2017</v>
      </c>
      <c r="DZ58">
        <v>2</v>
      </c>
      <c r="EA58">
        <v>2</v>
      </c>
      <c r="EB58">
        <v>10</v>
      </c>
      <c r="EC58">
        <v>2</v>
      </c>
      <c r="ED58">
        <v>0</v>
      </c>
      <c r="EE58">
        <v>0</v>
      </c>
      <c r="EF58">
        <v>14</v>
      </c>
      <c r="EG58">
        <v>2010</v>
      </c>
      <c r="EI58" s="1"/>
      <c r="EJ58" s="1" t="s">
        <v>313</v>
      </c>
      <c r="EK58" s="1" t="s">
        <v>314</v>
      </c>
      <c r="EL58">
        <v>30</v>
      </c>
      <c r="EM58">
        <v>28</v>
      </c>
      <c r="EN58">
        <v>12</v>
      </c>
      <c r="EO58" s="1" t="s">
        <v>315</v>
      </c>
      <c r="EP58">
        <v>23</v>
      </c>
      <c r="EQ58">
        <v>101.530384824922</v>
      </c>
      <c r="ER58" s="1" t="s">
        <v>480</v>
      </c>
      <c r="ES58">
        <v>6.4385122084096871</v>
      </c>
      <c r="ET58">
        <v>0</v>
      </c>
      <c r="EU58" s="1"/>
      <c r="EV58">
        <v>135.45639146154227</v>
      </c>
      <c r="EW58">
        <v>0</v>
      </c>
      <c r="EX58" t="s">
        <v>316</v>
      </c>
      <c r="EY58">
        <v>0</v>
      </c>
      <c r="EZ58" s="1" t="s">
        <v>317</v>
      </c>
      <c r="FA58" s="2"/>
      <c r="FB58" s="1" t="s">
        <v>318</v>
      </c>
      <c r="FC58">
        <v>1</v>
      </c>
      <c r="FD58" s="1"/>
      <c r="FE58" s="2"/>
      <c r="FF58" s="1"/>
      <c r="FG58" s="1" t="s">
        <v>319</v>
      </c>
      <c r="FH58" s="1" t="s">
        <v>319</v>
      </c>
      <c r="FI58" s="1" t="s">
        <v>319</v>
      </c>
      <c r="FJ58" s="1" t="s">
        <v>319</v>
      </c>
      <c r="FK58" s="1" t="s">
        <v>373</v>
      </c>
      <c r="FL58">
        <v>18.59</v>
      </c>
      <c r="FM58">
        <v>3932.6532228360943</v>
      </c>
      <c r="FN58" s="1" t="s">
        <v>321</v>
      </c>
      <c r="FO58" s="1" t="s">
        <v>322</v>
      </c>
      <c r="FP58" s="1" t="s">
        <v>323</v>
      </c>
      <c r="FQ58" s="1" t="s">
        <v>559</v>
      </c>
      <c r="FR58" s="1" t="s">
        <v>325</v>
      </c>
      <c r="FS58" s="1"/>
      <c r="FT58" s="1" t="s">
        <v>326</v>
      </c>
      <c r="FU58">
        <v>494198191</v>
      </c>
      <c r="FV58" s="1" t="s">
        <v>319</v>
      </c>
      <c r="FW58" s="1" t="s">
        <v>322</v>
      </c>
      <c r="FX58" s="1" t="s">
        <v>322</v>
      </c>
      <c r="FY58" s="1" t="s">
        <v>322</v>
      </c>
      <c r="FZ58" s="1" t="s">
        <v>322</v>
      </c>
      <c r="GA58" s="1" t="s">
        <v>322</v>
      </c>
      <c r="GB58" s="1" t="s">
        <v>319</v>
      </c>
      <c r="GC58" s="1" t="s">
        <v>322</v>
      </c>
      <c r="GD58" s="1" t="s">
        <v>322</v>
      </c>
      <c r="GE58" s="1" t="s">
        <v>319</v>
      </c>
      <c r="GF58" s="1" t="s">
        <v>327</v>
      </c>
      <c r="GG58" s="1"/>
      <c r="GH58" s="1" t="s">
        <v>322</v>
      </c>
      <c r="GI58" s="1"/>
      <c r="GJ58" s="1" t="s">
        <v>322</v>
      </c>
      <c r="GK58" s="2">
        <v>42005</v>
      </c>
      <c r="GL58" s="1" t="s">
        <v>322</v>
      </c>
      <c r="GM58" s="1" t="s">
        <v>322</v>
      </c>
      <c r="GN58">
        <v>42989</v>
      </c>
      <c r="GO58" s="1" t="s">
        <v>322</v>
      </c>
      <c r="GP58">
        <v>43160</v>
      </c>
      <c r="GQ58" s="1" t="s">
        <v>2362</v>
      </c>
      <c r="GR58" s="1" t="s">
        <v>322</v>
      </c>
      <c r="GS58" s="1" t="s">
        <v>448</v>
      </c>
      <c r="GT58" s="1" t="s">
        <v>322</v>
      </c>
      <c r="GU58" s="1" t="s">
        <v>2363</v>
      </c>
      <c r="GV58" s="1" t="s">
        <v>322</v>
      </c>
      <c r="GW58" s="1" t="s">
        <v>322</v>
      </c>
      <c r="GX58" s="1" t="s">
        <v>319</v>
      </c>
      <c r="GY58" s="1" t="s">
        <v>319</v>
      </c>
      <c r="GZ58" s="1" t="s">
        <v>319</v>
      </c>
      <c r="HA58" s="2">
        <v>44063</v>
      </c>
      <c r="HB58" s="2">
        <v>42667</v>
      </c>
      <c r="HC58" s="1"/>
      <c r="HD58" s="1"/>
      <c r="HE58" s="1"/>
      <c r="HF58" s="1"/>
      <c r="HG58" s="1"/>
      <c r="HH58" s="1"/>
      <c r="HI58" s="1" t="s">
        <v>319</v>
      </c>
      <c r="HJ58" s="1" t="s">
        <v>330</v>
      </c>
      <c r="HK58" s="2"/>
      <c r="HL58" s="1"/>
      <c r="HM58" s="1" t="s">
        <v>322</v>
      </c>
      <c r="HN58" s="1" t="s">
        <v>322</v>
      </c>
      <c r="HO58" s="1"/>
      <c r="HP58" s="1"/>
      <c r="HQ58" s="1"/>
      <c r="HR58" s="1"/>
      <c r="HS58" s="1"/>
      <c r="HT58" s="1"/>
      <c r="HU58" s="1" t="s">
        <v>331</v>
      </c>
      <c r="HV58">
        <v>4622010015</v>
      </c>
      <c r="HW58">
        <v>40638818</v>
      </c>
      <c r="HX58">
        <v>99102569901</v>
      </c>
      <c r="HY58" s="1" t="s">
        <v>2364</v>
      </c>
      <c r="HZ58">
        <v>4319024</v>
      </c>
      <c r="IA58">
        <v>4321552</v>
      </c>
      <c r="IB58" s="1" t="s">
        <v>2365</v>
      </c>
      <c r="IC58">
        <v>830251</v>
      </c>
      <c r="ID58" s="1" t="s">
        <v>2366</v>
      </c>
      <c r="IE58">
        <v>3.97</v>
      </c>
      <c r="IF58">
        <v>4.97</v>
      </c>
      <c r="IG58">
        <v>6.21</v>
      </c>
      <c r="IH58">
        <v>7.76</v>
      </c>
      <c r="II58">
        <v>7.12</v>
      </c>
      <c r="IJ58">
        <v>4.55</v>
      </c>
      <c r="IK58">
        <v>4.55</v>
      </c>
    </row>
    <row r="59" spans="1:245" x14ac:dyDescent="0.3">
      <c r="A59">
        <v>1946</v>
      </c>
      <c r="B59">
        <v>2446</v>
      </c>
      <c r="C59" s="1" t="s">
        <v>2367</v>
      </c>
      <c r="D59" s="1" t="s">
        <v>1074</v>
      </c>
      <c r="E59" t="s">
        <v>3275</v>
      </c>
      <c r="F59" s="1" t="s">
        <v>2181</v>
      </c>
      <c r="G59" s="1" t="s">
        <v>2182</v>
      </c>
      <c r="H59">
        <v>686016869</v>
      </c>
      <c r="I59" s="1" t="s">
        <v>2368</v>
      </c>
      <c r="J59" s="1" t="s">
        <v>2369</v>
      </c>
      <c r="L59">
        <v>43328</v>
      </c>
      <c r="M59" s="1" t="s">
        <v>2370</v>
      </c>
      <c r="N59" s="1" t="s">
        <v>2371</v>
      </c>
      <c r="O59">
        <v>134571368</v>
      </c>
      <c r="P59" s="1" t="s">
        <v>273</v>
      </c>
      <c r="Q59" s="1" t="s">
        <v>2324</v>
      </c>
      <c r="R59" s="1" t="s">
        <v>2260</v>
      </c>
      <c r="S59" s="1" t="s">
        <v>2372</v>
      </c>
      <c r="T59" s="1" t="s">
        <v>2373</v>
      </c>
      <c r="U59">
        <v>134571360</v>
      </c>
      <c r="V59" s="1" t="s">
        <v>276</v>
      </c>
      <c r="W59" s="1" t="s">
        <v>2324</v>
      </c>
      <c r="X59" s="1" t="s">
        <v>2187</v>
      </c>
      <c r="Y59" s="1" t="s">
        <v>2374</v>
      </c>
      <c r="Z59" s="1" t="s">
        <v>2375</v>
      </c>
      <c r="AA59">
        <v>134571365</v>
      </c>
      <c r="AB59" s="1" t="s">
        <v>2183</v>
      </c>
      <c r="AC59" s="1" t="s">
        <v>2353</v>
      </c>
      <c r="AD59" s="1" t="s">
        <v>524</v>
      </c>
      <c r="AE59" s="1"/>
      <c r="AG59" s="1" t="s">
        <v>2233</v>
      </c>
      <c r="AH59" s="1" t="s">
        <v>2217</v>
      </c>
      <c r="AI59" s="1" t="s">
        <v>2376</v>
      </c>
      <c r="AJ59" s="1" t="s">
        <v>2377</v>
      </c>
      <c r="AK59">
        <v>134571364</v>
      </c>
      <c r="AL59" s="1" t="s">
        <v>2391</v>
      </c>
      <c r="AM59" s="1" t="s">
        <v>2401</v>
      </c>
      <c r="AN59" s="1" t="s">
        <v>2378</v>
      </c>
      <c r="AO59" s="1" t="s">
        <v>2379</v>
      </c>
      <c r="AP59">
        <v>134571362</v>
      </c>
      <c r="AQ59" s="1" t="s">
        <v>2345</v>
      </c>
      <c r="AR59" s="1" t="s">
        <v>2289</v>
      </c>
      <c r="AS59" s="1" t="s">
        <v>2380</v>
      </c>
      <c r="AT59" s="1" t="s">
        <v>2381</v>
      </c>
      <c r="AU59">
        <v>134571360</v>
      </c>
      <c r="AV59" s="1" t="s">
        <v>2368</v>
      </c>
      <c r="AW59" s="1" t="s">
        <v>2223</v>
      </c>
      <c r="AX59" s="1" t="s">
        <v>2199</v>
      </c>
      <c r="AY59">
        <v>620112929</v>
      </c>
      <c r="AZ59" s="1" t="s">
        <v>356</v>
      </c>
      <c r="BA59">
        <v>678408524</v>
      </c>
      <c r="BB59" s="1" t="s">
        <v>2382</v>
      </c>
      <c r="BC59" s="1" t="s">
        <v>2383</v>
      </c>
      <c r="BD59">
        <v>78</v>
      </c>
      <c r="BE59">
        <v>134571360</v>
      </c>
      <c r="BF59">
        <v>48.718702999999998</v>
      </c>
      <c r="BG59">
        <v>1.8835839999999999</v>
      </c>
      <c r="BH59">
        <v>451647903</v>
      </c>
      <c r="BI59">
        <v>1379</v>
      </c>
      <c r="BJ59" s="2">
        <v>42564</v>
      </c>
      <c r="BK59" s="1" t="s">
        <v>3410</v>
      </c>
      <c r="BL59" s="1" t="s">
        <v>290</v>
      </c>
      <c r="BM59" s="1" t="s">
        <v>291</v>
      </c>
      <c r="BN59" s="1" t="s">
        <v>292</v>
      </c>
      <c r="BO59" s="1" t="s">
        <v>291</v>
      </c>
      <c r="BP59" s="1" t="s">
        <v>293</v>
      </c>
      <c r="BQ59" s="1" t="s">
        <v>1522</v>
      </c>
      <c r="BR59">
        <v>83</v>
      </c>
      <c r="BS59">
        <v>16418539.130000001</v>
      </c>
      <c r="BT59" s="1" t="s">
        <v>295</v>
      </c>
      <c r="BU59" s="1" t="s">
        <v>663</v>
      </c>
      <c r="BV59">
        <v>239475</v>
      </c>
      <c r="BW59">
        <v>1.0078819566876463E-2</v>
      </c>
      <c r="BX59">
        <v>46.600052746093503</v>
      </c>
      <c r="BY59">
        <v>0.66666666666666663</v>
      </c>
      <c r="BZ59">
        <v>6.3984934397046205</v>
      </c>
      <c r="CA59">
        <v>53.665212852464791</v>
      </c>
      <c r="CB59" s="1" t="s">
        <v>443</v>
      </c>
      <c r="CC59">
        <v>1</v>
      </c>
      <c r="CD59" s="1" t="s">
        <v>361</v>
      </c>
      <c r="CE59" s="1" t="s">
        <v>299</v>
      </c>
      <c r="CF59">
        <v>1101</v>
      </c>
      <c r="CG59" s="1" t="s">
        <v>300</v>
      </c>
      <c r="CH59" s="1" t="s">
        <v>301</v>
      </c>
      <c r="CI59" s="1" t="s">
        <v>302</v>
      </c>
      <c r="CJ59" s="1" t="s">
        <v>301</v>
      </c>
      <c r="CK59" s="1" t="s">
        <v>302</v>
      </c>
      <c r="CL59" s="1" t="s">
        <v>303</v>
      </c>
      <c r="CM59">
        <v>3601651117009</v>
      </c>
      <c r="CO59" s="1"/>
      <c r="CP59" s="1" t="s">
        <v>2384</v>
      </c>
      <c r="CQ59" s="1" t="s">
        <v>367</v>
      </c>
      <c r="CR59" s="1" t="s">
        <v>505</v>
      </c>
      <c r="CS59">
        <v>6130</v>
      </c>
      <c r="CT59">
        <v>3010</v>
      </c>
      <c r="CU59">
        <v>3000</v>
      </c>
      <c r="CV59" s="1" t="s">
        <v>309</v>
      </c>
      <c r="CW59" s="1" t="s">
        <v>308</v>
      </c>
      <c r="CY59">
        <v>3120</v>
      </c>
      <c r="CZ59">
        <v>3000</v>
      </c>
      <c r="DA59" s="1" t="s">
        <v>309</v>
      </c>
      <c r="DB59">
        <v>3204</v>
      </c>
      <c r="DC59">
        <v>3120</v>
      </c>
      <c r="DD59">
        <v>84</v>
      </c>
      <c r="DE59">
        <v>0</v>
      </c>
      <c r="DF59">
        <v>1000</v>
      </c>
      <c r="DG59">
        <v>2120</v>
      </c>
      <c r="DH59">
        <v>0</v>
      </c>
      <c r="DI59">
        <v>0</v>
      </c>
      <c r="DJ59">
        <v>0</v>
      </c>
      <c r="DK59" s="1" t="s">
        <v>409</v>
      </c>
      <c r="DL59" s="1" t="s">
        <v>741</v>
      </c>
      <c r="DN59" s="1" t="s">
        <v>1095</v>
      </c>
      <c r="DO59">
        <v>735</v>
      </c>
      <c r="DP59">
        <v>0</v>
      </c>
      <c r="DQ59">
        <v>735</v>
      </c>
      <c r="DR59" s="1"/>
      <c r="DS59">
        <v>580</v>
      </c>
      <c r="DT59">
        <v>90</v>
      </c>
      <c r="DU59">
        <v>300</v>
      </c>
      <c r="DV59">
        <v>288</v>
      </c>
      <c r="DW59" s="1" t="s">
        <v>371</v>
      </c>
      <c r="DZ59">
        <v>2</v>
      </c>
      <c r="EA59">
        <v>2</v>
      </c>
      <c r="EB59">
        <v>8</v>
      </c>
      <c r="EC59">
        <v>2</v>
      </c>
      <c r="ED59">
        <v>0</v>
      </c>
      <c r="EE59">
        <v>1</v>
      </c>
      <c r="EF59">
        <v>13</v>
      </c>
      <c r="EG59">
        <v>2016</v>
      </c>
      <c r="EI59" s="1"/>
      <c r="EJ59" s="1" t="s">
        <v>313</v>
      </c>
      <c r="EK59" s="1" t="s">
        <v>314</v>
      </c>
      <c r="EL59">
        <v>28</v>
      </c>
      <c r="EM59">
        <v>26</v>
      </c>
      <c r="EN59">
        <v>12</v>
      </c>
      <c r="EO59" s="1" t="s">
        <v>315</v>
      </c>
      <c r="EP59">
        <v>17</v>
      </c>
      <c r="EQ59">
        <v>150.97907750798689</v>
      </c>
      <c r="ER59" s="1" t="s">
        <v>480</v>
      </c>
      <c r="ES59">
        <v>4.7136990647880346</v>
      </c>
      <c r="ET59">
        <v>0</v>
      </c>
      <c r="EU59" s="1"/>
      <c r="EV59">
        <v>60.926319255319967</v>
      </c>
      <c r="EW59">
        <v>0</v>
      </c>
      <c r="EX59" t="s">
        <v>316</v>
      </c>
      <c r="EY59">
        <v>0</v>
      </c>
      <c r="EZ59" s="1" t="s">
        <v>317</v>
      </c>
      <c r="FA59" s="2"/>
      <c r="FB59" s="1" t="s">
        <v>2385</v>
      </c>
      <c r="FC59">
        <v>1</v>
      </c>
      <c r="FD59" s="1"/>
      <c r="FE59" s="2"/>
      <c r="FF59" s="1"/>
      <c r="FG59" s="1" t="s">
        <v>322</v>
      </c>
      <c r="FH59" s="1" t="s">
        <v>322</v>
      </c>
      <c r="FI59" s="1" t="s">
        <v>322</v>
      </c>
      <c r="FJ59" s="1" t="s">
        <v>322</v>
      </c>
      <c r="FK59" s="1" t="s">
        <v>1096</v>
      </c>
      <c r="FL59">
        <v>19.27</v>
      </c>
      <c r="FM59">
        <v>8051.6844919786099</v>
      </c>
      <c r="FN59" s="1" t="s">
        <v>321</v>
      </c>
      <c r="FO59" s="1" t="s">
        <v>322</v>
      </c>
      <c r="FP59" s="1" t="s">
        <v>323</v>
      </c>
      <c r="FQ59" s="1" t="s">
        <v>324</v>
      </c>
      <c r="FR59" s="1" t="s">
        <v>918</v>
      </c>
      <c r="FS59" s="1"/>
      <c r="FT59" s="1" t="s">
        <v>326</v>
      </c>
      <c r="FU59">
        <v>494198191</v>
      </c>
      <c r="FV59" s="1" t="s">
        <v>322</v>
      </c>
      <c r="FW59" s="1" t="s">
        <v>322</v>
      </c>
      <c r="FX59" s="1" t="s">
        <v>322</v>
      </c>
      <c r="FY59" s="1" t="s">
        <v>322</v>
      </c>
      <c r="FZ59" s="1" t="s">
        <v>319</v>
      </c>
      <c r="GA59" s="1" t="s">
        <v>322</v>
      </c>
      <c r="GB59" s="1" t="s">
        <v>322</v>
      </c>
      <c r="GC59" s="1" t="s">
        <v>322</v>
      </c>
      <c r="GD59" s="1" t="s">
        <v>322</v>
      </c>
      <c r="GE59" s="1"/>
      <c r="GF59" s="1" t="s">
        <v>667</v>
      </c>
      <c r="GG59" s="1"/>
      <c r="GH59" s="1" t="s">
        <v>322</v>
      </c>
      <c r="GI59" s="1"/>
      <c r="GJ59" s="1" t="s">
        <v>322</v>
      </c>
      <c r="GK59" s="2">
        <v>42370</v>
      </c>
      <c r="GL59" s="1" t="s">
        <v>322</v>
      </c>
      <c r="GM59" s="1" t="s">
        <v>322</v>
      </c>
      <c r="GN59">
        <v>43011</v>
      </c>
      <c r="GO59" s="1" t="s">
        <v>322</v>
      </c>
      <c r="GP59">
        <v>42559</v>
      </c>
      <c r="GQ59" s="1" t="s">
        <v>2386</v>
      </c>
      <c r="GR59" s="1" t="s">
        <v>319</v>
      </c>
      <c r="GS59" s="1" t="s">
        <v>377</v>
      </c>
      <c r="GT59" s="1" t="s">
        <v>319</v>
      </c>
      <c r="GU59" s="1" t="s">
        <v>319</v>
      </c>
      <c r="GV59" s="1" t="s">
        <v>319</v>
      </c>
      <c r="GW59" s="1" t="s">
        <v>319</v>
      </c>
      <c r="GX59" s="1" t="s">
        <v>319</v>
      </c>
      <c r="GY59" s="1" t="s">
        <v>319</v>
      </c>
      <c r="GZ59" s="1" t="s">
        <v>319</v>
      </c>
      <c r="HA59" s="2">
        <v>44085</v>
      </c>
      <c r="HB59" s="2">
        <v>42674</v>
      </c>
      <c r="HC59" s="1"/>
      <c r="HD59" s="1"/>
      <c r="HE59" s="1" t="s">
        <v>322</v>
      </c>
      <c r="HF59" s="1" t="s">
        <v>322</v>
      </c>
      <c r="HG59" s="1"/>
      <c r="HH59" s="1"/>
      <c r="HI59" s="1"/>
      <c r="HJ59" s="1" t="s">
        <v>330</v>
      </c>
      <c r="HK59" s="2"/>
      <c r="HL59" s="1"/>
      <c r="HM59" s="1" t="s">
        <v>322</v>
      </c>
      <c r="HN59" s="1" t="s">
        <v>322</v>
      </c>
      <c r="HO59" s="1"/>
      <c r="HP59" s="1"/>
      <c r="HQ59" s="1"/>
      <c r="HR59" s="1"/>
      <c r="HS59" s="1"/>
      <c r="HT59" s="1"/>
      <c r="HU59" s="1" t="s">
        <v>331</v>
      </c>
      <c r="HV59">
        <v>4372217014</v>
      </c>
      <c r="HW59">
        <v>40638480</v>
      </c>
      <c r="HX59">
        <v>99102567812</v>
      </c>
      <c r="HY59" s="1" t="s">
        <v>2387</v>
      </c>
      <c r="HZ59">
        <v>4372263</v>
      </c>
      <c r="IA59">
        <v>4372229</v>
      </c>
      <c r="IB59" s="1" t="s">
        <v>2388</v>
      </c>
      <c r="IC59">
        <v>830008</v>
      </c>
      <c r="ID59" s="1" t="s">
        <v>2389</v>
      </c>
      <c r="IG59">
        <v>2.9</v>
      </c>
      <c r="IH59">
        <v>2.8</v>
      </c>
      <c r="II59">
        <v>2.0299999999999998</v>
      </c>
      <c r="IJ59">
        <v>2.1915384615384617</v>
      </c>
      <c r="IK59">
        <v>2.23</v>
      </c>
    </row>
    <row r="60" spans="1:245" x14ac:dyDescent="0.3">
      <c r="A60">
        <v>1708</v>
      </c>
      <c r="B60">
        <v>2335</v>
      </c>
      <c r="C60" s="1" t="s">
        <v>1849</v>
      </c>
      <c r="D60" s="1" t="s">
        <v>1451</v>
      </c>
      <c r="E60" t="s">
        <v>3275</v>
      </c>
      <c r="F60" s="1" t="s">
        <v>1728</v>
      </c>
      <c r="G60" s="1" t="s">
        <v>1729</v>
      </c>
      <c r="H60">
        <v>626529799</v>
      </c>
      <c r="I60" s="1" t="s">
        <v>1850</v>
      </c>
      <c r="J60" s="1" t="s">
        <v>1851</v>
      </c>
      <c r="K60">
        <v>622603928</v>
      </c>
      <c r="L60">
        <v>44375</v>
      </c>
      <c r="M60" s="1" t="s">
        <v>1852</v>
      </c>
      <c r="N60" s="1" t="s">
        <v>1853</v>
      </c>
      <c r="O60">
        <v>321456525</v>
      </c>
      <c r="P60" s="1" t="s">
        <v>273</v>
      </c>
      <c r="Q60" s="1" t="s">
        <v>1898</v>
      </c>
      <c r="R60" s="1" t="s">
        <v>1875</v>
      </c>
      <c r="S60" s="1" t="s">
        <v>1854</v>
      </c>
      <c r="T60" s="1" t="s">
        <v>1855</v>
      </c>
      <c r="U60">
        <v>321456525</v>
      </c>
      <c r="V60" s="1" t="s">
        <v>276</v>
      </c>
      <c r="W60" s="1" t="s">
        <v>1873</v>
      </c>
      <c r="X60" s="1" t="s">
        <v>1734</v>
      </c>
      <c r="Y60" s="1" t="s">
        <v>1856</v>
      </c>
      <c r="Z60" s="1" t="s">
        <v>1857</v>
      </c>
      <c r="AA60">
        <v>321456525</v>
      </c>
      <c r="AB60" s="1" t="s">
        <v>1764</v>
      </c>
      <c r="AC60" s="1" t="s">
        <v>1806</v>
      </c>
      <c r="AD60" s="1" t="s">
        <v>1854</v>
      </c>
      <c r="AE60" s="1" t="s">
        <v>1855</v>
      </c>
      <c r="AF60">
        <v>321456522</v>
      </c>
      <c r="AG60" s="1" t="s">
        <v>1950</v>
      </c>
      <c r="AH60" s="1" t="s">
        <v>1835</v>
      </c>
      <c r="AI60" s="1" t="s">
        <v>1858</v>
      </c>
      <c r="AJ60" s="1" t="s">
        <v>1859</v>
      </c>
      <c r="AK60">
        <v>321456525</v>
      </c>
      <c r="AL60" s="1" t="s">
        <v>1920</v>
      </c>
      <c r="AM60" s="1" t="s">
        <v>1858</v>
      </c>
      <c r="AN60" s="1" t="s">
        <v>1860</v>
      </c>
      <c r="AO60" s="1" t="s">
        <v>1861</v>
      </c>
      <c r="AP60">
        <v>321456529</v>
      </c>
      <c r="AQ60" s="1" t="s">
        <v>1730</v>
      </c>
      <c r="AR60" s="1" t="s">
        <v>1740</v>
      </c>
      <c r="AS60" s="1" t="s">
        <v>1862</v>
      </c>
      <c r="AT60" s="1" t="s">
        <v>1863</v>
      </c>
      <c r="AU60">
        <v>321456526</v>
      </c>
      <c r="AV60" s="1" t="s">
        <v>1850</v>
      </c>
      <c r="AW60" s="1" t="s">
        <v>1955</v>
      </c>
      <c r="AX60" s="1" t="s">
        <v>1744</v>
      </c>
      <c r="AY60">
        <v>617425656</v>
      </c>
      <c r="AZ60" s="1" t="s">
        <v>660</v>
      </c>
      <c r="BA60">
        <v>678409252</v>
      </c>
      <c r="BB60" s="1" t="s">
        <v>1864</v>
      </c>
      <c r="BC60" s="1" t="s">
        <v>1865</v>
      </c>
      <c r="BD60">
        <v>62</v>
      </c>
      <c r="BE60">
        <v>321456525</v>
      </c>
      <c r="BF60">
        <v>50.421875</v>
      </c>
      <c r="BG60">
        <v>2.7705841064453098</v>
      </c>
      <c r="BH60">
        <v>451647903</v>
      </c>
      <c r="BI60">
        <v>595</v>
      </c>
      <c r="BJ60" s="2">
        <v>35165</v>
      </c>
      <c r="BK60" s="1" t="s">
        <v>3386</v>
      </c>
      <c r="BL60" s="1" t="s">
        <v>290</v>
      </c>
      <c r="BM60" s="1" t="s">
        <v>291</v>
      </c>
      <c r="BN60" s="1" t="s">
        <v>292</v>
      </c>
      <c r="BO60" s="1" t="s">
        <v>291</v>
      </c>
      <c r="BP60" s="1" t="s">
        <v>293</v>
      </c>
      <c r="BQ60" s="1" t="s">
        <v>294</v>
      </c>
      <c r="BR60">
        <v>80</v>
      </c>
      <c r="BS60">
        <v>25314620.93</v>
      </c>
      <c r="BT60" s="1" t="s">
        <v>295</v>
      </c>
      <c r="BU60" s="1" t="s">
        <v>296</v>
      </c>
      <c r="BV60">
        <v>501980</v>
      </c>
      <c r="BW60">
        <v>1.3699242755776869E-2</v>
      </c>
      <c r="BX60">
        <v>53.685435484934402</v>
      </c>
      <c r="BY60">
        <v>8.0547460495373731</v>
      </c>
      <c r="BZ60">
        <v>9.6424847805542715</v>
      </c>
      <c r="CA60">
        <v>71.382666315026043</v>
      </c>
      <c r="CB60" s="1" t="s">
        <v>297</v>
      </c>
      <c r="CC60">
        <v>1</v>
      </c>
      <c r="CD60" s="1" t="s">
        <v>298</v>
      </c>
      <c r="CE60" s="1" t="s">
        <v>504</v>
      </c>
      <c r="CF60">
        <v>1101</v>
      </c>
      <c r="CG60" s="1" t="s">
        <v>300</v>
      </c>
      <c r="CH60" s="1" t="s">
        <v>1474</v>
      </c>
      <c r="CI60" s="1" t="s">
        <v>1475</v>
      </c>
      <c r="CJ60" s="1" t="s">
        <v>1474</v>
      </c>
      <c r="CK60" s="1" t="s">
        <v>1475</v>
      </c>
      <c r="CL60" s="1" t="s">
        <v>1476</v>
      </c>
      <c r="CM60">
        <v>3020409000010</v>
      </c>
      <c r="CO60" s="1" t="s">
        <v>322</v>
      </c>
      <c r="CP60" s="1" t="s">
        <v>304</v>
      </c>
      <c r="CQ60" s="1" t="s">
        <v>406</v>
      </c>
      <c r="CR60" s="1" t="s">
        <v>306</v>
      </c>
      <c r="CS60">
        <v>5151</v>
      </c>
      <c r="CT60">
        <v>2990</v>
      </c>
      <c r="CU60">
        <v>3000</v>
      </c>
      <c r="CV60" s="1" t="s">
        <v>309</v>
      </c>
      <c r="CW60" s="1" t="s">
        <v>308</v>
      </c>
      <c r="CY60">
        <v>2259</v>
      </c>
      <c r="CZ60" t="s">
        <v>368</v>
      </c>
      <c r="DA60" s="1" t="s">
        <v>309</v>
      </c>
      <c r="DB60">
        <v>2161</v>
      </c>
      <c r="DC60">
        <v>2161</v>
      </c>
      <c r="DD60">
        <v>0</v>
      </c>
      <c r="DE60">
        <v>0</v>
      </c>
      <c r="DF60">
        <v>600</v>
      </c>
      <c r="DG60">
        <v>1561</v>
      </c>
      <c r="DH60">
        <v>0</v>
      </c>
      <c r="DI60">
        <v>0</v>
      </c>
      <c r="DJ60">
        <v>0</v>
      </c>
      <c r="DK60" s="1" t="s">
        <v>409</v>
      </c>
      <c r="DL60" s="1" t="s">
        <v>1866</v>
      </c>
      <c r="DN60" s="1"/>
      <c r="DO60">
        <v>416</v>
      </c>
      <c r="DP60">
        <v>0</v>
      </c>
      <c r="DQ60">
        <v>416</v>
      </c>
      <c r="DR60" s="1"/>
      <c r="DS60">
        <v>1000</v>
      </c>
      <c r="DT60">
        <v>54</v>
      </c>
      <c r="DU60">
        <v>435</v>
      </c>
      <c r="DV60">
        <v>83</v>
      </c>
      <c r="DW60" s="1" t="s">
        <v>558</v>
      </c>
      <c r="DX60">
        <v>20</v>
      </c>
      <c r="DZ60">
        <v>2</v>
      </c>
      <c r="EA60">
        <v>2</v>
      </c>
      <c r="EB60">
        <v>7</v>
      </c>
      <c r="EC60">
        <v>2</v>
      </c>
      <c r="ED60">
        <v>0</v>
      </c>
      <c r="EE60">
        <v>0</v>
      </c>
      <c r="EF60">
        <v>11</v>
      </c>
      <c r="EG60">
        <v>2010</v>
      </c>
      <c r="EI60" s="1"/>
      <c r="EJ60" s="1" t="s">
        <v>313</v>
      </c>
      <c r="EK60" s="1" t="s">
        <v>314</v>
      </c>
      <c r="EL60">
        <v>26</v>
      </c>
      <c r="EM60">
        <v>21</v>
      </c>
      <c r="EN60">
        <v>12</v>
      </c>
      <c r="EO60" s="1" t="s">
        <v>315</v>
      </c>
      <c r="EP60">
        <v>20</v>
      </c>
      <c r="EQ60">
        <v>75.872687789964957</v>
      </c>
      <c r="ER60" s="1" t="s">
        <v>411</v>
      </c>
      <c r="ES60">
        <v>6.5477319534044494</v>
      </c>
      <c r="ET60">
        <v>0</v>
      </c>
      <c r="EU60" s="1"/>
      <c r="EV60">
        <v>87.820611045146279</v>
      </c>
      <c r="EW60">
        <v>0</v>
      </c>
      <c r="EX60" t="s">
        <v>316</v>
      </c>
      <c r="EY60">
        <v>0</v>
      </c>
      <c r="EZ60" s="1" t="s">
        <v>412</v>
      </c>
      <c r="FA60" s="2">
        <v>44197</v>
      </c>
      <c r="FB60" s="1" t="s">
        <v>529</v>
      </c>
      <c r="FC60">
        <v>1</v>
      </c>
      <c r="FD60" s="1"/>
      <c r="FE60" s="2"/>
      <c r="FF60" s="1"/>
      <c r="FG60" s="1" t="s">
        <v>319</v>
      </c>
      <c r="FH60" s="1" t="s">
        <v>319</v>
      </c>
      <c r="FI60" s="1" t="s">
        <v>319</v>
      </c>
      <c r="FJ60" s="1" t="s">
        <v>319</v>
      </c>
      <c r="FK60" s="1" t="s">
        <v>320</v>
      </c>
      <c r="FL60">
        <v>18.920000000000002</v>
      </c>
      <c r="FM60">
        <v>4743.8190372783192</v>
      </c>
      <c r="FN60" s="1" t="s">
        <v>321</v>
      </c>
      <c r="FO60" s="1" t="s">
        <v>319</v>
      </c>
      <c r="FP60" s="1" t="s">
        <v>323</v>
      </c>
      <c r="FQ60" s="1" t="s">
        <v>1792</v>
      </c>
      <c r="FR60" s="1" t="s">
        <v>1750</v>
      </c>
      <c r="FS60" s="1"/>
      <c r="FT60" s="1" t="s">
        <v>1867</v>
      </c>
      <c r="FV60" s="1" t="s">
        <v>322</v>
      </c>
      <c r="FW60" s="1" t="s">
        <v>319</v>
      </c>
      <c r="FX60" s="1" t="s">
        <v>319</v>
      </c>
      <c r="FY60" s="1" t="s">
        <v>1795</v>
      </c>
      <c r="FZ60" s="1" t="s">
        <v>322</v>
      </c>
      <c r="GA60" s="1" t="s">
        <v>322</v>
      </c>
      <c r="GB60" s="1" t="s">
        <v>319</v>
      </c>
      <c r="GC60" s="1"/>
      <c r="GD60" s="1" t="s">
        <v>322</v>
      </c>
      <c r="GE60" s="1" t="s">
        <v>319</v>
      </c>
      <c r="GF60" s="1" t="s">
        <v>415</v>
      </c>
      <c r="GG60" s="1"/>
      <c r="GH60" s="1" t="s">
        <v>322</v>
      </c>
      <c r="GI60" s="1" t="s">
        <v>416</v>
      </c>
      <c r="GJ60" s="1" t="s">
        <v>322</v>
      </c>
      <c r="GK60" s="2">
        <v>42370</v>
      </c>
      <c r="GL60" s="1" t="s">
        <v>322</v>
      </c>
      <c r="GM60" s="1" t="s">
        <v>322</v>
      </c>
      <c r="GN60">
        <v>42954</v>
      </c>
      <c r="GO60" s="1" t="s">
        <v>322</v>
      </c>
      <c r="GP60">
        <v>42156</v>
      </c>
      <c r="GQ60" s="1" t="s">
        <v>1868</v>
      </c>
      <c r="GR60" s="1" t="s">
        <v>322</v>
      </c>
      <c r="GS60" s="1" t="s">
        <v>448</v>
      </c>
      <c r="GT60" s="1" t="s">
        <v>319</v>
      </c>
      <c r="GU60" s="1" t="s">
        <v>319</v>
      </c>
      <c r="GV60" s="1" t="s">
        <v>319</v>
      </c>
      <c r="GW60" s="1" t="s">
        <v>319</v>
      </c>
      <c r="GX60" s="1" t="s">
        <v>319</v>
      </c>
      <c r="GY60" s="1" t="s">
        <v>319</v>
      </c>
      <c r="GZ60" s="1" t="s">
        <v>319</v>
      </c>
      <c r="HA60" s="2">
        <v>44063</v>
      </c>
      <c r="HB60" s="2">
        <v>42653</v>
      </c>
      <c r="HC60" s="1"/>
      <c r="HD60" s="1"/>
      <c r="HE60" s="1"/>
      <c r="HF60" s="1"/>
      <c r="HG60" s="1"/>
      <c r="HH60" s="1"/>
      <c r="HI60" s="1" t="s">
        <v>322</v>
      </c>
      <c r="HJ60" s="1" t="s">
        <v>330</v>
      </c>
      <c r="HK60" s="2"/>
      <c r="HL60" s="1"/>
      <c r="HM60" s="1" t="s">
        <v>322</v>
      </c>
      <c r="HN60" s="1" t="s">
        <v>322</v>
      </c>
      <c r="HO60" s="1"/>
      <c r="HP60" s="1"/>
      <c r="HQ60" s="1"/>
      <c r="HR60" s="1"/>
      <c r="HS60" s="1"/>
      <c r="HT60" s="1"/>
      <c r="HU60" s="1" t="s">
        <v>331</v>
      </c>
      <c r="HV60">
        <v>4621961013</v>
      </c>
      <c r="HW60">
        <v>40638570</v>
      </c>
      <c r="HX60">
        <v>99102567903</v>
      </c>
      <c r="HY60" s="1" t="s">
        <v>1869</v>
      </c>
      <c r="HZ60">
        <v>4320712</v>
      </c>
      <c r="IA60">
        <v>4321017</v>
      </c>
      <c r="IB60" s="1" t="s">
        <v>1870</v>
      </c>
      <c r="IC60">
        <v>830259</v>
      </c>
      <c r="ID60" s="1" t="s">
        <v>1871</v>
      </c>
      <c r="IE60">
        <v>4.74</v>
      </c>
      <c r="IF60">
        <v>4.53</v>
      </c>
      <c r="IG60">
        <v>5.66</v>
      </c>
      <c r="IH60">
        <v>6.48</v>
      </c>
      <c r="II60">
        <v>5.73</v>
      </c>
      <c r="IJ60">
        <v>3.65</v>
      </c>
      <c r="IK60">
        <v>3.65</v>
      </c>
    </row>
    <row r="61" spans="1:245" x14ac:dyDescent="0.3">
      <c r="A61">
        <v>1950</v>
      </c>
      <c r="B61">
        <v>2449</v>
      </c>
      <c r="C61" s="1" t="s">
        <v>1319</v>
      </c>
      <c r="D61" s="1" t="s">
        <v>266</v>
      </c>
      <c r="E61" t="s">
        <v>3275</v>
      </c>
      <c r="F61" s="1" t="s">
        <v>1228</v>
      </c>
      <c r="G61" s="1" t="s">
        <v>1229</v>
      </c>
      <c r="H61">
        <v>624328593</v>
      </c>
      <c r="I61" s="1" t="s">
        <v>1320</v>
      </c>
      <c r="J61" s="1" t="s">
        <v>1321</v>
      </c>
      <c r="K61">
        <v>626256850</v>
      </c>
      <c r="L61">
        <v>44564</v>
      </c>
      <c r="M61" s="1" t="s">
        <v>524</v>
      </c>
      <c r="N61" s="1"/>
      <c r="P61" s="1"/>
      <c r="Q61" s="1" t="s">
        <v>1430</v>
      </c>
      <c r="R61" s="1" t="s">
        <v>1389</v>
      </c>
      <c r="S61" s="1" t="s">
        <v>1322</v>
      </c>
      <c r="T61" s="1" t="s">
        <v>1323</v>
      </c>
      <c r="U61">
        <v>382446030</v>
      </c>
      <c r="V61" s="1"/>
      <c r="W61" s="1" t="s">
        <v>1387</v>
      </c>
      <c r="X61" s="1" t="s">
        <v>1299</v>
      </c>
      <c r="Y61" s="1" t="s">
        <v>1324</v>
      </c>
      <c r="Z61" s="1" t="s">
        <v>1325</v>
      </c>
      <c r="AA61">
        <v>382446035</v>
      </c>
      <c r="AB61" s="1" t="s">
        <v>1255</v>
      </c>
      <c r="AC61" s="1" t="s">
        <v>1259</v>
      </c>
      <c r="AD61" s="1" t="s">
        <v>1326</v>
      </c>
      <c r="AE61" s="1" t="s">
        <v>1327</v>
      </c>
      <c r="AF61">
        <v>382446038</v>
      </c>
      <c r="AG61" s="1" t="s">
        <v>1297</v>
      </c>
      <c r="AH61" s="1" t="s">
        <v>1347</v>
      </c>
      <c r="AI61" s="1" t="s">
        <v>1324</v>
      </c>
      <c r="AJ61" s="1" t="s">
        <v>1325</v>
      </c>
      <c r="AK61">
        <v>382446035</v>
      </c>
      <c r="AL61" s="1" t="s">
        <v>1411</v>
      </c>
      <c r="AM61" s="1" t="s">
        <v>1417</v>
      </c>
      <c r="AN61" s="1" t="s">
        <v>1328</v>
      </c>
      <c r="AO61" s="1" t="s">
        <v>1329</v>
      </c>
      <c r="AP61">
        <v>664444319</v>
      </c>
      <c r="AQ61" s="1" t="s">
        <v>1320</v>
      </c>
      <c r="AR61" s="1" t="s">
        <v>1265</v>
      </c>
      <c r="AS61" s="1" t="s">
        <v>1330</v>
      </c>
      <c r="AT61" s="1" t="s">
        <v>1331</v>
      </c>
      <c r="AU61">
        <v>382446034</v>
      </c>
      <c r="AV61" s="1" t="s">
        <v>1320</v>
      </c>
      <c r="AW61" s="1" t="s">
        <v>1443</v>
      </c>
      <c r="AX61" s="1" t="s">
        <v>1241</v>
      </c>
      <c r="AY61">
        <v>646374588</v>
      </c>
      <c r="AZ61" s="1" t="s">
        <v>1242</v>
      </c>
      <c r="BB61" s="1" t="s">
        <v>1332</v>
      </c>
      <c r="BC61" s="1" t="s">
        <v>1333</v>
      </c>
      <c r="BD61">
        <v>54</v>
      </c>
      <c r="BE61">
        <v>382446030</v>
      </c>
      <c r="BF61">
        <v>49.514699</v>
      </c>
      <c r="BG61">
        <v>5.739331</v>
      </c>
      <c r="BH61">
        <v>451647903</v>
      </c>
      <c r="BI61">
        <v>1429</v>
      </c>
      <c r="BJ61" s="2">
        <v>43012</v>
      </c>
      <c r="BK61" s="1" t="s">
        <v>3378</v>
      </c>
      <c r="BL61" s="1" t="s">
        <v>290</v>
      </c>
      <c r="BM61" s="1" t="s">
        <v>291</v>
      </c>
      <c r="BN61" s="1" t="s">
        <v>292</v>
      </c>
      <c r="BO61" s="1" t="s">
        <v>291</v>
      </c>
      <c r="BP61" s="1" t="s">
        <v>293</v>
      </c>
      <c r="BQ61" s="1" t="s">
        <v>294</v>
      </c>
      <c r="BR61">
        <v>80</v>
      </c>
      <c r="BS61">
        <v>22431797.219999999</v>
      </c>
      <c r="BT61" s="1" t="s">
        <v>295</v>
      </c>
      <c r="BU61" s="1" t="s">
        <v>359</v>
      </c>
      <c r="BV61">
        <v>359992</v>
      </c>
      <c r="BW61">
        <v>1.2782473074141527E-2</v>
      </c>
      <c r="BX61">
        <v>41.428496077009299</v>
      </c>
      <c r="BY61">
        <v>3.4761818421573127</v>
      </c>
      <c r="BZ61">
        <v>14.441672161051406</v>
      </c>
      <c r="CA61">
        <v>59.346350080218016</v>
      </c>
      <c r="CB61" s="1" t="s">
        <v>360</v>
      </c>
      <c r="CC61">
        <v>1</v>
      </c>
      <c r="CD61" s="1" t="s">
        <v>298</v>
      </c>
      <c r="CE61" s="1" t="s">
        <v>504</v>
      </c>
      <c r="CF61">
        <v>1101</v>
      </c>
      <c r="CG61" s="1" t="s">
        <v>300</v>
      </c>
      <c r="CH61" s="1" t="s">
        <v>972</v>
      </c>
      <c r="CI61" s="1" t="s">
        <v>973</v>
      </c>
      <c r="CJ61" s="1" t="s">
        <v>972</v>
      </c>
      <c r="CK61" s="1" t="s">
        <v>302</v>
      </c>
      <c r="CL61" s="1" t="s">
        <v>974</v>
      </c>
      <c r="CM61">
        <v>3020409000020</v>
      </c>
      <c r="CO61" s="1"/>
      <c r="CP61" s="1" t="s">
        <v>444</v>
      </c>
      <c r="CQ61" s="1" t="s">
        <v>406</v>
      </c>
      <c r="CR61" s="1" t="s">
        <v>505</v>
      </c>
      <c r="CS61">
        <v>5500</v>
      </c>
      <c r="CT61">
        <v>2494</v>
      </c>
      <c r="CU61">
        <v>2500</v>
      </c>
      <c r="CV61" s="1"/>
      <c r="CW61" s="1" t="s">
        <v>308</v>
      </c>
      <c r="CY61">
        <v>3081</v>
      </c>
      <c r="CZ61">
        <v>3000</v>
      </c>
      <c r="DA61" s="1" t="s">
        <v>309</v>
      </c>
      <c r="DB61">
        <v>3081</v>
      </c>
      <c r="DC61">
        <v>3081</v>
      </c>
      <c r="DD61">
        <v>0</v>
      </c>
      <c r="DE61">
        <v>0</v>
      </c>
      <c r="DF61">
        <v>1054</v>
      </c>
      <c r="DG61">
        <v>2027</v>
      </c>
      <c r="DH61">
        <v>0</v>
      </c>
      <c r="DI61">
        <v>0</v>
      </c>
      <c r="DJ61">
        <v>0</v>
      </c>
      <c r="DK61" s="1" t="s">
        <v>409</v>
      </c>
      <c r="DL61" s="1"/>
      <c r="DN61" s="1"/>
      <c r="DO61">
        <v>779</v>
      </c>
      <c r="DP61">
        <v>0</v>
      </c>
      <c r="DQ61">
        <v>779</v>
      </c>
      <c r="DR61" s="1"/>
      <c r="DS61">
        <v>387</v>
      </c>
      <c r="DT61">
        <v>74</v>
      </c>
      <c r="DU61">
        <v>300</v>
      </c>
      <c r="DV61" t="s">
        <v>556</v>
      </c>
      <c r="DW61" s="1" t="s">
        <v>371</v>
      </c>
      <c r="DY61">
        <v>2017</v>
      </c>
      <c r="DZ61">
        <v>2</v>
      </c>
      <c r="EA61">
        <v>2</v>
      </c>
      <c r="EB61">
        <v>5</v>
      </c>
      <c r="EC61">
        <v>2</v>
      </c>
      <c r="ED61">
        <v>0</v>
      </c>
      <c r="EE61">
        <v>0</v>
      </c>
      <c r="EF61">
        <v>9</v>
      </c>
      <c r="EG61">
        <v>2017</v>
      </c>
      <c r="EI61" s="1"/>
      <c r="EJ61" s="1" t="s">
        <v>313</v>
      </c>
      <c r="EK61" s="1" t="s">
        <v>314</v>
      </c>
      <c r="EL61">
        <v>28</v>
      </c>
      <c r="EM61">
        <v>28</v>
      </c>
      <c r="EN61">
        <v>12</v>
      </c>
      <c r="EO61" s="1" t="s">
        <v>315</v>
      </c>
      <c r="EP61">
        <v>25</v>
      </c>
      <c r="EQ61">
        <v>187.15137474390167</v>
      </c>
      <c r="ER61" s="1" t="s">
        <v>316</v>
      </c>
      <c r="ES61">
        <v>3.7890372327037216</v>
      </c>
      <c r="ET61">
        <v>0</v>
      </c>
      <c r="EU61" s="1"/>
      <c r="EV61">
        <v>82.682205327927647</v>
      </c>
      <c r="EW61">
        <v>0</v>
      </c>
      <c r="EX61" t="s">
        <v>316</v>
      </c>
      <c r="EY61">
        <v>0</v>
      </c>
      <c r="EZ61" s="1" t="s">
        <v>412</v>
      </c>
      <c r="FA61" s="2">
        <v>42736</v>
      </c>
      <c r="FB61" s="1" t="s">
        <v>413</v>
      </c>
      <c r="FC61">
        <v>1</v>
      </c>
      <c r="FD61" s="1"/>
      <c r="FE61" s="2"/>
      <c r="FF61" s="1"/>
      <c r="FG61" s="1" t="s">
        <v>322</v>
      </c>
      <c r="FH61" s="1" t="s">
        <v>322</v>
      </c>
      <c r="FI61" s="1" t="s">
        <v>322</v>
      </c>
      <c r="FJ61" s="1" t="s">
        <v>319</v>
      </c>
      <c r="FK61" s="1" t="s">
        <v>320</v>
      </c>
      <c r="FL61">
        <v>18.920000000000002</v>
      </c>
      <c r="FM61">
        <v>950.05428881650369</v>
      </c>
      <c r="FN61" s="1" t="s">
        <v>321</v>
      </c>
      <c r="FO61" s="1" t="s">
        <v>319</v>
      </c>
      <c r="FP61" s="1" t="s">
        <v>323</v>
      </c>
      <c r="FQ61" s="1" t="s">
        <v>324</v>
      </c>
      <c r="FR61" s="1" t="s">
        <v>325</v>
      </c>
      <c r="FS61" s="1"/>
      <c r="FT61" s="1" t="s">
        <v>666</v>
      </c>
      <c r="FV61" s="1" t="s">
        <v>322</v>
      </c>
      <c r="FW61" s="1" t="s">
        <v>322</v>
      </c>
      <c r="FX61" s="1" t="s">
        <v>322</v>
      </c>
      <c r="FY61" s="1" t="s">
        <v>322</v>
      </c>
      <c r="FZ61" s="1" t="s">
        <v>319</v>
      </c>
      <c r="GA61" s="1" t="s">
        <v>322</v>
      </c>
      <c r="GB61" s="1" t="s">
        <v>322</v>
      </c>
      <c r="GC61" s="1" t="s">
        <v>322</v>
      </c>
      <c r="GD61" s="1" t="s">
        <v>319</v>
      </c>
      <c r="GE61" s="1" t="s">
        <v>322</v>
      </c>
      <c r="GF61" s="1" t="s">
        <v>667</v>
      </c>
      <c r="GG61" s="1"/>
      <c r="GH61" s="1" t="s">
        <v>322</v>
      </c>
      <c r="GI61" s="1"/>
      <c r="GJ61" s="1" t="s">
        <v>322</v>
      </c>
      <c r="GK61" s="2">
        <v>42736</v>
      </c>
      <c r="GL61" s="1" t="s">
        <v>322</v>
      </c>
      <c r="GM61" s="1" t="s">
        <v>322</v>
      </c>
      <c r="GN61">
        <v>43252</v>
      </c>
      <c r="GO61" s="1" t="s">
        <v>322</v>
      </c>
      <c r="GP61">
        <v>43012</v>
      </c>
      <c r="GQ61" s="1" t="s">
        <v>1334</v>
      </c>
      <c r="GR61" s="1" t="s">
        <v>322</v>
      </c>
      <c r="GS61" s="1" t="s">
        <v>448</v>
      </c>
      <c r="GT61" s="1" t="s">
        <v>319</v>
      </c>
      <c r="GU61" s="1" t="s">
        <v>319</v>
      </c>
      <c r="GV61" s="1" t="s">
        <v>319</v>
      </c>
      <c r="GW61" s="1" t="s">
        <v>319</v>
      </c>
      <c r="GX61" s="1" t="s">
        <v>319</v>
      </c>
      <c r="GY61" s="1" t="s">
        <v>319</v>
      </c>
      <c r="GZ61" s="1" t="s">
        <v>319</v>
      </c>
      <c r="HA61" s="2">
        <v>44063</v>
      </c>
      <c r="HB61" s="2">
        <v>43012</v>
      </c>
      <c r="HC61" s="1"/>
      <c r="HD61" s="1"/>
      <c r="HE61" s="1"/>
      <c r="HF61" s="1"/>
      <c r="HG61" s="1"/>
      <c r="HH61" s="1"/>
      <c r="HI61" s="1" t="s">
        <v>319</v>
      </c>
      <c r="HJ61" s="1" t="s">
        <v>330</v>
      </c>
      <c r="HK61" s="2"/>
      <c r="HL61" s="1"/>
      <c r="HM61" s="1" t="s">
        <v>322</v>
      </c>
      <c r="HN61" s="1" t="s">
        <v>322</v>
      </c>
      <c r="HO61" s="1"/>
      <c r="HP61" s="1"/>
      <c r="HQ61" s="1"/>
      <c r="HR61" s="1"/>
      <c r="HS61" s="1"/>
      <c r="HT61" s="1"/>
      <c r="HU61" s="1" t="s">
        <v>331</v>
      </c>
      <c r="HV61">
        <v>4702509</v>
      </c>
      <c r="HW61">
        <v>40638340</v>
      </c>
      <c r="HX61">
        <v>99102566557</v>
      </c>
      <c r="HY61" s="1" t="s">
        <v>1335</v>
      </c>
      <c r="HZ61">
        <v>4702512</v>
      </c>
      <c r="IA61">
        <v>4702510</v>
      </c>
      <c r="IB61" s="1" t="s">
        <v>1336</v>
      </c>
      <c r="IC61">
        <v>838697</v>
      </c>
      <c r="ID61" s="1" t="s">
        <v>1337</v>
      </c>
      <c r="IE61">
        <v>0</v>
      </c>
      <c r="IF61">
        <v>0</v>
      </c>
      <c r="IG61">
        <v>2.9</v>
      </c>
      <c r="IH61">
        <v>2.8</v>
      </c>
      <c r="II61">
        <v>2.8</v>
      </c>
      <c r="IJ61">
        <v>4.8</v>
      </c>
      <c r="IK61">
        <v>4.8</v>
      </c>
    </row>
    <row r="62" spans="1:245" x14ac:dyDescent="0.3">
      <c r="A62">
        <v>1739</v>
      </c>
      <c r="B62">
        <v>2356</v>
      </c>
      <c r="C62" s="1" t="s">
        <v>2479</v>
      </c>
      <c r="D62" s="1" t="s">
        <v>2414</v>
      </c>
      <c r="E62" t="s">
        <v>3275</v>
      </c>
      <c r="F62" s="1" t="s">
        <v>2415</v>
      </c>
      <c r="G62" s="1" t="s">
        <v>2416</v>
      </c>
      <c r="H62">
        <v>782575744</v>
      </c>
      <c r="I62" s="1" t="s">
        <v>2480</v>
      </c>
      <c r="J62" s="1" t="s">
        <v>2481</v>
      </c>
      <c r="L62">
        <v>43815</v>
      </c>
      <c r="M62" s="1" t="s">
        <v>2482</v>
      </c>
      <c r="N62" s="1" t="s">
        <v>2483</v>
      </c>
      <c r="O62">
        <v>297871440</v>
      </c>
      <c r="P62" s="1" t="s">
        <v>2484</v>
      </c>
      <c r="Q62" s="1" t="s">
        <v>2634</v>
      </c>
      <c r="R62" s="1" t="s">
        <v>2572</v>
      </c>
      <c r="S62" s="1" t="s">
        <v>2485</v>
      </c>
      <c r="T62" s="1" t="s">
        <v>2486</v>
      </c>
      <c r="U62">
        <v>297871430</v>
      </c>
      <c r="V62" s="1" t="s">
        <v>276</v>
      </c>
      <c r="W62" s="1" t="s">
        <v>2634</v>
      </c>
      <c r="X62" s="1" t="s">
        <v>2638</v>
      </c>
      <c r="Y62" s="1" t="s">
        <v>2487</v>
      </c>
      <c r="Z62" s="1" t="s">
        <v>2488</v>
      </c>
      <c r="AA62">
        <v>297871430</v>
      </c>
      <c r="AB62" s="1" t="s">
        <v>2460</v>
      </c>
      <c r="AC62" s="1" t="s">
        <v>2534</v>
      </c>
      <c r="AD62" s="1" t="s">
        <v>2489</v>
      </c>
      <c r="AE62" s="1" t="s">
        <v>2490</v>
      </c>
      <c r="AF62">
        <v>296798884</v>
      </c>
      <c r="AG62" s="1" t="s">
        <v>2417</v>
      </c>
      <c r="AH62" s="1" t="s">
        <v>2466</v>
      </c>
      <c r="AI62" s="1" t="s">
        <v>2491</v>
      </c>
      <c r="AJ62" s="1" t="s">
        <v>2492</v>
      </c>
      <c r="AK62">
        <v>297871435</v>
      </c>
      <c r="AL62" s="1" t="s">
        <v>2480</v>
      </c>
      <c r="AM62" s="1" t="s">
        <v>2619</v>
      </c>
      <c r="AN62" s="1" t="s">
        <v>2493</v>
      </c>
      <c r="AO62" s="1" t="s">
        <v>2494</v>
      </c>
      <c r="AP62">
        <v>297871432</v>
      </c>
      <c r="AQ62" s="1" t="s">
        <v>2570</v>
      </c>
      <c r="AR62" s="1" t="s">
        <v>2646</v>
      </c>
      <c r="AS62" s="1" t="s">
        <v>2495</v>
      </c>
      <c r="AT62" s="1" t="s">
        <v>2496</v>
      </c>
      <c r="AU62">
        <v>297871430</v>
      </c>
      <c r="AV62" s="1" t="s">
        <v>2611</v>
      </c>
      <c r="AW62" s="1" t="s">
        <v>2625</v>
      </c>
      <c r="AX62" s="1" t="s">
        <v>2429</v>
      </c>
      <c r="AY62">
        <v>624644368</v>
      </c>
      <c r="AZ62" s="1" t="s">
        <v>2430</v>
      </c>
      <c r="BB62" s="1" t="s">
        <v>2497</v>
      </c>
      <c r="BC62" s="1" t="s">
        <v>2498</v>
      </c>
      <c r="BD62">
        <v>56</v>
      </c>
      <c r="BE62">
        <v>297871430</v>
      </c>
      <c r="BF62">
        <v>47.76904296875</v>
      </c>
      <c r="BG62">
        <v>-3.4051208496093701</v>
      </c>
      <c r="BH62">
        <v>451647903</v>
      </c>
      <c r="BI62">
        <v>207</v>
      </c>
      <c r="BJ62" s="2">
        <v>37062</v>
      </c>
      <c r="BK62" s="1" t="s">
        <v>3315</v>
      </c>
      <c r="BL62" s="1" t="s">
        <v>290</v>
      </c>
      <c r="BM62" s="1" t="s">
        <v>291</v>
      </c>
      <c r="BN62" s="1" t="s">
        <v>292</v>
      </c>
      <c r="BO62" s="1" t="s">
        <v>291</v>
      </c>
      <c r="BP62" s="1" t="s">
        <v>293</v>
      </c>
      <c r="BQ62" s="1" t="s">
        <v>294</v>
      </c>
      <c r="BR62">
        <v>80</v>
      </c>
      <c r="BS62">
        <v>24172866.170000002</v>
      </c>
      <c r="BT62" s="1" t="s">
        <v>295</v>
      </c>
      <c r="BU62" s="1" t="s">
        <v>296</v>
      </c>
      <c r="BV62">
        <v>396728</v>
      </c>
      <c r="BW62">
        <v>9.6850127475958843E-3</v>
      </c>
      <c r="BX62">
        <v>63.857124019252304</v>
      </c>
      <c r="BY62">
        <v>5.333333333333333</v>
      </c>
      <c r="BZ62">
        <v>6.1629227929056505</v>
      </c>
      <c r="CA62">
        <v>75.353380145491286</v>
      </c>
      <c r="CB62" s="1" t="s">
        <v>297</v>
      </c>
      <c r="CC62">
        <v>2</v>
      </c>
      <c r="CD62" s="1" t="s">
        <v>298</v>
      </c>
      <c r="CE62" s="1" t="s">
        <v>504</v>
      </c>
      <c r="CF62">
        <v>1101</v>
      </c>
      <c r="CG62" s="1" t="s">
        <v>300</v>
      </c>
      <c r="CH62" s="1" t="s">
        <v>403</v>
      </c>
      <c r="CI62" s="1" t="s">
        <v>404</v>
      </c>
      <c r="CJ62" s="1" t="s">
        <v>301</v>
      </c>
      <c r="CK62" s="1" t="s">
        <v>302</v>
      </c>
      <c r="CL62" s="1" t="s">
        <v>527</v>
      </c>
      <c r="CM62">
        <v>3601651112004</v>
      </c>
      <c r="CO62" s="1" t="s">
        <v>1747</v>
      </c>
      <c r="CP62" s="1" t="s">
        <v>304</v>
      </c>
      <c r="CQ62" s="1" t="s">
        <v>556</v>
      </c>
      <c r="CR62" s="1" t="s">
        <v>407</v>
      </c>
      <c r="CS62">
        <v>6313</v>
      </c>
      <c r="CT62">
        <v>2954</v>
      </c>
      <c r="CU62">
        <v>3000</v>
      </c>
      <c r="CV62" s="1" t="s">
        <v>309</v>
      </c>
      <c r="CW62" s="1" t="s">
        <v>408</v>
      </c>
      <c r="CX62">
        <v>2500</v>
      </c>
      <c r="CY62">
        <v>3349</v>
      </c>
      <c r="CZ62">
        <v>3500</v>
      </c>
      <c r="DA62" s="1" t="s">
        <v>307</v>
      </c>
      <c r="DB62">
        <v>3359</v>
      </c>
      <c r="DC62">
        <v>3359</v>
      </c>
      <c r="DD62">
        <v>0</v>
      </c>
      <c r="DE62">
        <v>0</v>
      </c>
      <c r="DF62">
        <v>1366</v>
      </c>
      <c r="DG62">
        <v>1993</v>
      </c>
      <c r="DH62">
        <v>0</v>
      </c>
      <c r="DI62">
        <v>0</v>
      </c>
      <c r="DJ62">
        <v>0</v>
      </c>
      <c r="DK62" s="1" t="s">
        <v>557</v>
      </c>
      <c r="DL62" s="1" t="s">
        <v>410</v>
      </c>
      <c r="DM62">
        <v>2500</v>
      </c>
      <c r="DN62" s="1" t="s">
        <v>1095</v>
      </c>
      <c r="DO62">
        <v>918</v>
      </c>
      <c r="DP62">
        <v>0</v>
      </c>
      <c r="DQ62">
        <v>918</v>
      </c>
      <c r="DR62" s="1"/>
      <c r="DS62">
        <v>480</v>
      </c>
      <c r="DT62">
        <v>70</v>
      </c>
      <c r="DU62">
        <v>248</v>
      </c>
      <c r="DV62" t="s">
        <v>556</v>
      </c>
      <c r="DW62" s="1" t="s">
        <v>371</v>
      </c>
      <c r="DX62">
        <v>21</v>
      </c>
      <c r="DZ62">
        <v>3</v>
      </c>
      <c r="EA62">
        <v>2</v>
      </c>
      <c r="EB62">
        <v>8</v>
      </c>
      <c r="EC62">
        <v>4</v>
      </c>
      <c r="ED62">
        <v>0</v>
      </c>
      <c r="EE62">
        <v>0</v>
      </c>
      <c r="EF62">
        <v>14</v>
      </c>
      <c r="EG62">
        <v>2010</v>
      </c>
      <c r="EI62" s="1"/>
      <c r="EJ62" s="1" t="s">
        <v>313</v>
      </c>
      <c r="EK62" s="1" t="s">
        <v>314</v>
      </c>
      <c r="EL62">
        <v>34</v>
      </c>
      <c r="EM62">
        <v>34</v>
      </c>
      <c r="EN62">
        <v>14</v>
      </c>
      <c r="EO62" s="1" t="s">
        <v>315</v>
      </c>
      <c r="EP62">
        <v>30</v>
      </c>
      <c r="EQ62">
        <v>47.643857982296545</v>
      </c>
      <c r="ER62" s="1" t="s">
        <v>316</v>
      </c>
      <c r="ES62">
        <v>2.2289524202243998</v>
      </c>
      <c r="ET62">
        <v>0</v>
      </c>
      <c r="EU62" s="1"/>
      <c r="EV62">
        <v>166.33557435924584</v>
      </c>
      <c r="EW62">
        <v>0</v>
      </c>
      <c r="EX62" t="s">
        <v>316</v>
      </c>
      <c r="EY62">
        <v>0</v>
      </c>
      <c r="EZ62" s="1" t="s">
        <v>317</v>
      </c>
      <c r="FA62" s="2"/>
      <c r="FB62" s="1" t="s">
        <v>318</v>
      </c>
      <c r="FC62">
        <v>2</v>
      </c>
      <c r="FD62" s="1"/>
      <c r="FE62" s="2"/>
      <c r="FF62" s="1"/>
      <c r="FG62" s="1" t="s">
        <v>319</v>
      </c>
      <c r="FH62" s="1" t="s">
        <v>319</v>
      </c>
      <c r="FI62" s="1" t="s">
        <v>319</v>
      </c>
      <c r="FJ62" s="1" t="s">
        <v>319</v>
      </c>
      <c r="FK62" s="1" t="s">
        <v>373</v>
      </c>
      <c r="FL62">
        <v>18.59</v>
      </c>
      <c r="FM62">
        <v>7853.3572744014728</v>
      </c>
      <c r="FN62" s="1" t="s">
        <v>321</v>
      </c>
      <c r="FO62" s="1" t="s">
        <v>319</v>
      </c>
      <c r="FP62" s="1" t="s">
        <v>323</v>
      </c>
      <c r="FQ62" s="1" t="s">
        <v>559</v>
      </c>
      <c r="FR62" s="1" t="s">
        <v>325</v>
      </c>
      <c r="FS62" s="1"/>
      <c r="FT62" s="1" t="s">
        <v>326</v>
      </c>
      <c r="FU62">
        <v>494198191</v>
      </c>
      <c r="FV62" s="1" t="s">
        <v>319</v>
      </c>
      <c r="FW62" s="1" t="s">
        <v>319</v>
      </c>
      <c r="FX62" s="1" t="s">
        <v>322</v>
      </c>
      <c r="FY62" s="1" t="s">
        <v>322</v>
      </c>
      <c r="FZ62" s="1" t="s">
        <v>322</v>
      </c>
      <c r="GA62" s="1" t="s">
        <v>322</v>
      </c>
      <c r="GB62" s="1" t="s">
        <v>319</v>
      </c>
      <c r="GC62" s="1" t="s">
        <v>319</v>
      </c>
      <c r="GD62" s="1" t="s">
        <v>319</v>
      </c>
      <c r="GE62" s="1" t="s">
        <v>322</v>
      </c>
      <c r="GF62" s="1" t="s">
        <v>415</v>
      </c>
      <c r="GG62" s="1"/>
      <c r="GH62" s="1" t="s">
        <v>322</v>
      </c>
      <c r="GI62" s="1"/>
      <c r="GJ62" s="1" t="s">
        <v>322</v>
      </c>
      <c r="GK62" s="2">
        <v>42370</v>
      </c>
      <c r="GL62" s="1" t="s">
        <v>322</v>
      </c>
      <c r="GM62" s="1" t="s">
        <v>322</v>
      </c>
      <c r="GN62">
        <v>42989</v>
      </c>
      <c r="GO62" s="1" t="s">
        <v>319</v>
      </c>
      <c r="GQ62" s="1"/>
      <c r="GR62" s="1"/>
      <c r="GS62" s="1"/>
      <c r="GT62" s="1" t="s">
        <v>322</v>
      </c>
      <c r="GU62" s="1" t="s">
        <v>2499</v>
      </c>
      <c r="GV62" s="1" t="s">
        <v>322</v>
      </c>
      <c r="GW62" s="1" t="s">
        <v>319</v>
      </c>
      <c r="GX62" s="1" t="s">
        <v>322</v>
      </c>
      <c r="GY62" s="1" t="s">
        <v>319</v>
      </c>
      <c r="GZ62" s="1" t="s">
        <v>319</v>
      </c>
      <c r="HA62" s="2">
        <v>44064</v>
      </c>
      <c r="HB62" s="2">
        <v>42653</v>
      </c>
      <c r="HC62" s="1"/>
      <c r="HD62" s="1"/>
      <c r="HE62" s="1"/>
      <c r="HF62" s="1"/>
      <c r="HG62" s="1"/>
      <c r="HH62" s="1"/>
      <c r="HI62" s="1" t="s">
        <v>322</v>
      </c>
      <c r="HJ62" s="1" t="s">
        <v>330</v>
      </c>
      <c r="HK62" s="2"/>
      <c r="HL62" s="1"/>
      <c r="HM62" s="1" t="s">
        <v>322</v>
      </c>
      <c r="HN62" s="1" t="s">
        <v>322</v>
      </c>
      <c r="HO62" s="1"/>
      <c r="HP62" s="1"/>
      <c r="HQ62" s="1"/>
      <c r="HR62" s="1"/>
      <c r="HS62" s="1"/>
      <c r="HT62" s="1"/>
      <c r="HU62" s="1" t="s">
        <v>331</v>
      </c>
      <c r="HV62">
        <v>4622007010</v>
      </c>
      <c r="HW62">
        <v>40638853</v>
      </c>
      <c r="HX62">
        <v>99102569975</v>
      </c>
      <c r="HY62" s="1" t="s">
        <v>2500</v>
      </c>
      <c r="HZ62">
        <v>4320754</v>
      </c>
      <c r="IA62">
        <v>4321058</v>
      </c>
      <c r="IB62" s="1" t="s">
        <v>2501</v>
      </c>
      <c r="IC62">
        <v>830085</v>
      </c>
      <c r="ID62" s="1" t="s">
        <v>2502</v>
      </c>
      <c r="IE62">
        <v>4.9000000000000004</v>
      </c>
      <c r="IF62">
        <v>3.92</v>
      </c>
      <c r="IG62">
        <v>3.74</v>
      </c>
      <c r="IH62">
        <v>2.94</v>
      </c>
      <c r="II62">
        <v>3.94</v>
      </c>
      <c r="IJ62">
        <v>3.08</v>
      </c>
      <c r="IK62">
        <v>3.08</v>
      </c>
    </row>
    <row r="63" spans="1:245" x14ac:dyDescent="0.3">
      <c r="A63">
        <v>1911</v>
      </c>
      <c r="B63">
        <v>2419</v>
      </c>
      <c r="C63" s="1" t="s">
        <v>2724</v>
      </c>
      <c r="D63" s="1" t="s">
        <v>1103</v>
      </c>
      <c r="E63" t="s">
        <v>3275</v>
      </c>
      <c r="F63" s="1" t="s">
        <v>2504</v>
      </c>
      <c r="G63" s="1" t="s">
        <v>2505</v>
      </c>
      <c r="H63">
        <v>610925352</v>
      </c>
      <c r="I63" s="1" t="s">
        <v>2725</v>
      </c>
      <c r="J63" s="1" t="s">
        <v>2726</v>
      </c>
      <c r="L63">
        <v>42926</v>
      </c>
      <c r="M63" s="1" t="s">
        <v>2727</v>
      </c>
      <c r="N63" s="1" t="s">
        <v>2728</v>
      </c>
      <c r="O63">
        <v>472475138</v>
      </c>
      <c r="P63" s="1" t="s">
        <v>273</v>
      </c>
      <c r="Q63" s="1" t="s">
        <v>2658</v>
      </c>
      <c r="R63" s="1" t="s">
        <v>2729</v>
      </c>
      <c r="S63" s="1" t="s">
        <v>2730</v>
      </c>
      <c r="T63" s="1" t="s">
        <v>2731</v>
      </c>
      <c r="U63">
        <v>660992665</v>
      </c>
      <c r="V63" s="1" t="s">
        <v>276</v>
      </c>
      <c r="W63" s="1" t="s">
        <v>2840</v>
      </c>
      <c r="X63" s="1" t="s">
        <v>2796</v>
      </c>
      <c r="Y63" s="1" t="s">
        <v>2732</v>
      </c>
      <c r="Z63" s="1" t="s">
        <v>2733</v>
      </c>
      <c r="AA63">
        <v>472475135</v>
      </c>
      <c r="AB63" s="1" t="s">
        <v>2751</v>
      </c>
      <c r="AC63" s="1" t="s">
        <v>2707</v>
      </c>
      <c r="AD63" s="1" t="s">
        <v>2734</v>
      </c>
      <c r="AE63" s="1" t="s">
        <v>2735</v>
      </c>
      <c r="AF63">
        <v>472475134</v>
      </c>
      <c r="AG63" s="1" t="s">
        <v>2701</v>
      </c>
      <c r="AH63" s="1" t="s">
        <v>2736</v>
      </c>
      <c r="AI63" s="1" t="s">
        <v>2737</v>
      </c>
      <c r="AJ63" s="1" t="s">
        <v>2738</v>
      </c>
      <c r="AK63">
        <v>472475133</v>
      </c>
      <c r="AL63" s="1" t="s">
        <v>2804</v>
      </c>
      <c r="AM63" s="1" t="s">
        <v>2514</v>
      </c>
      <c r="AN63" s="1" t="s">
        <v>2739</v>
      </c>
      <c r="AO63" s="1" t="s">
        <v>2740</v>
      </c>
      <c r="AP63">
        <v>472475132</v>
      </c>
      <c r="AQ63" s="1" t="s">
        <v>2725</v>
      </c>
      <c r="AR63" s="1" t="s">
        <v>2829</v>
      </c>
      <c r="AS63" s="1" t="s">
        <v>2741</v>
      </c>
      <c r="AT63" s="1" t="s">
        <v>2742</v>
      </c>
      <c r="AU63">
        <v>472475137</v>
      </c>
      <c r="AV63" s="1" t="s">
        <v>2725</v>
      </c>
      <c r="AW63" s="1" t="s">
        <v>2741</v>
      </c>
      <c r="AX63" s="1" t="s">
        <v>2520</v>
      </c>
      <c r="AY63">
        <v>789331668</v>
      </c>
      <c r="AZ63" s="1" t="s">
        <v>2430</v>
      </c>
      <c r="BB63" s="1" t="s">
        <v>2743</v>
      </c>
      <c r="BC63" s="1" t="s">
        <v>2744</v>
      </c>
      <c r="BD63">
        <v>69</v>
      </c>
      <c r="BE63">
        <v>472475130</v>
      </c>
      <c r="BF63">
        <v>45.7154541015625</v>
      </c>
      <c r="BG63">
        <v>4.9626770019531197</v>
      </c>
      <c r="BH63">
        <v>451647903</v>
      </c>
      <c r="BI63">
        <v>991</v>
      </c>
      <c r="BJ63" s="2">
        <v>39554</v>
      </c>
      <c r="BK63" s="1" t="s">
        <v>3321</v>
      </c>
      <c r="BL63" s="1" t="s">
        <v>290</v>
      </c>
      <c r="BM63" s="1" t="s">
        <v>291</v>
      </c>
      <c r="BN63" s="1" t="s">
        <v>292</v>
      </c>
      <c r="BO63" s="1" t="s">
        <v>291</v>
      </c>
      <c r="BP63" s="1" t="s">
        <v>293</v>
      </c>
      <c r="BQ63" s="1" t="s">
        <v>294</v>
      </c>
      <c r="BR63">
        <v>80</v>
      </c>
      <c r="BS63">
        <v>41160359.5</v>
      </c>
      <c r="BT63" s="1" t="s">
        <v>295</v>
      </c>
      <c r="BU63" s="1" t="s">
        <v>817</v>
      </c>
      <c r="BV63">
        <v>622144</v>
      </c>
      <c r="BW63">
        <v>1.9189163064246013E-2</v>
      </c>
      <c r="BX63">
        <v>89.914155732840996</v>
      </c>
      <c r="BY63">
        <v>4.4761543702336191</v>
      </c>
      <c r="BZ63">
        <v>9.0789587042043021</v>
      </c>
      <c r="CA63">
        <v>103.46926880727891</v>
      </c>
      <c r="CB63" s="1" t="s">
        <v>1380</v>
      </c>
      <c r="CC63">
        <v>1</v>
      </c>
      <c r="CD63" s="1" t="s">
        <v>402</v>
      </c>
      <c r="CE63" s="1" t="s">
        <v>299</v>
      </c>
      <c r="CF63">
        <v>1106</v>
      </c>
      <c r="CG63" s="1" t="s">
        <v>362</v>
      </c>
      <c r="CH63" s="1" t="s">
        <v>972</v>
      </c>
      <c r="CI63" s="1" t="s">
        <v>973</v>
      </c>
      <c r="CJ63" s="1" t="s">
        <v>972</v>
      </c>
      <c r="CK63" s="1" t="s">
        <v>302</v>
      </c>
      <c r="CL63" s="1" t="s">
        <v>974</v>
      </c>
      <c r="CM63">
        <v>3020409000020</v>
      </c>
      <c r="CO63" s="1"/>
      <c r="CP63" s="1" t="s">
        <v>444</v>
      </c>
      <c r="CQ63" s="1" t="s">
        <v>406</v>
      </c>
      <c r="CR63" s="1" t="s">
        <v>407</v>
      </c>
      <c r="CS63">
        <v>7597</v>
      </c>
      <c r="CT63">
        <v>4650</v>
      </c>
      <c r="CU63" t="s">
        <v>693</v>
      </c>
      <c r="CV63" s="1" t="s">
        <v>478</v>
      </c>
      <c r="CW63" s="1" t="s">
        <v>308</v>
      </c>
      <c r="CY63">
        <v>2953</v>
      </c>
      <c r="CZ63">
        <v>3000</v>
      </c>
      <c r="DA63" s="1" t="s">
        <v>309</v>
      </c>
      <c r="DB63">
        <v>2947</v>
      </c>
      <c r="DC63">
        <v>2947</v>
      </c>
      <c r="DD63">
        <v>84</v>
      </c>
      <c r="DE63">
        <v>0</v>
      </c>
      <c r="DF63">
        <v>962</v>
      </c>
      <c r="DG63">
        <v>1985</v>
      </c>
      <c r="DH63">
        <v>0</v>
      </c>
      <c r="DI63">
        <v>0</v>
      </c>
      <c r="DJ63">
        <v>0</v>
      </c>
      <c r="DK63" s="1" t="s">
        <v>310</v>
      </c>
      <c r="DL63" s="1" t="s">
        <v>311</v>
      </c>
      <c r="DN63" s="1"/>
      <c r="DO63">
        <v>500</v>
      </c>
      <c r="DP63">
        <v>500</v>
      </c>
      <c r="DQ63">
        <v>0</v>
      </c>
      <c r="DR63" s="1"/>
      <c r="DS63">
        <v>1220</v>
      </c>
      <c r="DT63">
        <v>115</v>
      </c>
      <c r="DU63">
        <v>322</v>
      </c>
      <c r="DV63">
        <v>314</v>
      </c>
      <c r="DW63" s="1" t="s">
        <v>371</v>
      </c>
      <c r="DX63">
        <v>22</v>
      </c>
      <c r="DY63">
        <v>2018</v>
      </c>
      <c r="DZ63">
        <v>2</v>
      </c>
      <c r="EA63">
        <v>3</v>
      </c>
      <c r="EB63">
        <v>11</v>
      </c>
      <c r="EC63">
        <v>3</v>
      </c>
      <c r="ED63">
        <v>2</v>
      </c>
      <c r="EE63">
        <v>1</v>
      </c>
      <c r="EF63">
        <v>20</v>
      </c>
      <c r="EG63">
        <v>2014</v>
      </c>
      <c r="EI63" s="1"/>
      <c r="EJ63" s="1" t="s">
        <v>313</v>
      </c>
      <c r="EK63" s="1" t="s">
        <v>314</v>
      </c>
      <c r="EL63">
        <v>44</v>
      </c>
      <c r="EM63">
        <v>39</v>
      </c>
      <c r="EN63">
        <v>15</v>
      </c>
      <c r="EO63" s="1" t="s">
        <v>315</v>
      </c>
      <c r="EP63">
        <v>13</v>
      </c>
      <c r="EQ63">
        <v>170.89714532373424</v>
      </c>
      <c r="ER63" s="1" t="s">
        <v>480</v>
      </c>
      <c r="ES63">
        <v>9.1152985289672426</v>
      </c>
      <c r="ET63">
        <v>1</v>
      </c>
      <c r="EU63" s="1" t="s">
        <v>1749</v>
      </c>
      <c r="EV63">
        <v>172.48497151910271</v>
      </c>
      <c r="EW63">
        <v>0</v>
      </c>
      <c r="EX63" t="s">
        <v>316</v>
      </c>
      <c r="EY63">
        <v>1</v>
      </c>
      <c r="EZ63" s="1" t="s">
        <v>412</v>
      </c>
      <c r="FA63" s="2">
        <v>43831</v>
      </c>
      <c r="FB63" s="1" t="s">
        <v>818</v>
      </c>
      <c r="FC63">
        <v>1</v>
      </c>
      <c r="FD63" s="1"/>
      <c r="FE63" s="2">
        <v>42005</v>
      </c>
      <c r="FF63" s="1"/>
      <c r="FG63" s="1" t="s">
        <v>322</v>
      </c>
      <c r="FH63" s="1" t="s">
        <v>322</v>
      </c>
      <c r="FI63" s="1" t="s">
        <v>322</v>
      </c>
      <c r="FJ63" s="1" t="s">
        <v>319</v>
      </c>
      <c r="FK63" s="1" t="s">
        <v>1143</v>
      </c>
      <c r="FL63">
        <v>18.97</v>
      </c>
      <c r="FM63">
        <v>9022.1875</v>
      </c>
      <c r="FN63" s="1" t="s">
        <v>321</v>
      </c>
      <c r="FO63" s="1" t="s">
        <v>322</v>
      </c>
      <c r="FP63" s="1" t="s">
        <v>323</v>
      </c>
      <c r="FQ63" s="1" t="s">
        <v>559</v>
      </c>
      <c r="FR63" s="1" t="s">
        <v>325</v>
      </c>
      <c r="FS63" s="1" t="s">
        <v>374</v>
      </c>
      <c r="FT63" s="1" t="s">
        <v>326</v>
      </c>
      <c r="FU63">
        <v>494198191</v>
      </c>
      <c r="FV63" s="1" t="s">
        <v>319</v>
      </c>
      <c r="FW63" s="1" t="s">
        <v>322</v>
      </c>
      <c r="FX63" s="1" t="s">
        <v>322</v>
      </c>
      <c r="FY63" s="1" t="s">
        <v>322</v>
      </c>
      <c r="FZ63" s="1" t="s">
        <v>322</v>
      </c>
      <c r="GA63" s="1" t="s">
        <v>319</v>
      </c>
      <c r="GB63" s="1" t="s">
        <v>322</v>
      </c>
      <c r="GC63" s="1" t="s">
        <v>322</v>
      </c>
      <c r="GD63" s="1" t="s">
        <v>322</v>
      </c>
      <c r="GE63" s="1" t="s">
        <v>322</v>
      </c>
      <c r="GF63" s="1" t="s">
        <v>415</v>
      </c>
      <c r="GG63" s="1"/>
      <c r="GH63" s="1" t="s">
        <v>319</v>
      </c>
      <c r="GI63" s="1" t="s">
        <v>743</v>
      </c>
      <c r="GJ63" s="1" t="s">
        <v>322</v>
      </c>
      <c r="GK63" s="2">
        <v>42005</v>
      </c>
      <c r="GL63" s="1" t="s">
        <v>322</v>
      </c>
      <c r="GM63" s="1" t="s">
        <v>322</v>
      </c>
      <c r="GN63">
        <v>43193</v>
      </c>
      <c r="GO63" s="1" t="s">
        <v>319</v>
      </c>
      <c r="GQ63" s="1"/>
      <c r="GR63" s="1"/>
      <c r="GS63" s="1"/>
      <c r="GT63" s="1" t="s">
        <v>322</v>
      </c>
      <c r="GU63" s="1" t="s">
        <v>2746</v>
      </c>
      <c r="GV63" s="1" t="s">
        <v>322</v>
      </c>
      <c r="GW63" s="1" t="s">
        <v>322</v>
      </c>
      <c r="GX63" s="1" t="s">
        <v>319</v>
      </c>
      <c r="GY63" s="1" t="s">
        <v>319</v>
      </c>
      <c r="GZ63" s="1" t="s">
        <v>319</v>
      </c>
      <c r="HA63" s="2">
        <v>44063</v>
      </c>
      <c r="HB63" s="2">
        <v>42667</v>
      </c>
      <c r="HC63" s="1"/>
      <c r="HD63" s="1"/>
      <c r="HE63" s="1"/>
      <c r="HF63" s="1"/>
      <c r="HG63" s="1"/>
      <c r="HH63" s="1"/>
      <c r="HI63" s="1" t="s">
        <v>322</v>
      </c>
      <c r="HJ63" s="1" t="s">
        <v>330</v>
      </c>
      <c r="HK63" s="2"/>
      <c r="HL63" s="1"/>
      <c r="HM63" s="1" t="s">
        <v>322</v>
      </c>
      <c r="HN63" s="1" t="s">
        <v>322</v>
      </c>
      <c r="HO63" s="1"/>
      <c r="HP63" s="1"/>
      <c r="HQ63" s="1"/>
      <c r="HR63" s="1"/>
      <c r="HS63" s="1"/>
      <c r="HT63" s="1"/>
      <c r="HU63" s="1" t="s">
        <v>331</v>
      </c>
      <c r="HV63">
        <v>4626866011</v>
      </c>
      <c r="HW63">
        <v>40638959</v>
      </c>
      <c r="HX63">
        <v>99102570742</v>
      </c>
      <c r="HY63" s="1" t="s">
        <v>2747</v>
      </c>
      <c r="HZ63">
        <v>4304147</v>
      </c>
      <c r="IA63">
        <v>4321331</v>
      </c>
      <c r="IB63" s="1" t="s">
        <v>2748</v>
      </c>
      <c r="IC63">
        <v>830266</v>
      </c>
      <c r="ID63" s="1" t="s">
        <v>2749</v>
      </c>
      <c r="IE63">
        <v>6.72</v>
      </c>
      <c r="IF63">
        <v>8.4</v>
      </c>
      <c r="IG63">
        <v>10.1</v>
      </c>
      <c r="IH63">
        <v>11.16</v>
      </c>
      <c r="II63">
        <v>9.1199999999999992</v>
      </c>
      <c r="IJ63">
        <v>8.4</v>
      </c>
      <c r="IK63">
        <v>8.4</v>
      </c>
    </row>
    <row r="64" spans="1:245" x14ac:dyDescent="0.3">
      <c r="A64">
        <v>1737</v>
      </c>
      <c r="B64">
        <v>2354</v>
      </c>
      <c r="C64" s="1" t="s">
        <v>2750</v>
      </c>
      <c r="D64" s="1" t="s">
        <v>926</v>
      </c>
      <c r="E64" t="s">
        <v>3275</v>
      </c>
      <c r="F64" s="1" t="s">
        <v>2504</v>
      </c>
      <c r="G64" s="1" t="s">
        <v>2505</v>
      </c>
      <c r="H64">
        <v>610925352</v>
      </c>
      <c r="I64" s="1" t="s">
        <v>2751</v>
      </c>
      <c r="J64" s="1" t="s">
        <v>2752</v>
      </c>
      <c r="L64">
        <v>43591</v>
      </c>
      <c r="M64" s="1" t="s">
        <v>2753</v>
      </c>
      <c r="N64" s="1" t="s">
        <v>2754</v>
      </c>
      <c r="O64">
        <v>385239839</v>
      </c>
      <c r="P64" s="1" t="s">
        <v>273</v>
      </c>
      <c r="Q64" s="1" t="s">
        <v>2658</v>
      </c>
      <c r="R64" s="1" t="s">
        <v>2729</v>
      </c>
      <c r="S64" s="1" t="s">
        <v>2755</v>
      </c>
      <c r="T64" s="1" t="s">
        <v>2756</v>
      </c>
      <c r="U64">
        <v>385239817</v>
      </c>
      <c r="V64" s="1" t="s">
        <v>276</v>
      </c>
      <c r="W64" s="1" t="s">
        <v>2840</v>
      </c>
      <c r="X64" s="1" t="s">
        <v>2796</v>
      </c>
      <c r="Y64" s="1" t="s">
        <v>2757</v>
      </c>
      <c r="Z64" s="1" t="s">
        <v>2758</v>
      </c>
      <c r="AA64">
        <v>472475135</v>
      </c>
      <c r="AB64" s="1" t="s">
        <v>2751</v>
      </c>
      <c r="AC64" s="1" t="s">
        <v>2707</v>
      </c>
      <c r="AD64" s="1" t="s">
        <v>2759</v>
      </c>
      <c r="AE64" s="1" t="s">
        <v>2760</v>
      </c>
      <c r="AF64">
        <v>385239839</v>
      </c>
      <c r="AG64" s="1" t="s">
        <v>2701</v>
      </c>
      <c r="AH64" s="1" t="s">
        <v>2736</v>
      </c>
      <c r="AI64" s="1" t="s">
        <v>2761</v>
      </c>
      <c r="AJ64" s="1" t="s">
        <v>2762</v>
      </c>
      <c r="AK64">
        <v>385239818</v>
      </c>
      <c r="AL64" s="1" t="s">
        <v>2804</v>
      </c>
      <c r="AM64" s="1" t="s">
        <v>2514</v>
      </c>
      <c r="AN64" s="1" t="s">
        <v>524</v>
      </c>
      <c r="AO64" s="1"/>
      <c r="AQ64" s="1" t="s">
        <v>2725</v>
      </c>
      <c r="AR64" s="1" t="s">
        <v>2829</v>
      </c>
      <c r="AS64" s="1" t="s">
        <v>2763</v>
      </c>
      <c r="AT64" s="1" t="s">
        <v>2764</v>
      </c>
      <c r="AU64">
        <v>385239815</v>
      </c>
      <c r="AV64" s="1" t="s">
        <v>2725</v>
      </c>
      <c r="AW64" s="1" t="s">
        <v>2741</v>
      </c>
      <c r="AX64" s="1" t="s">
        <v>2520</v>
      </c>
      <c r="AY64">
        <v>789331669</v>
      </c>
      <c r="AZ64" s="1" t="s">
        <v>2430</v>
      </c>
      <c r="BB64" s="1" t="s">
        <v>2765</v>
      </c>
      <c r="BC64" s="1" t="s">
        <v>2766</v>
      </c>
      <c r="BD64">
        <v>71</v>
      </c>
      <c r="BE64">
        <v>385239839</v>
      </c>
      <c r="BF64">
        <v>46.250732421875</v>
      </c>
      <c r="BG64">
        <v>4.7880554199218697</v>
      </c>
      <c r="BH64">
        <v>451647903</v>
      </c>
      <c r="BI64">
        <v>231</v>
      </c>
      <c r="BJ64" s="2">
        <v>36719</v>
      </c>
      <c r="BK64" s="1" t="s">
        <v>3412</v>
      </c>
      <c r="BL64" s="1" t="s">
        <v>290</v>
      </c>
      <c r="BM64" s="1" t="s">
        <v>291</v>
      </c>
      <c r="BN64" s="1" t="s">
        <v>292</v>
      </c>
      <c r="BO64" s="1" t="s">
        <v>291</v>
      </c>
      <c r="BP64" s="1" t="s">
        <v>293</v>
      </c>
      <c r="BQ64" s="1" t="s">
        <v>294</v>
      </c>
      <c r="BR64">
        <v>80</v>
      </c>
      <c r="BS64">
        <v>20889275.190000001</v>
      </c>
      <c r="BT64" s="1" t="s">
        <v>295</v>
      </c>
      <c r="BU64" s="1" t="s">
        <v>359</v>
      </c>
      <c r="BV64">
        <v>326260</v>
      </c>
      <c r="BW64">
        <v>1.2327514159990659E-2</v>
      </c>
      <c r="BX64">
        <v>51.657018527065297</v>
      </c>
      <c r="BY64">
        <v>5.9118535856354804</v>
      </c>
      <c r="BZ64">
        <v>6.4536153051581282</v>
      </c>
      <c r="CA64">
        <v>64.022487417858898</v>
      </c>
      <c r="CB64" s="1" t="s">
        <v>297</v>
      </c>
      <c r="CC64">
        <v>1</v>
      </c>
      <c r="CD64" s="1" t="s">
        <v>402</v>
      </c>
      <c r="CE64" s="1" t="s">
        <v>361</v>
      </c>
      <c r="CF64">
        <v>1106</v>
      </c>
      <c r="CG64" s="1" t="s">
        <v>362</v>
      </c>
      <c r="CH64" s="1" t="s">
        <v>972</v>
      </c>
      <c r="CI64" s="1" t="s">
        <v>973</v>
      </c>
      <c r="CJ64" s="1" t="s">
        <v>972</v>
      </c>
      <c r="CK64" s="1" t="s">
        <v>302</v>
      </c>
      <c r="CL64" s="1" t="s">
        <v>974</v>
      </c>
      <c r="CM64">
        <v>3020409000020</v>
      </c>
      <c r="CO64" s="1"/>
      <c r="CP64" s="1" t="s">
        <v>444</v>
      </c>
      <c r="CQ64" s="1" t="s">
        <v>406</v>
      </c>
      <c r="CR64" s="1" t="s">
        <v>306</v>
      </c>
      <c r="CS64">
        <v>5950</v>
      </c>
      <c r="CT64">
        <v>2950</v>
      </c>
      <c r="CU64">
        <v>3000</v>
      </c>
      <c r="CV64" s="1" t="s">
        <v>309</v>
      </c>
      <c r="CW64" s="1" t="s">
        <v>308</v>
      </c>
      <c r="CY64">
        <v>3000</v>
      </c>
      <c r="CZ64">
        <v>3000</v>
      </c>
      <c r="DA64" s="1" t="s">
        <v>309</v>
      </c>
      <c r="DB64">
        <v>3000</v>
      </c>
      <c r="DC64">
        <v>3000</v>
      </c>
      <c r="DD64">
        <v>0</v>
      </c>
      <c r="DE64">
        <v>0</v>
      </c>
      <c r="DF64">
        <v>967</v>
      </c>
      <c r="DG64">
        <v>2033</v>
      </c>
      <c r="DH64">
        <v>0</v>
      </c>
      <c r="DI64">
        <v>0</v>
      </c>
      <c r="DJ64">
        <v>0</v>
      </c>
      <c r="DK64" s="1" t="s">
        <v>369</v>
      </c>
      <c r="DL64" s="1" t="s">
        <v>741</v>
      </c>
      <c r="DN64" s="1"/>
      <c r="DO64">
        <v>705</v>
      </c>
      <c r="DP64">
        <v>0</v>
      </c>
      <c r="DQ64">
        <v>705</v>
      </c>
      <c r="DR64" s="1"/>
      <c r="DS64">
        <v>641</v>
      </c>
      <c r="DT64">
        <v>118</v>
      </c>
      <c r="DU64">
        <v>238</v>
      </c>
      <c r="DV64">
        <v>320</v>
      </c>
      <c r="DW64" s="1" t="s">
        <v>558</v>
      </c>
      <c r="DX64">
        <v>16</v>
      </c>
      <c r="DZ64">
        <v>2</v>
      </c>
      <c r="EA64">
        <v>2</v>
      </c>
      <c r="EB64">
        <v>10</v>
      </c>
      <c r="EC64">
        <v>3</v>
      </c>
      <c r="ED64">
        <v>0</v>
      </c>
      <c r="EE64">
        <v>0</v>
      </c>
      <c r="EF64">
        <v>15</v>
      </c>
      <c r="EG64">
        <v>2010</v>
      </c>
      <c r="EI64" s="1"/>
      <c r="EJ64" s="1" t="s">
        <v>313</v>
      </c>
      <c r="EK64" s="1" t="s">
        <v>314</v>
      </c>
      <c r="EL64">
        <v>26</v>
      </c>
      <c r="EM64">
        <v>18</v>
      </c>
      <c r="EN64">
        <v>12</v>
      </c>
      <c r="EO64" s="1" t="s">
        <v>315</v>
      </c>
      <c r="EP64">
        <v>24</v>
      </c>
      <c r="EQ64">
        <v>76.614483300327009</v>
      </c>
      <c r="ER64" s="1" t="s">
        <v>411</v>
      </c>
      <c r="ES64">
        <v>2.8115406715716338</v>
      </c>
      <c r="ET64">
        <v>0</v>
      </c>
      <c r="EU64" s="1"/>
      <c r="EV64">
        <v>105.6084964759095</v>
      </c>
      <c r="EW64">
        <v>0</v>
      </c>
      <c r="EX64" t="s">
        <v>316</v>
      </c>
      <c r="EY64">
        <v>0</v>
      </c>
      <c r="EZ64" s="1" t="s">
        <v>317</v>
      </c>
      <c r="FA64" s="2"/>
      <c r="FB64" s="1" t="s">
        <v>318</v>
      </c>
      <c r="FC64">
        <v>1</v>
      </c>
      <c r="FD64" s="1"/>
      <c r="FE64" s="2"/>
      <c r="FF64" s="1"/>
      <c r="FG64" s="1" t="s">
        <v>319</v>
      </c>
      <c r="FH64" s="1" t="s">
        <v>319</v>
      </c>
      <c r="FI64" s="1" t="s">
        <v>319</v>
      </c>
      <c r="FJ64" s="1" t="s">
        <v>319</v>
      </c>
      <c r="FK64" s="1" t="s">
        <v>320</v>
      </c>
      <c r="FL64">
        <v>18.920000000000002</v>
      </c>
      <c r="FM64">
        <v>3702.6985161056818</v>
      </c>
      <c r="FN64" s="1" t="s">
        <v>321</v>
      </c>
      <c r="FO64" s="1" t="s">
        <v>319</v>
      </c>
      <c r="FP64" s="1" t="s">
        <v>323</v>
      </c>
      <c r="FQ64" s="1" t="s">
        <v>559</v>
      </c>
      <c r="FR64" s="1" t="s">
        <v>325</v>
      </c>
      <c r="FS64" s="1"/>
      <c r="FT64" s="1" t="s">
        <v>326</v>
      </c>
      <c r="FU64">
        <v>494198191</v>
      </c>
      <c r="FV64" s="1" t="s">
        <v>319</v>
      </c>
      <c r="FW64" s="1" t="s">
        <v>322</v>
      </c>
      <c r="FX64" s="1" t="s">
        <v>322</v>
      </c>
      <c r="FY64" s="1" t="s">
        <v>322</v>
      </c>
      <c r="FZ64" s="1" t="s">
        <v>322</v>
      </c>
      <c r="GA64" s="1" t="s">
        <v>322</v>
      </c>
      <c r="GB64" s="1" t="s">
        <v>322</v>
      </c>
      <c r="GC64" s="1" t="s">
        <v>322</v>
      </c>
      <c r="GD64" s="1" t="s">
        <v>322</v>
      </c>
      <c r="GE64" s="1" t="s">
        <v>319</v>
      </c>
      <c r="GF64" s="1" t="s">
        <v>415</v>
      </c>
      <c r="GG64" s="1"/>
      <c r="GH64" s="1" t="s">
        <v>319</v>
      </c>
      <c r="GI64" s="1" t="s">
        <v>484</v>
      </c>
      <c r="GJ64" s="1" t="s">
        <v>322</v>
      </c>
      <c r="GK64" s="2">
        <v>42005</v>
      </c>
      <c r="GL64" s="1" t="s">
        <v>322</v>
      </c>
      <c r="GM64" s="1" t="s">
        <v>322</v>
      </c>
      <c r="GN64">
        <v>43175</v>
      </c>
      <c r="GO64" s="1" t="s">
        <v>322</v>
      </c>
      <c r="GP64">
        <v>42005</v>
      </c>
      <c r="GQ64" s="1" t="s">
        <v>2767</v>
      </c>
      <c r="GR64" s="1" t="s">
        <v>319</v>
      </c>
      <c r="GS64" s="1" t="s">
        <v>448</v>
      </c>
      <c r="GT64" s="1" t="s">
        <v>322</v>
      </c>
      <c r="GU64" s="1" t="s">
        <v>2768</v>
      </c>
      <c r="GV64" s="1" t="s">
        <v>322</v>
      </c>
      <c r="GW64" s="1" t="s">
        <v>322</v>
      </c>
      <c r="GX64" s="1" t="s">
        <v>319</v>
      </c>
      <c r="GY64" s="1" t="s">
        <v>319</v>
      </c>
      <c r="GZ64" s="1" t="s">
        <v>319</v>
      </c>
      <c r="HA64" s="2">
        <v>44063</v>
      </c>
      <c r="HB64" s="2">
        <v>42653</v>
      </c>
      <c r="HC64" s="1"/>
      <c r="HD64" s="1"/>
      <c r="HE64" s="1"/>
      <c r="HF64" s="1"/>
      <c r="HG64" s="1"/>
      <c r="HH64" s="1"/>
      <c r="HI64" s="1" t="s">
        <v>322</v>
      </c>
      <c r="HJ64" s="1" t="s">
        <v>330</v>
      </c>
      <c r="HK64" s="2"/>
      <c r="HL64" s="1"/>
      <c r="HM64" s="1" t="s">
        <v>322</v>
      </c>
      <c r="HN64" s="1" t="s">
        <v>322</v>
      </c>
      <c r="HO64" s="1" t="s">
        <v>322</v>
      </c>
      <c r="HP64" s="1"/>
      <c r="HQ64" s="1"/>
      <c r="HR64" s="1"/>
      <c r="HS64" s="1"/>
      <c r="HT64" s="1"/>
      <c r="HU64" s="1" t="s">
        <v>331</v>
      </c>
      <c r="HV64">
        <v>4622005016</v>
      </c>
      <c r="HW64">
        <v>40638965</v>
      </c>
      <c r="HX64">
        <v>99102570754</v>
      </c>
      <c r="HY64" s="1" t="s">
        <v>2769</v>
      </c>
      <c r="HZ64">
        <v>4320752</v>
      </c>
      <c r="IA64">
        <v>4321046</v>
      </c>
      <c r="IB64" s="1" t="s">
        <v>2770</v>
      </c>
      <c r="IC64">
        <v>830270</v>
      </c>
      <c r="ID64" s="1" t="s">
        <v>2771</v>
      </c>
      <c r="IE64">
        <v>4.91</v>
      </c>
      <c r="IF64">
        <v>6.13</v>
      </c>
      <c r="IG64">
        <v>7.66</v>
      </c>
      <c r="IH64">
        <v>9.57</v>
      </c>
      <c r="II64">
        <v>11.96</v>
      </c>
      <c r="IJ64">
        <v>12.004626865671641</v>
      </c>
      <c r="IK64">
        <v>10.050000000000001</v>
      </c>
    </row>
    <row r="65" spans="1:245" x14ac:dyDescent="0.3">
      <c r="A65">
        <v>1777</v>
      </c>
      <c r="B65">
        <v>2391</v>
      </c>
      <c r="C65" s="1" t="s">
        <v>2892</v>
      </c>
      <c r="D65" s="1" t="s">
        <v>2861</v>
      </c>
      <c r="E65" t="s">
        <v>3275</v>
      </c>
      <c r="F65" s="1" t="s">
        <v>2862</v>
      </c>
      <c r="G65" s="1" t="s">
        <v>2863</v>
      </c>
      <c r="H65">
        <v>610902271</v>
      </c>
      <c r="I65" s="1" t="s">
        <v>2893</v>
      </c>
      <c r="J65" s="1" t="s">
        <v>2894</v>
      </c>
      <c r="L65">
        <v>43983</v>
      </c>
      <c r="M65" s="1" t="s">
        <v>2895</v>
      </c>
      <c r="N65" s="1" t="s">
        <v>2896</v>
      </c>
      <c r="O65">
        <v>496130670</v>
      </c>
      <c r="P65" s="1" t="s">
        <v>273</v>
      </c>
      <c r="Q65" s="1" t="s">
        <v>2864</v>
      </c>
      <c r="R65" s="1" t="s">
        <v>2866</v>
      </c>
      <c r="S65" s="1" t="s">
        <v>2897</v>
      </c>
      <c r="T65" s="1" t="s">
        <v>2898</v>
      </c>
      <c r="U65">
        <v>787956353</v>
      </c>
      <c r="V65" s="1" t="s">
        <v>276</v>
      </c>
      <c r="W65" s="1" t="s">
        <v>1730</v>
      </c>
      <c r="X65" s="1" t="s">
        <v>2965</v>
      </c>
      <c r="Y65" s="1" t="s">
        <v>2899</v>
      </c>
      <c r="Z65" s="1" t="s">
        <v>2900</v>
      </c>
      <c r="AA65">
        <v>496130674</v>
      </c>
      <c r="AB65" s="1" t="s">
        <v>2984</v>
      </c>
      <c r="AC65" s="1" t="s">
        <v>2990</v>
      </c>
      <c r="AD65" s="1" t="s">
        <v>2901</v>
      </c>
      <c r="AE65" s="1" t="s">
        <v>2902</v>
      </c>
      <c r="AF65">
        <v>663955453</v>
      </c>
      <c r="AG65" s="1" t="s">
        <v>2940</v>
      </c>
      <c r="AH65" s="1" t="s">
        <v>2874</v>
      </c>
      <c r="AI65" s="1" t="s">
        <v>2903</v>
      </c>
      <c r="AJ65" s="1" t="s">
        <v>2904</v>
      </c>
      <c r="AK65">
        <v>666351119</v>
      </c>
      <c r="AL65" s="1" t="s">
        <v>3030</v>
      </c>
      <c r="AM65" s="1" t="s">
        <v>2971</v>
      </c>
      <c r="AN65" s="1" t="s">
        <v>2905</v>
      </c>
      <c r="AO65" s="1" t="s">
        <v>2906</v>
      </c>
      <c r="AP65">
        <v>496130672</v>
      </c>
      <c r="AQ65" s="1" t="s">
        <v>2961</v>
      </c>
      <c r="AR65" s="1" t="s">
        <v>2877</v>
      </c>
      <c r="AS65" s="1" t="s">
        <v>2907</v>
      </c>
      <c r="AT65" s="1" t="s">
        <v>2908</v>
      </c>
      <c r="AU65">
        <v>496130673</v>
      </c>
      <c r="AV65" s="1" t="s">
        <v>2917</v>
      </c>
      <c r="AW65" s="1" t="s">
        <v>2998</v>
      </c>
      <c r="AX65" s="1" t="s">
        <v>2881</v>
      </c>
      <c r="AY65">
        <v>621287379</v>
      </c>
      <c r="AZ65" s="1" t="s">
        <v>2882</v>
      </c>
      <c r="BA65">
        <v>784179651</v>
      </c>
      <c r="BB65" s="1" t="s">
        <v>2909</v>
      </c>
      <c r="BC65" s="1" t="s">
        <v>2910</v>
      </c>
      <c r="BD65">
        <v>13</v>
      </c>
      <c r="BE65">
        <v>496130670</v>
      </c>
      <c r="BF65">
        <v>43.326904296875</v>
      </c>
      <c r="BG65">
        <v>5.42059326171875</v>
      </c>
      <c r="BH65">
        <v>451647903</v>
      </c>
      <c r="BI65">
        <v>132</v>
      </c>
      <c r="BJ65" s="2">
        <v>38168</v>
      </c>
      <c r="BK65" s="1" t="s">
        <v>3314</v>
      </c>
      <c r="BL65" s="1" t="s">
        <v>290</v>
      </c>
      <c r="BM65" s="1" t="s">
        <v>291</v>
      </c>
      <c r="BN65" s="1" t="s">
        <v>292</v>
      </c>
      <c r="BO65" s="1" t="s">
        <v>291</v>
      </c>
      <c r="BP65" s="1" t="s">
        <v>293</v>
      </c>
      <c r="BQ65" s="1" t="s">
        <v>294</v>
      </c>
      <c r="BR65">
        <v>80</v>
      </c>
      <c r="BS65">
        <v>35391981.890000001</v>
      </c>
      <c r="BT65" s="1" t="s">
        <v>295</v>
      </c>
      <c r="BU65" s="1" t="s">
        <v>555</v>
      </c>
      <c r="BV65">
        <v>614967</v>
      </c>
      <c r="BW65">
        <v>5.0042907834377389E-3</v>
      </c>
      <c r="BX65">
        <v>64.204852640601302</v>
      </c>
      <c r="BY65">
        <v>11.058828377398299</v>
      </c>
      <c r="BZ65">
        <v>19.158533328937825</v>
      </c>
      <c r="CA65">
        <v>94.422214346937423</v>
      </c>
      <c r="CB65" s="1" t="s">
        <v>297</v>
      </c>
      <c r="CC65">
        <v>1</v>
      </c>
      <c r="CD65" s="1" t="s">
        <v>298</v>
      </c>
      <c r="CE65" s="1" t="s">
        <v>402</v>
      </c>
      <c r="CF65">
        <v>1106</v>
      </c>
      <c r="CG65" s="1" t="s">
        <v>362</v>
      </c>
      <c r="CH65" s="1" t="s">
        <v>363</v>
      </c>
      <c r="CI65" s="1" t="s">
        <v>364</v>
      </c>
      <c r="CJ65" s="1" t="s">
        <v>363</v>
      </c>
      <c r="CK65" s="1" t="s">
        <v>364</v>
      </c>
      <c r="CL65" s="1" t="s">
        <v>2673</v>
      </c>
      <c r="CM65">
        <v>3601651111007</v>
      </c>
      <c r="CO65" s="1" t="s">
        <v>1747</v>
      </c>
      <c r="CP65" s="1" t="s">
        <v>2911</v>
      </c>
      <c r="CQ65" s="1" t="s">
        <v>766</v>
      </c>
      <c r="CR65" s="1" t="s">
        <v>505</v>
      </c>
      <c r="CS65">
        <v>5700</v>
      </c>
      <c r="CT65">
        <v>3700</v>
      </c>
      <c r="CU65">
        <v>3700</v>
      </c>
      <c r="CV65" s="1" t="s">
        <v>307</v>
      </c>
      <c r="CW65" s="1" t="s">
        <v>408</v>
      </c>
      <c r="CY65">
        <v>2000</v>
      </c>
      <c r="CZ65" t="s">
        <v>368</v>
      </c>
      <c r="DA65" s="1" t="s">
        <v>309</v>
      </c>
      <c r="DB65">
        <v>2000</v>
      </c>
      <c r="DC65">
        <v>2000</v>
      </c>
      <c r="DD65">
        <v>0</v>
      </c>
      <c r="DE65">
        <v>0</v>
      </c>
      <c r="DF65">
        <v>950</v>
      </c>
      <c r="DG65">
        <v>1050</v>
      </c>
      <c r="DH65">
        <v>0</v>
      </c>
      <c r="DI65">
        <v>0</v>
      </c>
      <c r="DJ65">
        <v>0</v>
      </c>
      <c r="DK65" s="1" t="s">
        <v>369</v>
      </c>
      <c r="DL65" s="1" t="s">
        <v>311</v>
      </c>
      <c r="DN65" s="1"/>
      <c r="DO65">
        <v>1038</v>
      </c>
      <c r="DP65">
        <v>0</v>
      </c>
      <c r="DQ65">
        <v>1038</v>
      </c>
      <c r="DR65" s="1"/>
      <c r="DS65">
        <v>500</v>
      </c>
      <c r="DT65">
        <v>117</v>
      </c>
      <c r="DU65">
        <v>210</v>
      </c>
      <c r="DV65">
        <v>348</v>
      </c>
      <c r="DW65" s="1" t="s">
        <v>371</v>
      </c>
      <c r="DX65">
        <v>24</v>
      </c>
      <c r="DZ65">
        <v>2</v>
      </c>
      <c r="EA65">
        <v>3</v>
      </c>
      <c r="EB65">
        <v>11</v>
      </c>
      <c r="EC65">
        <v>2</v>
      </c>
      <c r="ED65">
        <v>0</v>
      </c>
      <c r="EE65">
        <v>0</v>
      </c>
      <c r="EF65">
        <v>16</v>
      </c>
      <c r="EG65">
        <v>2010</v>
      </c>
      <c r="EI65" s="1"/>
      <c r="EJ65" s="1" t="s">
        <v>313</v>
      </c>
      <c r="EK65" s="1" t="s">
        <v>314</v>
      </c>
      <c r="EL65">
        <v>37</v>
      </c>
      <c r="EM65">
        <v>37</v>
      </c>
      <c r="EN65">
        <v>12</v>
      </c>
      <c r="EO65" s="1" t="s">
        <v>315</v>
      </c>
      <c r="EP65">
        <v>24</v>
      </c>
      <c r="EQ65">
        <v>98.676773992509112</v>
      </c>
      <c r="ER65" s="1" t="s">
        <v>316</v>
      </c>
      <c r="ES65">
        <v>13.54387094014831</v>
      </c>
      <c r="ET65">
        <v>3</v>
      </c>
      <c r="EU65" s="1" t="s">
        <v>2912</v>
      </c>
      <c r="EV65">
        <v>102.64828502007141</v>
      </c>
      <c r="EW65">
        <v>2</v>
      </c>
      <c r="EX65" t="s">
        <v>316</v>
      </c>
      <c r="EY65">
        <v>5</v>
      </c>
      <c r="EZ65" s="1" t="s">
        <v>412</v>
      </c>
      <c r="FA65" s="2">
        <v>44105</v>
      </c>
      <c r="FB65" s="1" t="s">
        <v>818</v>
      </c>
      <c r="FC65">
        <v>1</v>
      </c>
      <c r="FD65" s="1"/>
      <c r="FE65" s="2">
        <v>42005</v>
      </c>
      <c r="FF65" s="1" t="s">
        <v>1503</v>
      </c>
      <c r="FG65" s="1" t="s">
        <v>322</v>
      </c>
      <c r="FH65" s="1" t="s">
        <v>322</v>
      </c>
      <c r="FI65" s="1" t="s">
        <v>322</v>
      </c>
      <c r="FJ65" s="1" t="s">
        <v>322</v>
      </c>
      <c r="FK65" s="1" t="s">
        <v>1143</v>
      </c>
      <c r="FL65">
        <v>18.97</v>
      </c>
      <c r="FM65">
        <v>12411.242210144932</v>
      </c>
      <c r="FN65" s="1" t="s">
        <v>321</v>
      </c>
      <c r="FO65" s="1" t="s">
        <v>322</v>
      </c>
      <c r="FP65" s="1" t="s">
        <v>323</v>
      </c>
      <c r="FQ65" s="1" t="s">
        <v>559</v>
      </c>
      <c r="FR65" s="1" t="s">
        <v>325</v>
      </c>
      <c r="FS65" s="1" t="s">
        <v>374</v>
      </c>
      <c r="FT65" s="1" t="s">
        <v>326</v>
      </c>
      <c r="FU65">
        <v>494198191</v>
      </c>
      <c r="FV65" s="1" t="s">
        <v>322</v>
      </c>
      <c r="FW65" s="1" t="s">
        <v>322</v>
      </c>
      <c r="FX65" s="1" t="s">
        <v>322</v>
      </c>
      <c r="FY65" s="1" t="s">
        <v>322</v>
      </c>
      <c r="FZ65" s="1" t="s">
        <v>322</v>
      </c>
      <c r="GA65" s="1" t="s">
        <v>322</v>
      </c>
      <c r="GB65" s="1" t="s">
        <v>319</v>
      </c>
      <c r="GC65" s="1"/>
      <c r="GD65" s="1" t="s">
        <v>322</v>
      </c>
      <c r="GE65" s="1" t="s">
        <v>322</v>
      </c>
      <c r="GF65" s="1" t="s">
        <v>415</v>
      </c>
      <c r="GG65" s="1" t="s">
        <v>322</v>
      </c>
      <c r="GH65" s="1" t="s">
        <v>319</v>
      </c>
      <c r="GI65" s="1" t="s">
        <v>1025</v>
      </c>
      <c r="GJ65" s="1" t="s">
        <v>322</v>
      </c>
      <c r="GK65" s="2">
        <v>42005</v>
      </c>
      <c r="GL65" s="1" t="s">
        <v>322</v>
      </c>
      <c r="GM65" s="1" t="s">
        <v>322</v>
      </c>
      <c r="GN65">
        <v>42989</v>
      </c>
      <c r="GO65" s="1" t="s">
        <v>319</v>
      </c>
      <c r="GQ65" s="1"/>
      <c r="GR65" s="1"/>
      <c r="GS65" s="1"/>
      <c r="GT65" s="1" t="s">
        <v>319</v>
      </c>
      <c r="GU65" s="1" t="s">
        <v>319</v>
      </c>
      <c r="GV65" s="1" t="s">
        <v>319</v>
      </c>
      <c r="GW65" s="1" t="s">
        <v>319</v>
      </c>
      <c r="GX65" s="1" t="s">
        <v>319</v>
      </c>
      <c r="GY65" s="1" t="s">
        <v>319</v>
      </c>
      <c r="GZ65" s="1" t="s">
        <v>319</v>
      </c>
      <c r="HA65" s="2">
        <v>44085</v>
      </c>
      <c r="HB65" s="2">
        <v>42674</v>
      </c>
      <c r="HC65" s="1"/>
      <c r="HD65" s="1"/>
      <c r="HE65" s="1"/>
      <c r="HF65" s="1"/>
      <c r="HG65" s="1"/>
      <c r="HH65" s="1"/>
      <c r="HI65" s="1" t="s">
        <v>322</v>
      </c>
      <c r="HJ65" s="1" t="s">
        <v>330</v>
      </c>
      <c r="HK65" s="2"/>
      <c r="HL65" s="1"/>
      <c r="HM65" s="1" t="s">
        <v>322</v>
      </c>
      <c r="HN65" s="1" t="s">
        <v>322</v>
      </c>
      <c r="HO65" s="1"/>
      <c r="HP65" s="1"/>
      <c r="HQ65" s="1"/>
      <c r="HR65" s="1"/>
      <c r="HS65" s="1"/>
      <c r="HT65" s="1"/>
      <c r="HU65" s="1" t="s">
        <v>331</v>
      </c>
      <c r="HV65">
        <v>4621987012</v>
      </c>
      <c r="HW65">
        <v>40639025</v>
      </c>
      <c r="HX65">
        <v>99102570869</v>
      </c>
      <c r="HY65" s="1" t="s">
        <v>2913</v>
      </c>
      <c r="HZ65">
        <v>4310168</v>
      </c>
      <c r="IA65">
        <v>4321305</v>
      </c>
      <c r="IB65" s="1" t="s">
        <v>2914</v>
      </c>
      <c r="IC65">
        <v>830168</v>
      </c>
      <c r="ID65" s="1" t="s">
        <v>2915</v>
      </c>
      <c r="IE65">
        <v>9.2899999999999991</v>
      </c>
      <c r="IF65">
        <v>7.38</v>
      </c>
      <c r="IG65">
        <v>9.2200000000000006</v>
      </c>
      <c r="IH65">
        <v>11.52</v>
      </c>
      <c r="II65">
        <v>14.4</v>
      </c>
      <c r="IJ65">
        <v>9.68</v>
      </c>
      <c r="IK65">
        <v>8.1300000000000008</v>
      </c>
    </row>
    <row r="66" spans="1:245" x14ac:dyDescent="0.3">
      <c r="A66">
        <v>1778</v>
      </c>
      <c r="B66">
        <v>2392</v>
      </c>
      <c r="C66" s="1" t="s">
        <v>2916</v>
      </c>
      <c r="D66" s="1" t="s">
        <v>2861</v>
      </c>
      <c r="E66" t="s">
        <v>3275</v>
      </c>
      <c r="F66" s="1" t="s">
        <v>2862</v>
      </c>
      <c r="G66" s="1" t="s">
        <v>2863</v>
      </c>
      <c r="H66">
        <v>610902271</v>
      </c>
      <c r="I66" s="1" t="s">
        <v>2917</v>
      </c>
      <c r="J66" s="1" t="s">
        <v>2918</v>
      </c>
      <c r="L66">
        <v>44011</v>
      </c>
      <c r="M66" s="1" t="s">
        <v>2919</v>
      </c>
      <c r="N66" s="1" t="s">
        <v>2920</v>
      </c>
      <c r="P66" s="1"/>
      <c r="Q66" s="1" t="s">
        <v>2864</v>
      </c>
      <c r="R66" s="1" t="s">
        <v>2866</v>
      </c>
      <c r="S66" s="1" t="s">
        <v>2921</v>
      </c>
      <c r="T66" s="1" t="s">
        <v>2922</v>
      </c>
      <c r="U66">
        <v>442817437</v>
      </c>
      <c r="V66" s="1" t="s">
        <v>276</v>
      </c>
      <c r="W66" s="1" t="s">
        <v>1730</v>
      </c>
      <c r="X66" s="1" t="s">
        <v>2965</v>
      </c>
      <c r="Y66" s="1" t="s">
        <v>2923</v>
      </c>
      <c r="Z66" s="1" t="s">
        <v>2924</v>
      </c>
      <c r="AA66">
        <v>695309635</v>
      </c>
      <c r="AB66" s="1" t="s">
        <v>2984</v>
      </c>
      <c r="AC66" s="1" t="s">
        <v>2990</v>
      </c>
      <c r="AD66" s="1" t="s">
        <v>2925</v>
      </c>
      <c r="AE66" s="1" t="s">
        <v>2926</v>
      </c>
      <c r="AF66">
        <v>679046610</v>
      </c>
      <c r="AG66" s="1" t="s">
        <v>2940</v>
      </c>
      <c r="AH66" s="1" t="s">
        <v>2874</v>
      </c>
      <c r="AI66" s="1" t="s">
        <v>2927</v>
      </c>
      <c r="AJ66" s="1" t="s">
        <v>2928</v>
      </c>
      <c r="AK66">
        <v>442817435</v>
      </c>
      <c r="AL66" s="1" t="s">
        <v>3030</v>
      </c>
      <c r="AM66" s="1" t="s">
        <v>2971</v>
      </c>
      <c r="AN66" s="1" t="s">
        <v>2929</v>
      </c>
      <c r="AO66" s="1" t="s">
        <v>2930</v>
      </c>
      <c r="AP66">
        <v>442817432</v>
      </c>
      <c r="AQ66" s="1" t="s">
        <v>2961</v>
      </c>
      <c r="AR66" s="1" t="s">
        <v>2877</v>
      </c>
      <c r="AS66" s="1" t="s">
        <v>2931</v>
      </c>
      <c r="AT66" s="1" t="s">
        <v>2932</v>
      </c>
      <c r="AU66">
        <v>663914824</v>
      </c>
      <c r="AV66" s="1" t="s">
        <v>2917</v>
      </c>
      <c r="AW66" s="1" t="s">
        <v>2998</v>
      </c>
      <c r="AX66" s="1" t="s">
        <v>2881</v>
      </c>
      <c r="AY66">
        <v>621287380</v>
      </c>
      <c r="AZ66" s="1" t="s">
        <v>2882</v>
      </c>
      <c r="BA66">
        <v>784179652</v>
      </c>
      <c r="BB66" s="1" t="s">
        <v>2933</v>
      </c>
      <c r="BC66" s="1" t="s">
        <v>2934</v>
      </c>
      <c r="BD66">
        <v>13</v>
      </c>
      <c r="BE66">
        <v>442817430</v>
      </c>
      <c r="BF66">
        <v>43.39794921875</v>
      </c>
      <c r="BG66">
        <v>5.033447265625</v>
      </c>
      <c r="BH66">
        <v>451647903</v>
      </c>
      <c r="BI66">
        <v>520</v>
      </c>
      <c r="BJ66" s="2">
        <v>38183</v>
      </c>
      <c r="BK66" s="1" t="s">
        <v>3323</v>
      </c>
      <c r="BL66" s="1" t="s">
        <v>290</v>
      </c>
      <c r="BM66" s="1" t="s">
        <v>291</v>
      </c>
      <c r="BN66" s="1" t="s">
        <v>292</v>
      </c>
      <c r="BO66" s="1" t="s">
        <v>291</v>
      </c>
      <c r="BP66" s="1" t="s">
        <v>293</v>
      </c>
      <c r="BQ66" s="1" t="s">
        <v>294</v>
      </c>
      <c r="BR66">
        <v>80</v>
      </c>
      <c r="BS66">
        <v>20557492.510000002</v>
      </c>
      <c r="BT66" s="1" t="s">
        <v>295</v>
      </c>
      <c r="BU66" s="1" t="s">
        <v>359</v>
      </c>
      <c r="BV66">
        <v>339221</v>
      </c>
      <c r="BW66">
        <v>1.0118267884586458E-2</v>
      </c>
      <c r="BX66">
        <v>44.399881321289598</v>
      </c>
      <c r="BY66">
        <v>13.528136744247371</v>
      </c>
      <c r="BZ66">
        <v>5.4775010439331</v>
      </c>
      <c r="CA66">
        <v>63.40551910947007</v>
      </c>
      <c r="CB66" s="1" t="s">
        <v>443</v>
      </c>
      <c r="CC66">
        <v>1</v>
      </c>
      <c r="CD66" s="1" t="s">
        <v>298</v>
      </c>
      <c r="CE66" s="1" t="s">
        <v>402</v>
      </c>
      <c r="CF66">
        <v>1106</v>
      </c>
      <c r="CG66" s="1" t="s">
        <v>362</v>
      </c>
      <c r="CH66" s="1" t="s">
        <v>363</v>
      </c>
      <c r="CI66" s="1" t="s">
        <v>364</v>
      </c>
      <c r="CJ66" s="1" t="s">
        <v>363</v>
      </c>
      <c r="CK66" s="1" t="s">
        <v>364</v>
      </c>
      <c r="CL66" s="1" t="s">
        <v>2673</v>
      </c>
      <c r="CM66">
        <v>3601651111007</v>
      </c>
      <c r="CO66" s="1"/>
      <c r="CP66" s="1" t="s">
        <v>2384</v>
      </c>
      <c r="CQ66" s="1" t="s">
        <v>367</v>
      </c>
      <c r="CR66" s="1" t="s">
        <v>505</v>
      </c>
      <c r="CS66">
        <v>7155</v>
      </c>
      <c r="CT66">
        <v>2945</v>
      </c>
      <c r="CU66">
        <v>3000</v>
      </c>
      <c r="CV66" s="1" t="s">
        <v>309</v>
      </c>
      <c r="CW66" s="1" t="s">
        <v>308</v>
      </c>
      <c r="CY66">
        <v>4300</v>
      </c>
      <c r="CZ66" t="s">
        <v>873</v>
      </c>
      <c r="DA66" s="1" t="s">
        <v>874</v>
      </c>
      <c r="DB66">
        <v>4210</v>
      </c>
      <c r="DC66">
        <v>4210</v>
      </c>
      <c r="DD66">
        <v>50</v>
      </c>
      <c r="DE66">
        <v>0</v>
      </c>
      <c r="DF66">
        <v>840</v>
      </c>
      <c r="DG66">
        <v>3370</v>
      </c>
      <c r="DH66">
        <v>0</v>
      </c>
      <c r="DI66">
        <v>0</v>
      </c>
      <c r="DJ66">
        <v>0</v>
      </c>
      <c r="DK66" s="1" t="s">
        <v>369</v>
      </c>
      <c r="DL66" s="1" t="s">
        <v>741</v>
      </c>
      <c r="DN66" s="1"/>
      <c r="DO66">
        <v>824</v>
      </c>
      <c r="DP66">
        <v>0</v>
      </c>
      <c r="DQ66">
        <v>824</v>
      </c>
      <c r="DR66" s="1"/>
      <c r="DS66">
        <v>1040</v>
      </c>
      <c r="DT66">
        <v>60</v>
      </c>
      <c r="DU66">
        <v>240</v>
      </c>
      <c r="DV66">
        <v>234</v>
      </c>
      <c r="DW66" s="1" t="s">
        <v>371</v>
      </c>
      <c r="DX66">
        <v>18</v>
      </c>
      <c r="DZ66">
        <v>2</v>
      </c>
      <c r="EA66">
        <v>2</v>
      </c>
      <c r="EB66">
        <v>10</v>
      </c>
      <c r="EC66">
        <v>3</v>
      </c>
      <c r="ED66">
        <v>0</v>
      </c>
      <c r="EE66">
        <v>0</v>
      </c>
      <c r="EF66">
        <v>15</v>
      </c>
      <c r="EG66">
        <v>2010</v>
      </c>
      <c r="EI66" s="1"/>
      <c r="EJ66" s="1" t="s">
        <v>313</v>
      </c>
      <c r="EK66" s="1" t="s">
        <v>314</v>
      </c>
      <c r="EL66">
        <v>26</v>
      </c>
      <c r="EM66">
        <v>21</v>
      </c>
      <c r="EN66">
        <v>11</v>
      </c>
      <c r="EO66" s="1" t="s">
        <v>315</v>
      </c>
      <c r="EP66">
        <v>20</v>
      </c>
      <c r="EQ66">
        <v>98.676773992509112</v>
      </c>
      <c r="ER66" s="1" t="s">
        <v>316</v>
      </c>
      <c r="ES66">
        <v>13.54387094014831</v>
      </c>
      <c r="ET66">
        <v>4</v>
      </c>
      <c r="EU66" s="1" t="s">
        <v>2912</v>
      </c>
      <c r="EV66">
        <v>102.64828502007141</v>
      </c>
      <c r="EW66">
        <v>5</v>
      </c>
      <c r="EX66">
        <v>2</v>
      </c>
      <c r="EY66">
        <v>9</v>
      </c>
      <c r="EZ66" s="1" t="s">
        <v>1381</v>
      </c>
      <c r="FA66" s="2"/>
      <c r="FB66" s="1" t="s">
        <v>1382</v>
      </c>
      <c r="FC66">
        <v>1</v>
      </c>
      <c r="FD66" s="1"/>
      <c r="FE66" s="2">
        <v>41640</v>
      </c>
      <c r="FF66" s="1" t="s">
        <v>2935</v>
      </c>
      <c r="FG66" s="1" t="s">
        <v>322</v>
      </c>
      <c r="FH66" s="1" t="s">
        <v>322</v>
      </c>
      <c r="FI66" s="1" t="s">
        <v>322</v>
      </c>
      <c r="FJ66" s="1" t="s">
        <v>322</v>
      </c>
      <c r="FK66" s="1" t="s">
        <v>1143</v>
      </c>
      <c r="FL66">
        <v>18.97</v>
      </c>
      <c r="FM66">
        <v>7104.6706521739134</v>
      </c>
      <c r="FN66" s="1" t="s">
        <v>321</v>
      </c>
      <c r="FO66" s="1" t="s">
        <v>319</v>
      </c>
      <c r="FP66" s="1" t="s">
        <v>323</v>
      </c>
      <c r="FQ66" s="1" t="s">
        <v>324</v>
      </c>
      <c r="FR66" s="1" t="s">
        <v>325</v>
      </c>
      <c r="FS66" s="1"/>
      <c r="FT66" s="1" t="s">
        <v>666</v>
      </c>
      <c r="FV66" s="1" t="s">
        <v>319</v>
      </c>
      <c r="FW66" s="1" t="s">
        <v>322</v>
      </c>
      <c r="FX66" s="1" t="s">
        <v>322</v>
      </c>
      <c r="FY66" s="1" t="s">
        <v>322</v>
      </c>
      <c r="FZ66" s="1" t="s">
        <v>322</v>
      </c>
      <c r="GA66" s="1" t="s">
        <v>322</v>
      </c>
      <c r="GB66" s="1" t="s">
        <v>322</v>
      </c>
      <c r="GC66" s="1" t="s">
        <v>322</v>
      </c>
      <c r="GD66" s="1" t="s">
        <v>322</v>
      </c>
      <c r="GE66" s="1" t="s">
        <v>319</v>
      </c>
      <c r="GF66" s="1" t="s">
        <v>415</v>
      </c>
      <c r="GG66" s="1"/>
      <c r="GH66" s="1" t="s">
        <v>319</v>
      </c>
      <c r="GI66" s="1"/>
      <c r="GJ66" s="1" t="s">
        <v>322</v>
      </c>
      <c r="GK66" s="2">
        <v>42005</v>
      </c>
      <c r="GL66" s="1" t="s">
        <v>322</v>
      </c>
      <c r="GM66" s="1" t="s">
        <v>322</v>
      </c>
      <c r="GN66">
        <v>42989</v>
      </c>
      <c r="GO66" s="1" t="s">
        <v>319</v>
      </c>
      <c r="GQ66" s="1"/>
      <c r="GR66" s="1"/>
      <c r="GS66" s="1"/>
      <c r="GT66" s="1" t="s">
        <v>322</v>
      </c>
      <c r="GU66" s="1" t="s">
        <v>2888</v>
      </c>
      <c r="GV66" s="1" t="s">
        <v>319</v>
      </c>
      <c r="GW66" s="1" t="s">
        <v>322</v>
      </c>
      <c r="GX66" s="1" t="s">
        <v>319</v>
      </c>
      <c r="GY66" s="1" t="s">
        <v>319</v>
      </c>
      <c r="GZ66" s="1" t="s">
        <v>319</v>
      </c>
      <c r="HA66" s="2">
        <v>44068</v>
      </c>
      <c r="HB66" s="2">
        <v>42674</v>
      </c>
      <c r="HC66" s="1"/>
      <c r="HD66" s="1"/>
      <c r="HE66" s="1"/>
      <c r="HF66" s="1"/>
      <c r="HG66" s="1"/>
      <c r="HH66" s="1"/>
      <c r="HI66" s="1" t="s">
        <v>322</v>
      </c>
      <c r="HJ66" s="1" t="s">
        <v>330</v>
      </c>
      <c r="HK66" s="2"/>
      <c r="HL66" s="1"/>
      <c r="HM66" s="1" t="s">
        <v>322</v>
      </c>
      <c r="HN66" s="1" t="s">
        <v>322</v>
      </c>
      <c r="HO66" s="1"/>
      <c r="HP66" s="1"/>
      <c r="HQ66" s="1"/>
      <c r="HR66" s="1"/>
      <c r="HS66" s="1"/>
      <c r="HT66" s="1"/>
      <c r="HU66" s="1" t="s">
        <v>331</v>
      </c>
      <c r="HV66">
        <v>4621988016</v>
      </c>
      <c r="HW66">
        <v>40639031</v>
      </c>
      <c r="HX66">
        <v>99102570871</v>
      </c>
      <c r="HY66" s="1" t="s">
        <v>2936</v>
      </c>
      <c r="HZ66">
        <v>4320772</v>
      </c>
      <c r="IA66">
        <v>4321098</v>
      </c>
      <c r="IB66" s="1" t="s">
        <v>2937</v>
      </c>
      <c r="IC66">
        <v>830170</v>
      </c>
      <c r="ID66" s="1" t="s">
        <v>2938</v>
      </c>
      <c r="IE66">
        <v>6.18</v>
      </c>
      <c r="IF66">
        <v>7.22</v>
      </c>
      <c r="IG66">
        <v>5.77</v>
      </c>
      <c r="IH66">
        <v>5.35</v>
      </c>
      <c r="II66">
        <v>4.28</v>
      </c>
      <c r="IJ66">
        <v>6.18</v>
      </c>
      <c r="IK66">
        <v>6.18</v>
      </c>
    </row>
    <row r="67" spans="1:245" x14ac:dyDescent="0.3">
      <c r="A67">
        <v>1908</v>
      </c>
      <c r="B67">
        <v>2417</v>
      </c>
      <c r="C67" s="1" t="s">
        <v>2098</v>
      </c>
      <c r="D67" s="1" t="s">
        <v>1451</v>
      </c>
      <c r="E67" t="s">
        <v>3275</v>
      </c>
      <c r="F67" s="1" t="s">
        <v>267</v>
      </c>
      <c r="G67" s="1" t="s">
        <v>268</v>
      </c>
      <c r="H67">
        <v>608729156</v>
      </c>
      <c r="I67" s="1" t="s">
        <v>2099</v>
      </c>
      <c r="J67" s="1" t="s">
        <v>2100</v>
      </c>
      <c r="L67">
        <v>44375</v>
      </c>
      <c r="M67" s="1" t="s">
        <v>2101</v>
      </c>
      <c r="N67" s="1" t="s">
        <v>2102</v>
      </c>
      <c r="O67">
        <v>327622056</v>
      </c>
      <c r="P67" s="1" t="s">
        <v>273</v>
      </c>
      <c r="Q67" s="1" t="s">
        <v>1984</v>
      </c>
      <c r="R67" s="1" t="s">
        <v>2101</v>
      </c>
      <c r="S67" s="1" t="s">
        <v>2103</v>
      </c>
      <c r="T67" s="1" t="s">
        <v>2104</v>
      </c>
      <c r="U67">
        <v>786230642</v>
      </c>
      <c r="V67" s="1" t="s">
        <v>276</v>
      </c>
      <c r="W67" s="1" t="s">
        <v>2099</v>
      </c>
      <c r="X67" s="1" t="s">
        <v>274</v>
      </c>
      <c r="Y67" s="1" t="s">
        <v>524</v>
      </c>
      <c r="Z67" s="1"/>
      <c r="AB67" s="1" t="s">
        <v>2121</v>
      </c>
      <c r="AC67" s="1" t="s">
        <v>2166</v>
      </c>
      <c r="AD67" s="1" t="s">
        <v>2105</v>
      </c>
      <c r="AE67" s="1" t="s">
        <v>2106</v>
      </c>
      <c r="AF67">
        <v>327622056</v>
      </c>
      <c r="AG67" s="1" t="s">
        <v>2160</v>
      </c>
      <c r="AH67" s="1" t="s">
        <v>279</v>
      </c>
      <c r="AI67" s="1" t="s">
        <v>2107</v>
      </c>
      <c r="AJ67" s="1" t="s">
        <v>2108</v>
      </c>
      <c r="AK67">
        <v>327957575</v>
      </c>
      <c r="AL67" s="1" t="s">
        <v>2086</v>
      </c>
      <c r="AM67" s="1" t="s">
        <v>2013</v>
      </c>
      <c r="AN67" s="1" t="s">
        <v>2109</v>
      </c>
      <c r="AO67" s="1" t="s">
        <v>2110</v>
      </c>
      <c r="AP67">
        <v>327625464</v>
      </c>
      <c r="AQ67" s="1" t="s">
        <v>2049</v>
      </c>
      <c r="AR67" s="1" t="s">
        <v>2015</v>
      </c>
      <c r="AS67" s="1" t="s">
        <v>2111</v>
      </c>
      <c r="AT67" s="1" t="s">
        <v>2112</v>
      </c>
      <c r="AU67">
        <v>327622056</v>
      </c>
      <c r="AV67" s="1" t="s">
        <v>2140</v>
      </c>
      <c r="AW67" s="1" t="s">
        <v>2063</v>
      </c>
      <c r="AX67" s="1" t="s">
        <v>287</v>
      </c>
      <c r="AY67">
        <v>7873000101</v>
      </c>
      <c r="AZ67" s="1"/>
      <c r="BB67" s="1" t="s">
        <v>2113</v>
      </c>
      <c r="BC67" s="1" t="s">
        <v>2114</v>
      </c>
      <c r="BD67">
        <v>59</v>
      </c>
      <c r="BE67">
        <v>327622056</v>
      </c>
      <c r="BF67">
        <v>50.2818603515625</v>
      </c>
      <c r="BG67">
        <v>3.9556198120117099</v>
      </c>
      <c r="BH67">
        <v>451647903</v>
      </c>
      <c r="BI67">
        <v>934</v>
      </c>
      <c r="BJ67" s="2">
        <v>39220</v>
      </c>
      <c r="BK67" s="1" t="s">
        <v>1649</v>
      </c>
      <c r="BL67" s="1" t="s">
        <v>290</v>
      </c>
      <c r="BM67" s="1" t="s">
        <v>291</v>
      </c>
      <c r="BN67" s="1" t="s">
        <v>292</v>
      </c>
      <c r="BO67" s="1" t="s">
        <v>291</v>
      </c>
      <c r="BP67" s="1" t="s">
        <v>293</v>
      </c>
      <c r="BQ67" s="1" t="s">
        <v>294</v>
      </c>
      <c r="BR67">
        <v>80</v>
      </c>
      <c r="BS67">
        <v>37132841.200000003</v>
      </c>
      <c r="BT67" s="1" t="s">
        <v>295</v>
      </c>
      <c r="BU67" s="1" t="s">
        <v>475</v>
      </c>
      <c r="BV67">
        <v>454777</v>
      </c>
      <c r="BW67">
        <v>1.3504007434172403E-2</v>
      </c>
      <c r="BX67">
        <v>82.657018527065304</v>
      </c>
      <c r="BY67">
        <v>3.3190314498582438</v>
      </c>
      <c r="BZ67">
        <v>10.075233511351398</v>
      </c>
      <c r="CA67">
        <v>96.051283488274947</v>
      </c>
      <c r="CB67" s="1" t="s">
        <v>476</v>
      </c>
      <c r="CC67">
        <v>1</v>
      </c>
      <c r="CD67" s="1" t="s">
        <v>298</v>
      </c>
      <c r="CE67" s="1" t="s">
        <v>504</v>
      </c>
      <c r="CF67">
        <v>1101</v>
      </c>
      <c r="CG67" s="1" t="s">
        <v>300</v>
      </c>
      <c r="CH67" s="1" t="s">
        <v>1474</v>
      </c>
      <c r="CI67" s="1" t="s">
        <v>1475</v>
      </c>
      <c r="CJ67" s="1" t="s">
        <v>1474</v>
      </c>
      <c r="CK67" s="1" t="s">
        <v>1475</v>
      </c>
      <c r="CL67" s="1" t="s">
        <v>1476</v>
      </c>
      <c r="CM67">
        <v>3020409000010</v>
      </c>
      <c r="CO67" s="1"/>
      <c r="CP67" s="1" t="s">
        <v>2115</v>
      </c>
      <c r="CQ67" s="1" t="s">
        <v>766</v>
      </c>
      <c r="CR67" s="1" t="s">
        <v>306</v>
      </c>
      <c r="CS67">
        <v>7662</v>
      </c>
      <c r="CT67">
        <v>5900</v>
      </c>
      <c r="CU67" t="s">
        <v>477</v>
      </c>
      <c r="CV67" s="1" t="s">
        <v>478</v>
      </c>
      <c r="CW67" s="1" t="s">
        <v>308</v>
      </c>
      <c r="CY67">
        <v>1762</v>
      </c>
      <c r="CZ67" t="s">
        <v>368</v>
      </c>
      <c r="DA67" s="1" t="s">
        <v>309</v>
      </c>
      <c r="DB67">
        <v>3362</v>
      </c>
      <c r="DC67">
        <v>1762</v>
      </c>
      <c r="DD67">
        <v>0</v>
      </c>
      <c r="DE67">
        <v>1635</v>
      </c>
      <c r="DF67">
        <v>639</v>
      </c>
      <c r="DG67">
        <v>1123</v>
      </c>
      <c r="DH67">
        <v>0</v>
      </c>
      <c r="DI67">
        <v>0</v>
      </c>
      <c r="DJ67">
        <v>0</v>
      </c>
      <c r="DK67" s="1" t="s">
        <v>369</v>
      </c>
      <c r="DL67" s="1" t="s">
        <v>2116</v>
      </c>
      <c r="DN67" s="1"/>
      <c r="DO67">
        <v>1353</v>
      </c>
      <c r="DP67">
        <v>0</v>
      </c>
      <c r="DQ67">
        <v>1353</v>
      </c>
      <c r="DR67" s="1"/>
      <c r="DS67">
        <v>811</v>
      </c>
      <c r="DT67">
        <v>120</v>
      </c>
      <c r="DU67">
        <v>437</v>
      </c>
      <c r="DV67">
        <v>314</v>
      </c>
      <c r="DW67" s="1" t="s">
        <v>371</v>
      </c>
      <c r="DX67">
        <v>24</v>
      </c>
      <c r="DY67">
        <v>2017</v>
      </c>
      <c r="DZ67">
        <v>2</v>
      </c>
      <c r="EA67">
        <v>2</v>
      </c>
      <c r="EB67">
        <v>10</v>
      </c>
      <c r="EC67">
        <v>2</v>
      </c>
      <c r="ED67">
        <v>2</v>
      </c>
      <c r="EE67">
        <v>1</v>
      </c>
      <c r="EF67">
        <v>17</v>
      </c>
      <c r="EG67">
        <v>2014</v>
      </c>
      <c r="EI67" s="1"/>
      <c r="EJ67" s="1" t="s">
        <v>313</v>
      </c>
      <c r="EK67" s="1" t="s">
        <v>314</v>
      </c>
      <c r="EL67">
        <v>40</v>
      </c>
      <c r="EM67">
        <v>34</v>
      </c>
      <c r="EN67">
        <v>13</v>
      </c>
      <c r="EO67" s="1" t="s">
        <v>315</v>
      </c>
      <c r="EP67">
        <v>30</v>
      </c>
      <c r="EQ67">
        <v>71.873576143802381</v>
      </c>
      <c r="ER67" s="1" t="s">
        <v>316</v>
      </c>
      <c r="ES67">
        <v>8.2842542406944037</v>
      </c>
      <c r="ET67">
        <v>1</v>
      </c>
      <c r="EU67" s="1" t="s">
        <v>1749</v>
      </c>
      <c r="EV67">
        <v>100.13975843728284</v>
      </c>
      <c r="EW67">
        <v>2</v>
      </c>
      <c r="EX67" t="s">
        <v>316</v>
      </c>
      <c r="EY67">
        <v>3</v>
      </c>
      <c r="EZ67" s="1" t="s">
        <v>412</v>
      </c>
      <c r="FA67" s="2">
        <v>42736</v>
      </c>
      <c r="FB67" s="1" t="s">
        <v>1892</v>
      </c>
      <c r="FC67">
        <v>1</v>
      </c>
      <c r="FD67" s="1" t="s">
        <v>322</v>
      </c>
      <c r="FE67" s="2"/>
      <c r="FF67" s="1" t="s">
        <v>1575</v>
      </c>
      <c r="FG67" s="1" t="s">
        <v>319</v>
      </c>
      <c r="FH67" s="1" t="s">
        <v>319</v>
      </c>
      <c r="FI67" s="1" t="s">
        <v>319</v>
      </c>
      <c r="FJ67" s="1" t="s">
        <v>319</v>
      </c>
      <c r="FK67" s="1" t="s">
        <v>320</v>
      </c>
      <c r="FL67">
        <v>18.920000000000002</v>
      </c>
      <c r="FM67">
        <v>7038.7899022801294</v>
      </c>
      <c r="FN67" s="1" t="s">
        <v>321</v>
      </c>
      <c r="FO67" s="1" t="s">
        <v>322</v>
      </c>
      <c r="FP67" s="1" t="s">
        <v>323</v>
      </c>
      <c r="FQ67" s="1" t="s">
        <v>324</v>
      </c>
      <c r="FR67" s="1" t="s">
        <v>325</v>
      </c>
      <c r="FS67" s="1"/>
      <c r="FT67" s="1" t="s">
        <v>326</v>
      </c>
      <c r="FU67">
        <v>494198191</v>
      </c>
      <c r="FV67" s="1" t="s">
        <v>322</v>
      </c>
      <c r="FW67" s="1" t="s">
        <v>322</v>
      </c>
      <c r="FX67" s="1" t="s">
        <v>322</v>
      </c>
      <c r="FY67" s="1" t="s">
        <v>322</v>
      </c>
      <c r="FZ67" s="1" t="s">
        <v>322</v>
      </c>
      <c r="GA67" s="1" t="s">
        <v>322</v>
      </c>
      <c r="GB67" s="1" t="s">
        <v>322</v>
      </c>
      <c r="GC67" s="1" t="s">
        <v>322</v>
      </c>
      <c r="GD67" s="1" t="s">
        <v>322</v>
      </c>
      <c r="GE67" s="1" t="s">
        <v>322</v>
      </c>
      <c r="GF67" s="1" t="s">
        <v>415</v>
      </c>
      <c r="GG67" s="1"/>
      <c r="GH67" s="1" t="s">
        <v>319</v>
      </c>
      <c r="GI67" s="1"/>
      <c r="GJ67" s="1" t="s">
        <v>322</v>
      </c>
      <c r="GK67" s="2">
        <v>41640</v>
      </c>
      <c r="GL67" s="1" t="s">
        <v>322</v>
      </c>
      <c r="GM67" s="1" t="s">
        <v>322</v>
      </c>
      <c r="GN67" t="s">
        <v>1406</v>
      </c>
      <c r="GO67" s="1" t="s">
        <v>319</v>
      </c>
      <c r="GQ67" s="1"/>
      <c r="GR67" s="1"/>
      <c r="GS67" s="1"/>
      <c r="GT67" s="1" t="s">
        <v>322</v>
      </c>
      <c r="GU67" s="1" t="s">
        <v>1797</v>
      </c>
      <c r="GV67" s="1" t="s">
        <v>322</v>
      </c>
      <c r="GW67" s="1" t="s">
        <v>319</v>
      </c>
      <c r="GX67" s="1" t="s">
        <v>319</v>
      </c>
      <c r="GY67" s="1" t="s">
        <v>319</v>
      </c>
      <c r="GZ67" s="1" t="s">
        <v>322</v>
      </c>
      <c r="HA67" s="2">
        <v>44065</v>
      </c>
      <c r="HB67" s="2">
        <v>42660</v>
      </c>
      <c r="HC67" s="1"/>
      <c r="HD67" s="1"/>
      <c r="HE67" s="1"/>
      <c r="HF67" s="1"/>
      <c r="HG67" s="1"/>
      <c r="HH67" s="1"/>
      <c r="HI67" s="1" t="s">
        <v>322</v>
      </c>
      <c r="HJ67" s="1" t="s">
        <v>1122</v>
      </c>
      <c r="HK67" s="2">
        <v>43101</v>
      </c>
      <c r="HL67" s="1"/>
      <c r="HM67" s="1" t="s">
        <v>322</v>
      </c>
      <c r="HN67" s="1" t="s">
        <v>322</v>
      </c>
      <c r="HO67" s="1"/>
      <c r="HP67" s="1"/>
      <c r="HQ67" s="1"/>
      <c r="HR67" s="1"/>
      <c r="HS67" s="1"/>
      <c r="HT67" s="1"/>
      <c r="HU67" s="1" t="s">
        <v>331</v>
      </c>
      <c r="HV67">
        <v>4625379011</v>
      </c>
      <c r="HW67">
        <v>40638681</v>
      </c>
      <c r="HX67">
        <v>99102569377</v>
      </c>
      <c r="HY67" s="1" t="s">
        <v>2117</v>
      </c>
      <c r="HZ67">
        <v>4204707</v>
      </c>
      <c r="IA67">
        <v>4244508</v>
      </c>
      <c r="IB67" s="1" t="s">
        <v>2118</v>
      </c>
      <c r="IC67">
        <v>830220</v>
      </c>
      <c r="ID67" s="1" t="s">
        <v>2119</v>
      </c>
      <c r="IE67">
        <v>2.09</v>
      </c>
      <c r="IF67">
        <v>2.0099999999999998</v>
      </c>
      <c r="IG67">
        <v>1.86</v>
      </c>
      <c r="IH67">
        <v>1.42</v>
      </c>
      <c r="II67">
        <v>1.42</v>
      </c>
      <c r="IJ67">
        <v>1.8213684210526315</v>
      </c>
      <c r="IK67">
        <v>1.82</v>
      </c>
    </row>
    <row r="68" spans="1:245" x14ac:dyDescent="0.3">
      <c r="A68">
        <v>1790</v>
      </c>
      <c r="B68">
        <v>2404</v>
      </c>
      <c r="C68" s="1" t="s">
        <v>1657</v>
      </c>
      <c r="D68" s="1" t="s">
        <v>1074</v>
      </c>
      <c r="E68" t="s">
        <v>3275</v>
      </c>
      <c r="F68" s="1" t="s">
        <v>3300</v>
      </c>
      <c r="G68" s="1" t="s">
        <v>1452</v>
      </c>
      <c r="H68">
        <v>625291561</v>
      </c>
      <c r="I68" s="1" t="s">
        <v>1658</v>
      </c>
      <c r="J68" s="1" t="s">
        <v>1659</v>
      </c>
      <c r="K68">
        <v>675255063</v>
      </c>
      <c r="L68">
        <v>44011</v>
      </c>
      <c r="M68" s="1" t="s">
        <v>1660</v>
      </c>
      <c r="N68" s="1" t="s">
        <v>1661</v>
      </c>
      <c r="O68">
        <v>164871407</v>
      </c>
      <c r="P68" s="1" t="s">
        <v>273</v>
      </c>
      <c r="Q68" s="1" t="s">
        <v>1683</v>
      </c>
      <c r="R68" s="1" t="s">
        <v>1685</v>
      </c>
      <c r="S68" s="1" t="s">
        <v>1662</v>
      </c>
      <c r="T68" s="1" t="s">
        <v>1663</v>
      </c>
      <c r="U68">
        <v>164871406</v>
      </c>
      <c r="V68" s="1" t="s">
        <v>276</v>
      </c>
      <c r="W68" s="1" t="s">
        <v>1459</v>
      </c>
      <c r="X68" s="1" t="s">
        <v>1560</v>
      </c>
      <c r="Y68" s="1" t="s">
        <v>1664</v>
      </c>
      <c r="Z68" s="1" t="s">
        <v>1665</v>
      </c>
      <c r="AA68">
        <v>164871404</v>
      </c>
      <c r="AB68" s="1" t="s">
        <v>1530</v>
      </c>
      <c r="AC68" s="1" t="s">
        <v>1637</v>
      </c>
      <c r="AD68" s="1" t="s">
        <v>1666</v>
      </c>
      <c r="AE68" s="1" t="s">
        <v>1667</v>
      </c>
      <c r="AF68">
        <v>164871405</v>
      </c>
      <c r="AG68" s="1" t="s">
        <v>1617</v>
      </c>
      <c r="AH68" s="1" t="s">
        <v>1689</v>
      </c>
      <c r="AI68" s="1" t="s">
        <v>1668</v>
      </c>
      <c r="AJ68" s="1" t="s">
        <v>1669</v>
      </c>
      <c r="AK68">
        <v>164871403</v>
      </c>
      <c r="AL68" s="1" t="s">
        <v>1658</v>
      </c>
      <c r="AM68" s="1" t="s">
        <v>1668</v>
      </c>
      <c r="AN68" s="1" t="s">
        <v>1670</v>
      </c>
      <c r="AO68" s="1" t="s">
        <v>1671</v>
      </c>
      <c r="AP68">
        <v>164871402</v>
      </c>
      <c r="AQ68" s="1" t="s">
        <v>1453</v>
      </c>
      <c r="AR68" s="1" t="s">
        <v>1466</v>
      </c>
      <c r="AS68" s="1" t="s">
        <v>1672</v>
      </c>
      <c r="AT68" s="1" t="s">
        <v>1673</v>
      </c>
      <c r="AU68">
        <v>164871408</v>
      </c>
      <c r="AV68" s="1" t="s">
        <v>1582</v>
      </c>
      <c r="AW68" s="1" t="s">
        <v>1695</v>
      </c>
      <c r="AX68" s="1" t="s">
        <v>1470</v>
      </c>
      <c r="AY68">
        <v>609519431</v>
      </c>
      <c r="AZ68" s="1" t="s">
        <v>1471</v>
      </c>
      <c r="BA68">
        <v>784179658</v>
      </c>
      <c r="BB68" s="1" t="s">
        <v>1674</v>
      </c>
      <c r="BC68" s="1" t="s">
        <v>1675</v>
      </c>
      <c r="BD68">
        <v>77</v>
      </c>
      <c r="BE68">
        <v>164871414</v>
      </c>
      <c r="BF68">
        <v>48.5411376953125</v>
      </c>
      <c r="BG68">
        <v>2.68585205078125</v>
      </c>
      <c r="BH68">
        <v>451647903</v>
      </c>
      <c r="BI68">
        <v>736</v>
      </c>
      <c r="BJ68" s="2">
        <v>38728</v>
      </c>
      <c r="BK68" s="1" t="s">
        <v>3312</v>
      </c>
      <c r="BL68" s="1" t="s">
        <v>290</v>
      </c>
      <c r="BM68" s="1" t="s">
        <v>291</v>
      </c>
      <c r="BN68" s="1" t="s">
        <v>292</v>
      </c>
      <c r="BO68" s="1" t="s">
        <v>291</v>
      </c>
      <c r="BP68" s="1" t="s">
        <v>293</v>
      </c>
      <c r="BQ68" s="1" t="s">
        <v>1093</v>
      </c>
      <c r="BR68">
        <v>85</v>
      </c>
      <c r="BS68">
        <v>29372295.16</v>
      </c>
      <c r="BT68" s="1" t="s">
        <v>295</v>
      </c>
      <c r="BU68" s="1" t="s">
        <v>401</v>
      </c>
      <c r="BV68">
        <v>405664</v>
      </c>
      <c r="BW68">
        <v>1.0731094845898915E-2</v>
      </c>
      <c r="BX68">
        <v>66.428627942242997</v>
      </c>
      <c r="BY68">
        <v>1.8690413397507737</v>
      </c>
      <c r="BZ68">
        <v>2.3074097272587415</v>
      </c>
      <c r="CA68">
        <v>70.60507900925252</v>
      </c>
      <c r="CB68" s="1" t="s">
        <v>476</v>
      </c>
      <c r="CC68">
        <v>1</v>
      </c>
      <c r="CD68" s="1" t="s">
        <v>361</v>
      </c>
      <c r="CE68" s="1" t="s">
        <v>402</v>
      </c>
      <c r="CF68">
        <v>1101</v>
      </c>
      <c r="CG68" s="1" t="s">
        <v>300</v>
      </c>
      <c r="CH68" s="1" t="s">
        <v>301</v>
      </c>
      <c r="CI68" s="1" t="s">
        <v>302</v>
      </c>
      <c r="CJ68" s="1" t="s">
        <v>301</v>
      </c>
      <c r="CK68" s="1" t="s">
        <v>302</v>
      </c>
      <c r="CL68" s="1" t="s">
        <v>303</v>
      </c>
      <c r="CM68">
        <v>3601651117009</v>
      </c>
      <c r="CO68" s="1"/>
      <c r="CP68" s="1" t="s">
        <v>1046</v>
      </c>
      <c r="CQ68" s="1" t="s">
        <v>367</v>
      </c>
      <c r="CR68" s="1" t="s">
        <v>306</v>
      </c>
      <c r="CS68">
        <v>9020</v>
      </c>
      <c r="CT68">
        <v>5920</v>
      </c>
      <c r="CU68" t="s">
        <v>477</v>
      </c>
      <c r="CV68" s="1" t="s">
        <v>478</v>
      </c>
      <c r="CW68" s="1" t="s">
        <v>308</v>
      </c>
      <c r="CY68">
        <v>3052</v>
      </c>
      <c r="CZ68">
        <v>3000</v>
      </c>
      <c r="DA68" s="1" t="s">
        <v>309</v>
      </c>
      <c r="DB68">
        <v>4700</v>
      </c>
      <c r="DC68">
        <v>3100</v>
      </c>
      <c r="DD68">
        <v>48</v>
      </c>
      <c r="DE68">
        <v>1470</v>
      </c>
      <c r="DF68">
        <v>711</v>
      </c>
      <c r="DG68">
        <v>2389</v>
      </c>
      <c r="DH68">
        <v>0</v>
      </c>
      <c r="DI68">
        <v>0</v>
      </c>
      <c r="DJ68">
        <v>0</v>
      </c>
      <c r="DK68" s="1" t="s">
        <v>409</v>
      </c>
      <c r="DL68" s="1" t="s">
        <v>370</v>
      </c>
      <c r="DN68" s="1"/>
      <c r="DO68">
        <v>1168</v>
      </c>
      <c r="DP68">
        <v>0</v>
      </c>
      <c r="DQ68">
        <v>1168</v>
      </c>
      <c r="DR68" s="1"/>
      <c r="DS68">
        <v>1542</v>
      </c>
      <c r="DT68">
        <v>100</v>
      </c>
      <c r="DU68">
        <v>389</v>
      </c>
      <c r="DV68">
        <v>375</v>
      </c>
      <c r="DW68" s="1" t="s">
        <v>371</v>
      </c>
      <c r="DX68">
        <v>17</v>
      </c>
      <c r="DY68">
        <v>2017</v>
      </c>
      <c r="DZ68">
        <v>2</v>
      </c>
      <c r="EA68">
        <v>2</v>
      </c>
      <c r="EB68">
        <v>11</v>
      </c>
      <c r="EC68">
        <v>3</v>
      </c>
      <c r="ED68">
        <v>3</v>
      </c>
      <c r="EE68">
        <v>0</v>
      </c>
      <c r="EF68">
        <v>19</v>
      </c>
      <c r="EG68">
        <v>2012</v>
      </c>
      <c r="EI68" s="1"/>
      <c r="EJ68" s="1" t="s">
        <v>313</v>
      </c>
      <c r="EK68" s="1" t="s">
        <v>314</v>
      </c>
      <c r="EL68">
        <v>32</v>
      </c>
      <c r="EM68">
        <v>32</v>
      </c>
      <c r="EN68">
        <v>10</v>
      </c>
      <c r="EO68" s="1" t="s">
        <v>315</v>
      </c>
      <c r="EP68">
        <v>24</v>
      </c>
      <c r="EQ68">
        <v>142.26552833648191</v>
      </c>
      <c r="ER68" s="1" t="s">
        <v>480</v>
      </c>
      <c r="ES68">
        <v>11.430672200759677</v>
      </c>
      <c r="ET68">
        <v>0</v>
      </c>
      <c r="EU68" s="1"/>
      <c r="EV68">
        <v>83.413013356894936</v>
      </c>
      <c r="EW68">
        <v>1</v>
      </c>
      <c r="EX68" t="s">
        <v>316</v>
      </c>
      <c r="EY68">
        <v>1</v>
      </c>
      <c r="EZ68" s="1" t="s">
        <v>412</v>
      </c>
      <c r="FA68" s="2">
        <v>43831</v>
      </c>
      <c r="FB68" s="1" t="s">
        <v>529</v>
      </c>
      <c r="FC68">
        <v>1</v>
      </c>
      <c r="FD68" s="1"/>
      <c r="FE68" s="2"/>
      <c r="FF68" s="1"/>
      <c r="FG68" s="1" t="s">
        <v>319</v>
      </c>
      <c r="FH68" s="1" t="s">
        <v>322</v>
      </c>
      <c r="FI68" s="1" t="s">
        <v>322</v>
      </c>
      <c r="FJ68" s="1" t="s">
        <v>322</v>
      </c>
      <c r="FK68" s="1" t="s">
        <v>1096</v>
      </c>
      <c r="FL68">
        <v>19.27</v>
      </c>
      <c r="FM68">
        <v>7463.7538324420675</v>
      </c>
      <c r="FN68" s="1" t="s">
        <v>321</v>
      </c>
      <c r="FO68" s="1" t="s">
        <v>322</v>
      </c>
      <c r="FP68" s="1" t="s">
        <v>323</v>
      </c>
      <c r="FQ68" s="1" t="s">
        <v>559</v>
      </c>
      <c r="FR68" s="1" t="s">
        <v>325</v>
      </c>
      <c r="FS68" s="1"/>
      <c r="FT68" s="1" t="s">
        <v>326</v>
      </c>
      <c r="FU68">
        <v>494198191</v>
      </c>
      <c r="FV68" s="1" t="s">
        <v>322</v>
      </c>
      <c r="FW68" s="1" t="s">
        <v>322</v>
      </c>
      <c r="FX68" s="1" t="s">
        <v>322</v>
      </c>
      <c r="FY68" s="1" t="s">
        <v>322</v>
      </c>
      <c r="FZ68" s="1" t="s">
        <v>322</v>
      </c>
      <c r="GA68" s="1" t="s">
        <v>322</v>
      </c>
      <c r="GB68" s="1" t="s">
        <v>319</v>
      </c>
      <c r="GC68" s="1" t="s">
        <v>322</v>
      </c>
      <c r="GD68" s="1" t="s">
        <v>322</v>
      </c>
      <c r="GE68" s="1" t="s">
        <v>322</v>
      </c>
      <c r="GF68" s="1" t="s">
        <v>415</v>
      </c>
      <c r="GG68" s="1"/>
      <c r="GH68" s="1" t="s">
        <v>319</v>
      </c>
      <c r="GI68" s="1" t="s">
        <v>1677</v>
      </c>
      <c r="GJ68" s="1" t="s">
        <v>322</v>
      </c>
      <c r="GK68" s="2">
        <v>41640</v>
      </c>
      <c r="GL68" s="1" t="s">
        <v>322</v>
      </c>
      <c r="GM68" s="1" t="s">
        <v>322</v>
      </c>
      <c r="GN68">
        <v>42989</v>
      </c>
      <c r="GO68" s="1" t="s">
        <v>322</v>
      </c>
      <c r="GP68">
        <v>43617</v>
      </c>
      <c r="GQ68" s="1" t="s">
        <v>1678</v>
      </c>
      <c r="GR68" s="1" t="s">
        <v>319</v>
      </c>
      <c r="GS68" s="1" t="s">
        <v>448</v>
      </c>
      <c r="GT68" s="1" t="s">
        <v>322</v>
      </c>
      <c r="GU68" s="1" t="s">
        <v>1098</v>
      </c>
      <c r="GV68" s="1" t="s">
        <v>319</v>
      </c>
      <c r="GW68" s="1" t="s">
        <v>319</v>
      </c>
      <c r="GX68" s="1" t="s">
        <v>319</v>
      </c>
      <c r="GY68" s="1" t="s">
        <v>319</v>
      </c>
      <c r="GZ68" s="1" t="s">
        <v>322</v>
      </c>
      <c r="HA68" s="2">
        <v>44064</v>
      </c>
      <c r="HB68" s="2">
        <v>42660</v>
      </c>
      <c r="HC68" s="1"/>
      <c r="HD68" s="1" t="s">
        <v>322</v>
      </c>
      <c r="HE68" s="1"/>
      <c r="HF68" s="1"/>
      <c r="HG68" s="1"/>
      <c r="HH68" s="1"/>
      <c r="HI68" s="1" t="s">
        <v>322</v>
      </c>
      <c r="HJ68" s="1" t="s">
        <v>794</v>
      </c>
      <c r="HK68" s="2">
        <v>43101</v>
      </c>
      <c r="HL68" s="1"/>
      <c r="HM68" s="1" t="s">
        <v>322</v>
      </c>
      <c r="HN68" s="1" t="s">
        <v>322</v>
      </c>
      <c r="HO68" s="1" t="s">
        <v>322</v>
      </c>
      <c r="HP68" s="1"/>
      <c r="HQ68" s="1"/>
      <c r="HR68" s="1"/>
      <c r="HS68" s="1"/>
      <c r="HT68" s="1"/>
      <c r="HU68" s="1" t="s">
        <v>331</v>
      </c>
      <c r="HV68">
        <v>4623767013</v>
      </c>
      <c r="HW68">
        <v>40638497</v>
      </c>
      <c r="HX68">
        <v>99102567824</v>
      </c>
      <c r="HY68" s="1" t="s">
        <v>1679</v>
      </c>
      <c r="HZ68">
        <v>4242192</v>
      </c>
      <c r="IA68">
        <v>4321319</v>
      </c>
      <c r="IB68" s="1" t="s">
        <v>1680</v>
      </c>
      <c r="IC68">
        <v>830011</v>
      </c>
      <c r="ID68" s="1" t="s">
        <v>1681</v>
      </c>
      <c r="IE68">
        <v>3.88</v>
      </c>
      <c r="IF68">
        <v>4.88</v>
      </c>
      <c r="IG68">
        <v>6.1</v>
      </c>
      <c r="IH68">
        <v>6.64</v>
      </c>
      <c r="II68">
        <v>6.13</v>
      </c>
      <c r="IJ68">
        <v>7.33</v>
      </c>
      <c r="IK68">
        <v>7.33</v>
      </c>
    </row>
    <row r="69" spans="1:245" x14ac:dyDescent="0.3">
      <c r="A69">
        <v>1722</v>
      </c>
      <c r="B69">
        <v>2346</v>
      </c>
      <c r="C69" s="1" t="s">
        <v>1338</v>
      </c>
      <c r="D69" s="1" t="s">
        <v>266</v>
      </c>
      <c r="E69" t="s">
        <v>3275</v>
      </c>
      <c r="F69" s="1" t="s">
        <v>1228</v>
      </c>
      <c r="G69" s="1" t="s">
        <v>1229</v>
      </c>
      <c r="H69">
        <v>624328593</v>
      </c>
      <c r="I69" s="1" t="s">
        <v>1339</v>
      </c>
      <c r="J69" s="1" t="s">
        <v>1340</v>
      </c>
      <c r="K69">
        <v>622456419</v>
      </c>
      <c r="L69">
        <v>44564</v>
      </c>
      <c r="M69" s="1" t="s">
        <v>1341</v>
      </c>
      <c r="N69" s="1" t="s">
        <v>1342</v>
      </c>
      <c r="O69">
        <v>387211048</v>
      </c>
      <c r="P69" s="1" t="s">
        <v>273</v>
      </c>
      <c r="Q69" s="1" t="s">
        <v>1430</v>
      </c>
      <c r="R69" s="1" t="s">
        <v>1389</v>
      </c>
      <c r="S69" s="1" t="s">
        <v>1343</v>
      </c>
      <c r="T69" s="1" t="s">
        <v>1344</v>
      </c>
      <c r="U69">
        <v>387211040</v>
      </c>
      <c r="V69" s="1"/>
      <c r="W69" s="1" t="s">
        <v>1387</v>
      </c>
      <c r="X69" s="1" t="s">
        <v>1299</v>
      </c>
      <c r="Y69" s="1" t="s">
        <v>1345</v>
      </c>
      <c r="Z69" s="1" t="s">
        <v>1346</v>
      </c>
      <c r="AA69">
        <v>387211043</v>
      </c>
      <c r="AB69" s="1" t="s">
        <v>1255</v>
      </c>
      <c r="AC69" s="1" t="s">
        <v>1259</v>
      </c>
      <c r="AD69" s="1" t="s">
        <v>1347</v>
      </c>
      <c r="AE69" s="1" t="s">
        <v>1348</v>
      </c>
      <c r="AF69">
        <v>387211045</v>
      </c>
      <c r="AG69" s="1" t="s">
        <v>1297</v>
      </c>
      <c r="AH69" s="1" t="s">
        <v>1347</v>
      </c>
      <c r="AI69" s="1" t="s">
        <v>1349</v>
      </c>
      <c r="AJ69" s="1" t="s">
        <v>908</v>
      </c>
      <c r="AK69">
        <v>387211044</v>
      </c>
      <c r="AL69" s="1" t="s">
        <v>1411</v>
      </c>
      <c r="AM69" s="1" t="s">
        <v>1417</v>
      </c>
      <c r="AN69" s="1" t="s">
        <v>1350</v>
      </c>
      <c r="AO69" s="1" t="s">
        <v>1351</v>
      </c>
      <c r="AP69">
        <v>687128481</v>
      </c>
      <c r="AQ69" s="1" t="s">
        <v>1320</v>
      </c>
      <c r="AR69" s="1" t="s">
        <v>1265</v>
      </c>
      <c r="AS69" s="1" t="s">
        <v>1352</v>
      </c>
      <c r="AT69" s="1" t="s">
        <v>1353</v>
      </c>
      <c r="AU69">
        <v>387211040</v>
      </c>
      <c r="AV69" s="1" t="s">
        <v>1320</v>
      </c>
      <c r="AW69" s="1" t="s">
        <v>1443</v>
      </c>
      <c r="AX69" s="1" t="s">
        <v>1241</v>
      </c>
      <c r="AY69">
        <v>646374589</v>
      </c>
      <c r="AZ69" s="1" t="s">
        <v>1242</v>
      </c>
      <c r="BB69" s="1" t="s">
        <v>1354</v>
      </c>
      <c r="BC69" s="1" t="s">
        <v>1355</v>
      </c>
      <c r="BD69">
        <v>57</v>
      </c>
      <c r="BE69">
        <v>387211040</v>
      </c>
      <c r="BF69">
        <v>49.110107421875</v>
      </c>
      <c r="BG69">
        <v>6.2438507080078098</v>
      </c>
      <c r="BH69">
        <v>451647903</v>
      </c>
      <c r="BI69">
        <v>587</v>
      </c>
      <c r="BJ69" s="2">
        <v>36061</v>
      </c>
      <c r="BK69" s="1" t="s">
        <v>3299</v>
      </c>
      <c r="BL69" s="1" t="s">
        <v>290</v>
      </c>
      <c r="BM69" s="1" t="s">
        <v>291</v>
      </c>
      <c r="BN69" s="1" t="s">
        <v>292</v>
      </c>
      <c r="BO69" s="1" t="s">
        <v>291</v>
      </c>
      <c r="BP69" s="1" t="s">
        <v>293</v>
      </c>
      <c r="BQ69" s="1" t="s">
        <v>1247</v>
      </c>
      <c r="BR69">
        <v>75</v>
      </c>
      <c r="BS69">
        <v>28596455.66</v>
      </c>
      <c r="BT69" s="1" t="s">
        <v>295</v>
      </c>
      <c r="BU69" s="1" t="s">
        <v>401</v>
      </c>
      <c r="BV69">
        <v>417776</v>
      </c>
      <c r="BW69">
        <v>1.2770305541541441E-2</v>
      </c>
      <c r="BX69">
        <v>61.142810048130798</v>
      </c>
      <c r="BY69">
        <v>3.8095206698753863</v>
      </c>
      <c r="BZ69">
        <v>13.359933847607742</v>
      </c>
      <c r="CA69">
        <v>78.31226456561393</v>
      </c>
      <c r="CB69" s="1" t="s">
        <v>297</v>
      </c>
      <c r="CC69">
        <v>1</v>
      </c>
      <c r="CD69" s="1" t="s">
        <v>298</v>
      </c>
      <c r="CE69" s="1" t="s">
        <v>299</v>
      </c>
      <c r="CF69">
        <v>1101</v>
      </c>
      <c r="CG69" s="1" t="s">
        <v>300</v>
      </c>
      <c r="CH69" s="1" t="s">
        <v>972</v>
      </c>
      <c r="CI69" s="1" t="s">
        <v>973</v>
      </c>
      <c r="CJ69" s="1" t="s">
        <v>972</v>
      </c>
      <c r="CK69" s="1" t="s">
        <v>302</v>
      </c>
      <c r="CL69" s="1" t="s">
        <v>974</v>
      </c>
      <c r="CM69">
        <v>3020409000020</v>
      </c>
      <c r="CO69" s="1"/>
      <c r="CP69" s="1" t="s">
        <v>366</v>
      </c>
      <c r="CQ69" s="1" t="s">
        <v>305</v>
      </c>
      <c r="CR69" s="1" t="s">
        <v>306</v>
      </c>
      <c r="CS69">
        <v>9900</v>
      </c>
      <c r="CT69">
        <v>4950</v>
      </c>
      <c r="CU69" t="s">
        <v>693</v>
      </c>
      <c r="CV69" s="1" t="s">
        <v>478</v>
      </c>
      <c r="CW69" s="1" t="s">
        <v>308</v>
      </c>
      <c r="CY69">
        <v>4795</v>
      </c>
      <c r="CZ69" t="s">
        <v>873</v>
      </c>
      <c r="DA69" s="1" t="s">
        <v>874</v>
      </c>
      <c r="DB69">
        <v>4950</v>
      </c>
      <c r="DC69">
        <v>4950</v>
      </c>
      <c r="DD69">
        <v>0</v>
      </c>
      <c r="DE69">
        <v>0</v>
      </c>
      <c r="DF69">
        <v>1609</v>
      </c>
      <c r="DG69">
        <v>3341</v>
      </c>
      <c r="DH69">
        <v>0</v>
      </c>
      <c r="DI69">
        <v>0</v>
      </c>
      <c r="DJ69">
        <v>0</v>
      </c>
      <c r="DK69" s="1" t="s">
        <v>310</v>
      </c>
      <c r="DL69" s="1" t="s">
        <v>311</v>
      </c>
      <c r="DN69" s="1"/>
      <c r="DO69">
        <v>800</v>
      </c>
      <c r="DP69">
        <v>800</v>
      </c>
      <c r="DQ69">
        <v>0</v>
      </c>
      <c r="DR69" s="1"/>
      <c r="DS69">
        <v>1636</v>
      </c>
      <c r="DT69">
        <v>154</v>
      </c>
      <c r="DU69">
        <v>268</v>
      </c>
      <c r="DV69">
        <v>463</v>
      </c>
      <c r="DW69" s="1" t="s">
        <v>558</v>
      </c>
      <c r="DX69">
        <v>17</v>
      </c>
      <c r="DZ69">
        <v>2</v>
      </c>
      <c r="EA69">
        <v>2</v>
      </c>
      <c r="EB69">
        <v>10</v>
      </c>
      <c r="EC69">
        <v>3</v>
      </c>
      <c r="ED69">
        <v>0</v>
      </c>
      <c r="EE69">
        <v>0</v>
      </c>
      <c r="EF69">
        <v>15</v>
      </c>
      <c r="EG69">
        <v>2010</v>
      </c>
      <c r="EI69" s="1"/>
      <c r="EJ69" s="1" t="s">
        <v>313</v>
      </c>
      <c r="EK69" s="1" t="s">
        <v>314</v>
      </c>
      <c r="EL69">
        <v>27</v>
      </c>
      <c r="EM69">
        <v>24</v>
      </c>
      <c r="EN69">
        <v>13</v>
      </c>
      <c r="EO69" s="1" t="s">
        <v>315</v>
      </c>
      <c r="EP69">
        <v>26</v>
      </c>
      <c r="EQ69">
        <v>87.678687843085385</v>
      </c>
      <c r="ER69" s="1" t="s">
        <v>411</v>
      </c>
      <c r="ES69">
        <v>3.9682164756568818</v>
      </c>
      <c r="ET69">
        <v>0</v>
      </c>
      <c r="EU69" s="1"/>
      <c r="EV69">
        <v>77.569183964626177</v>
      </c>
      <c r="EW69">
        <v>0</v>
      </c>
      <c r="EX69" t="s">
        <v>316</v>
      </c>
      <c r="EY69">
        <v>0</v>
      </c>
      <c r="EZ69" s="1" t="s">
        <v>412</v>
      </c>
      <c r="FA69" s="2">
        <v>44197</v>
      </c>
      <c r="FB69" s="1" t="s">
        <v>413</v>
      </c>
      <c r="FC69">
        <v>1</v>
      </c>
      <c r="FD69" s="1"/>
      <c r="FE69" s="2"/>
      <c r="FF69" s="1"/>
      <c r="FG69" s="1" t="s">
        <v>319</v>
      </c>
      <c r="FH69" s="1" t="s">
        <v>319</v>
      </c>
      <c r="FI69" s="1" t="s">
        <v>319</v>
      </c>
      <c r="FJ69" s="1" t="s">
        <v>322</v>
      </c>
      <c r="FK69" s="1" t="s">
        <v>320</v>
      </c>
      <c r="FL69">
        <v>18.920000000000002</v>
      </c>
      <c r="FM69">
        <v>4164.9630836047763</v>
      </c>
      <c r="FN69" s="1" t="s">
        <v>321</v>
      </c>
      <c r="FO69" s="1" t="s">
        <v>322</v>
      </c>
      <c r="FP69" s="1" t="s">
        <v>323</v>
      </c>
      <c r="FQ69" s="1" t="s">
        <v>324</v>
      </c>
      <c r="FR69" s="1" t="s">
        <v>325</v>
      </c>
      <c r="FS69" s="1"/>
      <c r="FT69" s="1" t="s">
        <v>326</v>
      </c>
      <c r="FU69">
        <v>494198191</v>
      </c>
      <c r="FV69" s="1" t="s">
        <v>322</v>
      </c>
      <c r="FW69" s="1" t="s">
        <v>319</v>
      </c>
      <c r="FX69" s="1" t="s">
        <v>322</v>
      </c>
      <c r="FY69" s="1" t="s">
        <v>322</v>
      </c>
      <c r="FZ69" s="1" t="s">
        <v>322</v>
      </c>
      <c r="GA69" s="1" t="s">
        <v>322</v>
      </c>
      <c r="GB69" s="1" t="s">
        <v>322</v>
      </c>
      <c r="GC69" s="1" t="s">
        <v>322</v>
      </c>
      <c r="GD69" s="1" t="s">
        <v>322</v>
      </c>
      <c r="GE69" s="1" t="s">
        <v>319</v>
      </c>
      <c r="GF69" s="1" t="s">
        <v>327</v>
      </c>
      <c r="GG69" s="1"/>
      <c r="GH69" s="1" t="s">
        <v>322</v>
      </c>
      <c r="GI69" s="1" t="s">
        <v>1357</v>
      </c>
      <c r="GJ69" s="1" t="s">
        <v>322</v>
      </c>
      <c r="GK69" s="2">
        <v>42005</v>
      </c>
      <c r="GL69" s="1" t="s">
        <v>322</v>
      </c>
      <c r="GM69" s="1" t="s">
        <v>322</v>
      </c>
      <c r="GN69">
        <v>39561</v>
      </c>
      <c r="GO69" s="1" t="s">
        <v>319</v>
      </c>
      <c r="GQ69" s="1"/>
      <c r="GR69" s="1"/>
      <c r="GS69" s="1"/>
      <c r="GT69" s="1" t="s">
        <v>322</v>
      </c>
      <c r="GU69" s="1" t="s">
        <v>1292</v>
      </c>
      <c r="GV69" s="1" t="s">
        <v>322</v>
      </c>
      <c r="GW69" s="1" t="s">
        <v>322</v>
      </c>
      <c r="GX69" s="1" t="s">
        <v>322</v>
      </c>
      <c r="GY69" s="1" t="s">
        <v>319</v>
      </c>
      <c r="GZ69" s="1" t="s">
        <v>319</v>
      </c>
      <c r="HA69" s="2">
        <v>44068</v>
      </c>
      <c r="HB69" s="2">
        <v>42625</v>
      </c>
      <c r="HC69" s="1"/>
      <c r="HD69" s="1"/>
      <c r="HE69" s="1"/>
      <c r="HF69" s="1"/>
      <c r="HG69" s="1"/>
      <c r="HH69" s="1"/>
      <c r="HI69" s="1" t="s">
        <v>319</v>
      </c>
      <c r="HJ69" s="1" t="s">
        <v>794</v>
      </c>
      <c r="HK69" s="2">
        <v>43101</v>
      </c>
      <c r="HL69" s="1"/>
      <c r="HM69" s="1" t="s">
        <v>322</v>
      </c>
      <c r="HN69" s="1" t="s">
        <v>322</v>
      </c>
      <c r="HO69" s="1"/>
      <c r="HP69" s="1"/>
      <c r="HQ69" s="1"/>
      <c r="HR69" s="1"/>
      <c r="HS69" s="1"/>
      <c r="HT69" s="1"/>
      <c r="HU69" s="1" t="s">
        <v>331</v>
      </c>
      <c r="HV69">
        <v>4621978011</v>
      </c>
      <c r="HW69">
        <v>40638356</v>
      </c>
      <c r="HX69">
        <v>99102566583</v>
      </c>
      <c r="HY69" s="1" t="s">
        <v>1358</v>
      </c>
      <c r="HZ69">
        <v>4319021</v>
      </c>
      <c r="IA69">
        <v>4321542</v>
      </c>
      <c r="IB69" s="1" t="s">
        <v>1359</v>
      </c>
      <c r="IC69">
        <v>830136</v>
      </c>
      <c r="ID69" s="1" t="s">
        <v>1360</v>
      </c>
      <c r="IE69">
        <v>3.54</v>
      </c>
      <c r="IF69">
        <v>3.51</v>
      </c>
      <c r="IG69">
        <v>4.1399999999999997</v>
      </c>
      <c r="IH69">
        <v>4.6500000000000004</v>
      </c>
      <c r="II69">
        <v>4.16</v>
      </c>
      <c r="IJ69">
        <v>2.5023076923076921</v>
      </c>
      <c r="IK69">
        <v>2.4900000000000002</v>
      </c>
    </row>
    <row r="70" spans="1:245" x14ac:dyDescent="0.3">
      <c r="A70">
        <v>1932</v>
      </c>
      <c r="B70">
        <v>2433</v>
      </c>
      <c r="C70" s="1" t="s">
        <v>1029</v>
      </c>
      <c r="D70" s="1" t="s">
        <v>700</v>
      </c>
      <c r="E70" t="s">
        <v>3275</v>
      </c>
      <c r="F70" s="1" t="s">
        <v>927</v>
      </c>
      <c r="G70" s="1" t="s">
        <v>928</v>
      </c>
      <c r="H70">
        <v>603611633</v>
      </c>
      <c r="I70" s="1" t="s">
        <v>1030</v>
      </c>
      <c r="J70" s="1" t="s">
        <v>1031</v>
      </c>
      <c r="K70">
        <v>629482720</v>
      </c>
      <c r="L70">
        <v>43630</v>
      </c>
      <c r="M70" s="1" t="s">
        <v>1032</v>
      </c>
      <c r="N70" s="1" t="s">
        <v>1033</v>
      </c>
      <c r="O70">
        <v>238898660</v>
      </c>
      <c r="P70" s="1"/>
      <c r="Q70" s="1" t="s">
        <v>929</v>
      </c>
      <c r="R70" s="1" t="s">
        <v>931</v>
      </c>
      <c r="S70" s="1" t="s">
        <v>1034</v>
      </c>
      <c r="T70" s="1" t="s">
        <v>1035</v>
      </c>
      <c r="U70">
        <v>238898668</v>
      </c>
      <c r="V70" s="1" t="s">
        <v>276</v>
      </c>
      <c r="W70" s="1" t="s">
        <v>1180</v>
      </c>
      <c r="X70" s="1" t="s">
        <v>1007</v>
      </c>
      <c r="Y70" s="1" t="s">
        <v>1036</v>
      </c>
      <c r="Z70" s="1" t="s">
        <v>1037</v>
      </c>
      <c r="AA70">
        <v>238898660</v>
      </c>
      <c r="AB70" s="1" t="s">
        <v>1104</v>
      </c>
      <c r="AC70" s="1" t="s">
        <v>1058</v>
      </c>
      <c r="AD70" s="1" t="s">
        <v>1038</v>
      </c>
      <c r="AE70" s="1" t="s">
        <v>1039</v>
      </c>
      <c r="AG70" s="1" t="s">
        <v>956</v>
      </c>
      <c r="AH70" s="1" t="s">
        <v>937</v>
      </c>
      <c r="AI70" s="1" t="s">
        <v>1040</v>
      </c>
      <c r="AJ70" s="1" t="s">
        <v>1041</v>
      </c>
      <c r="AK70">
        <v>238898665</v>
      </c>
      <c r="AL70" s="1" t="s">
        <v>1003</v>
      </c>
      <c r="AM70" s="1" t="s">
        <v>1190</v>
      </c>
      <c r="AN70" s="1" t="s">
        <v>1042</v>
      </c>
      <c r="AO70" s="1" t="s">
        <v>1043</v>
      </c>
      <c r="AP70">
        <v>238898662</v>
      </c>
      <c r="AQ70" s="1" t="s">
        <v>992</v>
      </c>
      <c r="AR70" s="1" t="s">
        <v>1087</v>
      </c>
      <c r="AS70" s="1" t="s">
        <v>1042</v>
      </c>
      <c r="AT70" s="1" t="s">
        <v>1043</v>
      </c>
      <c r="AU70">
        <v>238898662</v>
      </c>
      <c r="AV70" s="1" t="s">
        <v>1204</v>
      </c>
      <c r="AW70" s="1" t="s">
        <v>1216</v>
      </c>
      <c r="AX70" s="1" t="s">
        <v>945</v>
      </c>
      <c r="AY70">
        <v>770016945</v>
      </c>
      <c r="AZ70" s="1" t="s">
        <v>946</v>
      </c>
      <c r="BA70">
        <v>629385385</v>
      </c>
      <c r="BB70" s="1" t="s">
        <v>1044</v>
      </c>
      <c r="BC70" s="1" t="s">
        <v>1045</v>
      </c>
      <c r="BD70">
        <v>45</v>
      </c>
      <c r="BE70">
        <v>238898660</v>
      </c>
      <c r="BF70">
        <v>47.973950000000002</v>
      </c>
      <c r="BG70">
        <v>2.7157439999999999</v>
      </c>
      <c r="BH70">
        <v>451647903</v>
      </c>
      <c r="BI70">
        <v>1247</v>
      </c>
      <c r="BJ70" s="2">
        <v>41446</v>
      </c>
      <c r="BK70" s="1" t="s">
        <v>3294</v>
      </c>
      <c r="BL70" s="1" t="s">
        <v>290</v>
      </c>
      <c r="BM70" s="1" t="s">
        <v>291</v>
      </c>
      <c r="BN70" s="1" t="s">
        <v>292</v>
      </c>
      <c r="BO70" s="1" t="s">
        <v>291</v>
      </c>
      <c r="BP70" s="1" t="s">
        <v>293</v>
      </c>
      <c r="BQ70" s="1" t="s">
        <v>294</v>
      </c>
      <c r="BR70">
        <v>72.5</v>
      </c>
      <c r="BS70">
        <v>24182600.989999998</v>
      </c>
      <c r="BT70" s="1" t="s">
        <v>295</v>
      </c>
      <c r="BU70" s="1" t="s">
        <v>359</v>
      </c>
      <c r="BV70">
        <v>336524</v>
      </c>
      <c r="BW70">
        <v>1.9326124876699116E-2</v>
      </c>
      <c r="BX70">
        <v>59.342717742467201</v>
      </c>
      <c r="BY70">
        <v>11.573795081426789</v>
      </c>
      <c r="BZ70">
        <v>2.9946429748796728</v>
      </c>
      <c r="CA70">
        <v>73.911155798773663</v>
      </c>
      <c r="CB70" s="1" t="s">
        <v>360</v>
      </c>
      <c r="CC70">
        <v>1</v>
      </c>
      <c r="CD70" s="1" t="s">
        <v>298</v>
      </c>
      <c r="CE70" s="1" t="s">
        <v>504</v>
      </c>
      <c r="CF70">
        <v>1101</v>
      </c>
      <c r="CG70" s="1" t="s">
        <v>300</v>
      </c>
      <c r="CH70" s="1" t="s">
        <v>301</v>
      </c>
      <c r="CI70" s="1" t="s">
        <v>302</v>
      </c>
      <c r="CJ70" s="1" t="s">
        <v>301</v>
      </c>
      <c r="CK70" s="1" t="s">
        <v>302</v>
      </c>
      <c r="CL70" s="1" t="s">
        <v>303</v>
      </c>
      <c r="CM70">
        <v>3601651117009</v>
      </c>
      <c r="CO70" s="1"/>
      <c r="CP70" s="1" t="s">
        <v>1046</v>
      </c>
      <c r="CQ70" s="1" t="s">
        <v>406</v>
      </c>
      <c r="CR70" s="1" t="s">
        <v>306</v>
      </c>
      <c r="CS70">
        <v>5885</v>
      </c>
      <c r="CT70">
        <v>2945</v>
      </c>
      <c r="CU70">
        <v>3000</v>
      </c>
      <c r="CV70" s="1" t="s">
        <v>309</v>
      </c>
      <c r="CW70" s="1" t="s">
        <v>308</v>
      </c>
      <c r="CY70">
        <v>2960</v>
      </c>
      <c r="CZ70">
        <v>3000</v>
      </c>
      <c r="DA70" s="1" t="s">
        <v>309</v>
      </c>
      <c r="DB70">
        <v>2940</v>
      </c>
      <c r="DC70">
        <v>2940</v>
      </c>
      <c r="DD70">
        <v>0</v>
      </c>
      <c r="DE70">
        <v>0</v>
      </c>
      <c r="DF70">
        <v>1200</v>
      </c>
      <c r="DG70">
        <v>1740</v>
      </c>
      <c r="DH70">
        <v>0</v>
      </c>
      <c r="DI70">
        <v>0</v>
      </c>
      <c r="DJ70">
        <v>0</v>
      </c>
      <c r="DK70" s="1" t="s">
        <v>369</v>
      </c>
      <c r="DL70" s="1" t="s">
        <v>445</v>
      </c>
      <c r="DN70" s="1"/>
      <c r="DO70">
        <v>800</v>
      </c>
      <c r="DP70">
        <v>0</v>
      </c>
      <c r="DQ70">
        <v>800</v>
      </c>
      <c r="DR70" s="1"/>
      <c r="DS70">
        <v>400</v>
      </c>
      <c r="DT70">
        <v>90</v>
      </c>
      <c r="DU70">
        <v>315</v>
      </c>
      <c r="DV70">
        <v>243</v>
      </c>
      <c r="DW70" s="1" t="s">
        <v>371</v>
      </c>
      <c r="DX70">
        <v>17</v>
      </c>
      <c r="DY70">
        <v>2018</v>
      </c>
      <c r="DZ70">
        <v>2</v>
      </c>
      <c r="EA70">
        <v>2</v>
      </c>
      <c r="EB70">
        <v>8</v>
      </c>
      <c r="EC70">
        <v>2</v>
      </c>
      <c r="ED70">
        <v>0</v>
      </c>
      <c r="EE70">
        <v>1</v>
      </c>
      <c r="EF70">
        <v>13</v>
      </c>
      <c r="EG70">
        <v>2013</v>
      </c>
      <c r="EI70" s="1"/>
      <c r="EJ70" s="1" t="s">
        <v>313</v>
      </c>
      <c r="EK70" s="1" t="s">
        <v>314</v>
      </c>
      <c r="EL70">
        <v>28</v>
      </c>
      <c r="EM70">
        <v>20</v>
      </c>
      <c r="EN70">
        <v>12</v>
      </c>
      <c r="EO70" s="1" t="s">
        <v>315</v>
      </c>
      <c r="EP70">
        <v>20</v>
      </c>
      <c r="EQ70">
        <v>67.398551609649303</v>
      </c>
      <c r="ER70" s="1" t="s">
        <v>411</v>
      </c>
      <c r="ES70">
        <v>5.880410543123765</v>
      </c>
      <c r="ET70">
        <v>0</v>
      </c>
      <c r="EU70" s="1"/>
      <c r="EV70">
        <v>96.197485295204146</v>
      </c>
      <c r="EW70">
        <v>1</v>
      </c>
      <c r="EX70" t="s">
        <v>316</v>
      </c>
      <c r="EY70">
        <v>1</v>
      </c>
      <c r="EZ70" s="1" t="s">
        <v>317</v>
      </c>
      <c r="FA70" s="2"/>
      <c r="FB70" s="1" t="s">
        <v>318</v>
      </c>
      <c r="FC70">
        <v>1</v>
      </c>
      <c r="FD70" s="1"/>
      <c r="FE70" s="2"/>
      <c r="FF70" s="1"/>
      <c r="FG70" s="1" t="s">
        <v>322</v>
      </c>
      <c r="FH70" s="1" t="s">
        <v>319</v>
      </c>
      <c r="FI70" s="1" t="s">
        <v>319</v>
      </c>
      <c r="FJ70" s="1" t="s">
        <v>319</v>
      </c>
      <c r="FK70" s="1" t="s">
        <v>320</v>
      </c>
      <c r="FL70">
        <v>18.920000000000002</v>
      </c>
      <c r="FM70">
        <v>3992.1511038726012</v>
      </c>
      <c r="FN70" s="1" t="s">
        <v>321</v>
      </c>
      <c r="FO70" s="1" t="s">
        <v>319</v>
      </c>
      <c r="FP70" s="1" t="s">
        <v>323</v>
      </c>
      <c r="FQ70" s="1" t="s">
        <v>324</v>
      </c>
      <c r="FR70" s="1" t="s">
        <v>325</v>
      </c>
      <c r="FS70" s="1" t="s">
        <v>918</v>
      </c>
      <c r="FT70" s="1" t="s">
        <v>666</v>
      </c>
      <c r="FV70" s="1" t="s">
        <v>319</v>
      </c>
      <c r="FW70" s="1" t="s">
        <v>322</v>
      </c>
      <c r="FX70" s="1" t="s">
        <v>322</v>
      </c>
      <c r="FY70" s="1"/>
      <c r="FZ70" s="1" t="s">
        <v>319</v>
      </c>
      <c r="GA70" s="1" t="s">
        <v>322</v>
      </c>
      <c r="GB70" s="1" t="s">
        <v>322</v>
      </c>
      <c r="GC70" s="1"/>
      <c r="GD70" s="1" t="s">
        <v>322</v>
      </c>
      <c r="GE70" s="1" t="s">
        <v>322</v>
      </c>
      <c r="GF70" s="1" t="s">
        <v>415</v>
      </c>
      <c r="GG70" s="1"/>
      <c r="GH70" s="1" t="s">
        <v>322</v>
      </c>
      <c r="GI70" s="1"/>
      <c r="GJ70" s="1" t="s">
        <v>322</v>
      </c>
      <c r="GK70" s="2">
        <v>42005</v>
      </c>
      <c r="GL70" s="1" t="s">
        <v>322</v>
      </c>
      <c r="GM70" s="1" t="s">
        <v>322</v>
      </c>
      <c r="GN70">
        <v>42989</v>
      </c>
      <c r="GO70" s="1" t="s">
        <v>319</v>
      </c>
      <c r="GQ70" s="1"/>
      <c r="GR70" s="1"/>
      <c r="GS70" s="1"/>
      <c r="GT70" s="1" t="s">
        <v>322</v>
      </c>
      <c r="GU70" s="1" t="s">
        <v>1047</v>
      </c>
      <c r="GV70" s="1" t="s">
        <v>322</v>
      </c>
      <c r="GW70" s="1" t="s">
        <v>322</v>
      </c>
      <c r="GX70" s="1" t="s">
        <v>319</v>
      </c>
      <c r="GY70" s="1" t="s">
        <v>319</v>
      </c>
      <c r="GZ70" s="1" t="s">
        <v>319</v>
      </c>
      <c r="HA70" s="2">
        <v>44063</v>
      </c>
      <c r="HB70" s="2">
        <v>42653</v>
      </c>
      <c r="HC70" s="1"/>
      <c r="HD70" s="1"/>
      <c r="HE70" s="1"/>
      <c r="HF70" s="1"/>
      <c r="HG70" s="1"/>
      <c r="HH70" s="1"/>
      <c r="HI70" s="1" t="s">
        <v>322</v>
      </c>
      <c r="HJ70" s="1" t="s">
        <v>330</v>
      </c>
      <c r="HK70" s="2"/>
      <c r="HL70" s="1"/>
      <c r="HM70" s="1" t="s">
        <v>322</v>
      </c>
      <c r="HN70" s="1" t="s">
        <v>322</v>
      </c>
      <c r="HO70" s="1" t="s">
        <v>322</v>
      </c>
      <c r="HP70" s="1"/>
      <c r="HQ70" s="1"/>
      <c r="HR70" s="1"/>
      <c r="HS70" s="1"/>
      <c r="HT70" s="1"/>
      <c r="HU70" s="1" t="s">
        <v>331</v>
      </c>
      <c r="HV70">
        <v>4635417016</v>
      </c>
      <c r="HW70">
        <v>40638190</v>
      </c>
      <c r="HX70">
        <v>99102565527</v>
      </c>
      <c r="HY70" s="1" t="s">
        <v>1048</v>
      </c>
      <c r="HZ70">
        <v>4320883</v>
      </c>
      <c r="IA70">
        <v>4321543</v>
      </c>
      <c r="IB70" s="1" t="s">
        <v>1049</v>
      </c>
      <c r="IC70">
        <v>830243</v>
      </c>
      <c r="ID70" s="1" t="s">
        <v>1050</v>
      </c>
      <c r="IE70">
        <v>3.1</v>
      </c>
      <c r="IF70">
        <v>4.0999999999999996</v>
      </c>
      <c r="IG70">
        <v>3.34</v>
      </c>
      <c r="IH70">
        <v>3.28</v>
      </c>
      <c r="II70">
        <v>4.2300000000000004</v>
      </c>
      <c r="IJ70">
        <v>6.6607246376811595</v>
      </c>
      <c r="IK70">
        <v>6.68</v>
      </c>
    </row>
    <row r="71" spans="1:245" x14ac:dyDescent="0.3">
      <c r="A71">
        <v>1747</v>
      </c>
      <c r="B71">
        <v>2363</v>
      </c>
      <c r="C71" s="1" t="s">
        <v>536</v>
      </c>
      <c r="D71" s="1" t="s">
        <v>336</v>
      </c>
      <c r="E71" t="s">
        <v>3275</v>
      </c>
      <c r="F71" s="1" t="s">
        <v>337</v>
      </c>
      <c r="G71" s="1" t="s">
        <v>338</v>
      </c>
      <c r="H71">
        <v>614540304</v>
      </c>
      <c r="I71" s="1" t="s">
        <v>537</v>
      </c>
      <c r="J71" s="1" t="s">
        <v>538</v>
      </c>
      <c r="K71">
        <v>614540254</v>
      </c>
      <c r="L71">
        <v>43815</v>
      </c>
      <c r="M71" s="1" t="s">
        <v>539</v>
      </c>
      <c r="N71" s="1" t="s">
        <v>540</v>
      </c>
      <c r="O71">
        <v>563937222</v>
      </c>
      <c r="P71" s="1"/>
      <c r="Q71" s="1" t="s">
        <v>454</v>
      </c>
      <c r="R71" s="1" t="s">
        <v>567</v>
      </c>
      <c r="S71" s="1" t="s">
        <v>541</v>
      </c>
      <c r="T71" s="1" t="s">
        <v>542</v>
      </c>
      <c r="U71">
        <v>563937206</v>
      </c>
      <c r="V71" s="1" t="s">
        <v>276</v>
      </c>
      <c r="W71" s="1" t="s">
        <v>454</v>
      </c>
      <c r="X71" s="1" t="s">
        <v>494</v>
      </c>
      <c r="Y71" s="1" t="s">
        <v>543</v>
      </c>
      <c r="Z71" s="1" t="s">
        <v>544</v>
      </c>
      <c r="AA71">
        <v>563933000</v>
      </c>
      <c r="AB71" s="1" t="s">
        <v>615</v>
      </c>
      <c r="AC71" s="1" t="s">
        <v>571</v>
      </c>
      <c r="AD71" s="1" t="s">
        <v>545</v>
      </c>
      <c r="AE71" s="1" t="s">
        <v>546</v>
      </c>
      <c r="AF71">
        <v>467856705</v>
      </c>
      <c r="AG71" s="1" t="s">
        <v>490</v>
      </c>
      <c r="AH71" s="1"/>
      <c r="AI71" s="1" t="s">
        <v>547</v>
      </c>
      <c r="AJ71" s="1" t="s">
        <v>548</v>
      </c>
      <c r="AK71">
        <v>563810947</v>
      </c>
      <c r="AL71" s="1" t="s">
        <v>565</v>
      </c>
      <c r="AM71" s="1" t="s">
        <v>392</v>
      </c>
      <c r="AN71" s="1" t="s">
        <v>549</v>
      </c>
      <c r="AO71" s="1" t="s">
        <v>550</v>
      </c>
      <c r="AP71">
        <v>563937203</v>
      </c>
      <c r="AQ71" s="1" t="s">
        <v>590</v>
      </c>
      <c r="AR71" s="1"/>
      <c r="AS71" s="1" t="s">
        <v>551</v>
      </c>
      <c r="AT71" s="1" t="s">
        <v>552</v>
      </c>
      <c r="AU71">
        <v>563937225</v>
      </c>
      <c r="AV71" s="1" t="s">
        <v>383</v>
      </c>
      <c r="AW71" s="1"/>
      <c r="AX71" s="1" t="s">
        <v>355</v>
      </c>
      <c r="AY71">
        <v>623422350</v>
      </c>
      <c r="AZ71" s="1" t="s">
        <v>356</v>
      </c>
      <c r="BA71">
        <v>678408522</v>
      </c>
      <c r="BB71" s="1" t="s">
        <v>553</v>
      </c>
      <c r="BC71" s="1" t="s">
        <v>554</v>
      </c>
      <c r="BD71">
        <v>82</v>
      </c>
      <c r="BE71">
        <v>563933000</v>
      </c>
      <c r="BF71">
        <v>44.039306640625</v>
      </c>
      <c r="BG71">
        <v>1.3815383911132799</v>
      </c>
      <c r="BH71">
        <v>451647903</v>
      </c>
      <c r="BI71">
        <v>108</v>
      </c>
      <c r="BJ71" s="2">
        <v>36628</v>
      </c>
      <c r="BK71" s="1" t="s">
        <v>3316</v>
      </c>
      <c r="BL71" s="1" t="s">
        <v>290</v>
      </c>
      <c r="BM71" s="1" t="s">
        <v>291</v>
      </c>
      <c r="BN71" s="1" t="s">
        <v>292</v>
      </c>
      <c r="BO71" s="1" t="s">
        <v>291</v>
      </c>
      <c r="BP71" s="1" t="s">
        <v>293</v>
      </c>
      <c r="BQ71" s="1" t="s">
        <v>294</v>
      </c>
      <c r="BR71">
        <v>80</v>
      </c>
      <c r="BS71">
        <v>29264017.75</v>
      </c>
      <c r="BT71" s="1" t="s">
        <v>295</v>
      </c>
      <c r="BU71" s="1" t="s">
        <v>555</v>
      </c>
      <c r="BV71">
        <v>426327</v>
      </c>
      <c r="BW71">
        <v>1.5989655755359183E-2</v>
      </c>
      <c r="BX71">
        <v>79.528713654644903</v>
      </c>
      <c r="BY71">
        <v>3.9047493461682152</v>
      </c>
      <c r="BZ71">
        <v>6.9586553042790262</v>
      </c>
      <c r="CA71">
        <v>90.39211830509214</v>
      </c>
      <c r="CB71" s="1" t="s">
        <v>443</v>
      </c>
      <c r="CC71">
        <v>1</v>
      </c>
      <c r="CD71" s="1" t="s">
        <v>361</v>
      </c>
      <c r="CE71" s="1" t="s">
        <v>504</v>
      </c>
      <c r="CF71">
        <v>1106</v>
      </c>
      <c r="CG71" s="1" t="s">
        <v>362</v>
      </c>
      <c r="CH71" s="1" t="s">
        <v>363</v>
      </c>
      <c r="CI71" s="1" t="s">
        <v>364</v>
      </c>
      <c r="CJ71" s="1" t="s">
        <v>363</v>
      </c>
      <c r="CK71" s="1" t="s">
        <v>364</v>
      </c>
      <c r="CL71" s="1" t="s">
        <v>365</v>
      </c>
      <c r="CM71">
        <v>3601651110000</v>
      </c>
      <c r="CO71" s="1"/>
      <c r="CP71" s="1" t="s">
        <v>304</v>
      </c>
      <c r="CQ71" s="1" t="s">
        <v>556</v>
      </c>
      <c r="CR71" s="1" t="s">
        <v>505</v>
      </c>
      <c r="CS71">
        <v>6660</v>
      </c>
      <c r="CT71">
        <v>2990</v>
      </c>
      <c r="CU71">
        <v>3000</v>
      </c>
      <c r="CV71" s="1" t="s">
        <v>309</v>
      </c>
      <c r="CW71" s="1" t="s">
        <v>308</v>
      </c>
      <c r="CY71">
        <v>3140</v>
      </c>
      <c r="CZ71">
        <v>3000</v>
      </c>
      <c r="DA71" s="1" t="s">
        <v>309</v>
      </c>
      <c r="DB71">
        <v>3670</v>
      </c>
      <c r="DC71">
        <v>3670</v>
      </c>
      <c r="DD71">
        <v>50</v>
      </c>
      <c r="DE71">
        <v>0</v>
      </c>
      <c r="DF71">
        <v>0</v>
      </c>
      <c r="DG71">
        <v>3670</v>
      </c>
      <c r="DH71">
        <v>0</v>
      </c>
      <c r="DI71">
        <v>0</v>
      </c>
      <c r="DJ71">
        <v>0</v>
      </c>
      <c r="DK71" s="1" t="s">
        <v>557</v>
      </c>
      <c r="DL71" s="1" t="s">
        <v>445</v>
      </c>
      <c r="DM71">
        <v>100</v>
      </c>
      <c r="DN71" s="1"/>
      <c r="DO71">
        <v>1680</v>
      </c>
      <c r="DP71">
        <v>1680</v>
      </c>
      <c r="DQ71">
        <v>0</v>
      </c>
      <c r="DR71" s="1"/>
      <c r="DS71">
        <v>590</v>
      </c>
      <c r="DT71">
        <v>100</v>
      </c>
      <c r="DU71">
        <v>284</v>
      </c>
      <c r="DV71">
        <v>182</v>
      </c>
      <c r="DW71" s="1" t="s">
        <v>558</v>
      </c>
      <c r="DX71">
        <v>27</v>
      </c>
      <c r="DZ71">
        <v>2</v>
      </c>
      <c r="EA71">
        <v>2</v>
      </c>
      <c r="EB71">
        <v>10</v>
      </c>
      <c r="EC71">
        <v>2</v>
      </c>
      <c r="ED71">
        <v>0</v>
      </c>
      <c r="EE71">
        <v>0</v>
      </c>
      <c r="EF71">
        <v>14</v>
      </c>
      <c r="EG71">
        <v>2010</v>
      </c>
      <c r="EI71" s="1"/>
      <c r="EJ71" s="1" t="s">
        <v>313</v>
      </c>
      <c r="EK71" s="1" t="s">
        <v>314</v>
      </c>
      <c r="EL71">
        <v>46</v>
      </c>
      <c r="EM71">
        <v>46</v>
      </c>
      <c r="EN71">
        <v>18</v>
      </c>
      <c r="EO71" s="1" t="s">
        <v>315</v>
      </c>
      <c r="EP71">
        <v>34</v>
      </c>
      <c r="EQ71">
        <v>86.561535824477204</v>
      </c>
      <c r="ER71" s="1" t="s">
        <v>316</v>
      </c>
      <c r="ES71">
        <v>4.7137470003428179</v>
      </c>
      <c r="ET71">
        <v>0</v>
      </c>
      <c r="EU71" s="1"/>
      <c r="EV71">
        <v>161.55296537538567</v>
      </c>
      <c r="EW71">
        <v>0</v>
      </c>
      <c r="EX71" t="s">
        <v>316</v>
      </c>
      <c r="EY71">
        <v>0</v>
      </c>
      <c r="EZ71" s="1" t="s">
        <v>412</v>
      </c>
      <c r="FA71" s="2">
        <v>44197</v>
      </c>
      <c r="FB71" s="1" t="s">
        <v>507</v>
      </c>
      <c r="FC71">
        <v>1</v>
      </c>
      <c r="FD71" s="1"/>
      <c r="FE71" s="2">
        <v>42005</v>
      </c>
      <c r="FF71" s="1"/>
      <c r="FG71" s="1" t="s">
        <v>319</v>
      </c>
      <c r="FH71" s="1" t="s">
        <v>319</v>
      </c>
      <c r="FI71" s="1" t="s">
        <v>319</v>
      </c>
      <c r="FJ71" s="1" t="s">
        <v>319</v>
      </c>
      <c r="FK71" s="1" t="s">
        <v>373</v>
      </c>
      <c r="FL71">
        <v>18.59</v>
      </c>
      <c r="FM71">
        <v>8681.026519337016</v>
      </c>
      <c r="FN71" s="1" t="s">
        <v>321</v>
      </c>
      <c r="FO71" s="1" t="s">
        <v>319</v>
      </c>
      <c r="FP71" s="1" t="s">
        <v>323</v>
      </c>
      <c r="FQ71" s="1" t="s">
        <v>559</v>
      </c>
      <c r="FR71" s="1" t="s">
        <v>325</v>
      </c>
      <c r="FS71" s="1"/>
      <c r="FT71" s="1" t="s">
        <v>326</v>
      </c>
      <c r="FU71">
        <v>494198191</v>
      </c>
      <c r="FV71" s="1" t="s">
        <v>322</v>
      </c>
      <c r="FW71" s="1" t="s">
        <v>322</v>
      </c>
      <c r="FX71" s="1" t="s">
        <v>322</v>
      </c>
      <c r="FY71" s="1" t="s">
        <v>322</v>
      </c>
      <c r="FZ71" s="1" t="s">
        <v>322</v>
      </c>
      <c r="GA71" s="1" t="s">
        <v>322</v>
      </c>
      <c r="GB71" s="1" t="s">
        <v>322</v>
      </c>
      <c r="GC71" s="1" t="s">
        <v>322</v>
      </c>
      <c r="GD71" s="1" t="s">
        <v>319</v>
      </c>
      <c r="GE71" s="1" t="s">
        <v>319</v>
      </c>
      <c r="GF71" s="1" t="s">
        <v>327</v>
      </c>
      <c r="GG71" s="1"/>
      <c r="GH71" s="1" t="s">
        <v>322</v>
      </c>
      <c r="GI71" s="1" t="s">
        <v>416</v>
      </c>
      <c r="GJ71" s="1" t="s">
        <v>322</v>
      </c>
      <c r="GK71" s="2">
        <v>42005</v>
      </c>
      <c r="GL71" s="1" t="s">
        <v>322</v>
      </c>
      <c r="GM71" s="1" t="s">
        <v>322</v>
      </c>
      <c r="GN71">
        <v>43087</v>
      </c>
      <c r="GO71" s="1" t="s">
        <v>322</v>
      </c>
      <c r="GP71">
        <v>42064</v>
      </c>
      <c r="GQ71" s="1" t="s">
        <v>560</v>
      </c>
      <c r="GR71" s="1" t="s">
        <v>322</v>
      </c>
      <c r="GS71" s="1" t="s">
        <v>418</v>
      </c>
      <c r="GT71" s="1" t="s">
        <v>322</v>
      </c>
      <c r="GU71" s="1" t="s">
        <v>509</v>
      </c>
      <c r="GV71" s="1" t="s">
        <v>322</v>
      </c>
      <c r="GW71" s="1" t="s">
        <v>319</v>
      </c>
      <c r="GX71" s="1" t="s">
        <v>322</v>
      </c>
      <c r="GY71" s="1" t="s">
        <v>319</v>
      </c>
      <c r="GZ71" s="1" t="s">
        <v>319</v>
      </c>
      <c r="HA71" s="2">
        <v>44065</v>
      </c>
      <c r="HB71" s="2">
        <v>42674</v>
      </c>
      <c r="HC71" s="1"/>
      <c r="HD71" s="1"/>
      <c r="HE71" s="1"/>
      <c r="HF71" s="1"/>
      <c r="HG71" s="1"/>
      <c r="HH71" s="1"/>
      <c r="HI71" s="1" t="s">
        <v>322</v>
      </c>
      <c r="HJ71" s="1" t="s">
        <v>330</v>
      </c>
      <c r="HK71" s="2"/>
      <c r="HL71" s="1"/>
      <c r="HM71" s="1" t="s">
        <v>322</v>
      </c>
      <c r="HN71" s="1" t="s">
        <v>322</v>
      </c>
      <c r="HO71" s="1"/>
      <c r="HP71" s="1"/>
      <c r="HQ71" s="1"/>
      <c r="HR71" s="1"/>
      <c r="HS71" s="1"/>
      <c r="HT71" s="1"/>
      <c r="HU71" s="1" t="s">
        <v>331</v>
      </c>
      <c r="HV71">
        <v>4622017015</v>
      </c>
      <c r="HW71">
        <v>40638280</v>
      </c>
      <c r="HX71">
        <v>99102565670</v>
      </c>
      <c r="HY71" s="1" t="s">
        <v>561</v>
      </c>
      <c r="HZ71">
        <v>4304136</v>
      </c>
      <c r="IA71">
        <v>4321250</v>
      </c>
      <c r="IB71" s="1" t="s">
        <v>562</v>
      </c>
      <c r="IC71">
        <v>830162</v>
      </c>
      <c r="ID71" s="1" t="s">
        <v>563</v>
      </c>
      <c r="IE71">
        <v>2.08</v>
      </c>
      <c r="IF71">
        <v>1.87</v>
      </c>
      <c r="IG71">
        <v>1.81</v>
      </c>
      <c r="IH71">
        <v>1.49</v>
      </c>
      <c r="II71">
        <v>2.35</v>
      </c>
      <c r="IJ71">
        <v>4.17</v>
      </c>
      <c r="IK71">
        <v>4.17</v>
      </c>
    </row>
    <row r="72" spans="1:245" x14ac:dyDescent="0.3">
      <c r="A72">
        <v>1791</v>
      </c>
      <c r="B72">
        <v>2405</v>
      </c>
      <c r="C72" s="1" t="s">
        <v>1051</v>
      </c>
      <c r="D72" s="1" t="s">
        <v>926</v>
      </c>
      <c r="E72" t="s">
        <v>3275</v>
      </c>
      <c r="F72" s="1" t="s">
        <v>927</v>
      </c>
      <c r="G72" s="1" t="s">
        <v>928</v>
      </c>
      <c r="H72">
        <v>603611633</v>
      </c>
      <c r="I72" s="1" t="s">
        <v>1052</v>
      </c>
      <c r="J72" s="1" t="s">
        <v>1053</v>
      </c>
      <c r="K72">
        <v>785969265</v>
      </c>
      <c r="L72">
        <v>44592</v>
      </c>
      <c r="M72" s="1" t="s">
        <v>1054</v>
      </c>
      <c r="N72" s="1" t="s">
        <v>1055</v>
      </c>
      <c r="O72">
        <v>381717140</v>
      </c>
      <c r="P72" s="1" t="s">
        <v>273</v>
      </c>
      <c r="Q72" s="1" t="s">
        <v>929</v>
      </c>
      <c r="R72" s="1" t="s">
        <v>931</v>
      </c>
      <c r="S72" s="1" t="s">
        <v>1056</v>
      </c>
      <c r="T72" s="1" t="s">
        <v>1057</v>
      </c>
      <c r="U72">
        <v>381717140</v>
      </c>
      <c r="V72" s="1" t="s">
        <v>276</v>
      </c>
      <c r="W72" s="1" t="s">
        <v>1180</v>
      </c>
      <c r="X72" s="1" t="s">
        <v>1007</v>
      </c>
      <c r="Y72" s="1" t="s">
        <v>1058</v>
      </c>
      <c r="Z72" s="1" t="s">
        <v>1059</v>
      </c>
      <c r="AA72">
        <v>381717144</v>
      </c>
      <c r="AB72" s="1" t="s">
        <v>1104</v>
      </c>
      <c r="AC72" s="1" t="s">
        <v>1058</v>
      </c>
      <c r="AD72" s="1" t="s">
        <v>389</v>
      </c>
      <c r="AE72" s="1"/>
      <c r="AG72" s="1" t="s">
        <v>956</v>
      </c>
      <c r="AH72" s="1" t="s">
        <v>937</v>
      </c>
      <c r="AI72" s="1" t="s">
        <v>1060</v>
      </c>
      <c r="AJ72" s="1" t="s">
        <v>1061</v>
      </c>
      <c r="AK72">
        <v>381717146</v>
      </c>
      <c r="AL72" s="1" t="s">
        <v>1003</v>
      </c>
      <c r="AM72" s="1" t="s">
        <v>1190</v>
      </c>
      <c r="AN72" s="1" t="s">
        <v>1062</v>
      </c>
      <c r="AO72" s="1" t="s">
        <v>1063</v>
      </c>
      <c r="AP72">
        <v>381717142</v>
      </c>
      <c r="AQ72" s="1" t="s">
        <v>992</v>
      </c>
      <c r="AR72" s="1" t="s">
        <v>1087</v>
      </c>
      <c r="AS72" s="1" t="s">
        <v>1064</v>
      </c>
      <c r="AT72" s="1" t="s">
        <v>1065</v>
      </c>
      <c r="AU72">
        <v>381717147</v>
      </c>
      <c r="AV72" s="1" t="s">
        <v>1204</v>
      </c>
      <c r="AW72" s="1" t="s">
        <v>1216</v>
      </c>
      <c r="AX72" s="1" t="s">
        <v>945</v>
      </c>
      <c r="AY72">
        <v>770016945</v>
      </c>
      <c r="AZ72" s="1" t="s">
        <v>946</v>
      </c>
      <c r="BA72">
        <v>629385386</v>
      </c>
      <c r="BB72" s="1" t="s">
        <v>1066</v>
      </c>
      <c r="BC72" s="1" t="s">
        <v>1067</v>
      </c>
      <c r="BD72">
        <v>25</v>
      </c>
      <c r="BE72">
        <v>381717140</v>
      </c>
      <c r="BF72">
        <v>47.5013427734375</v>
      </c>
      <c r="BG72">
        <v>6.8155975341796804</v>
      </c>
      <c r="BH72">
        <v>451647903</v>
      </c>
      <c r="BI72">
        <v>926</v>
      </c>
      <c r="BJ72" s="2">
        <v>39239</v>
      </c>
      <c r="BK72" s="1" t="s">
        <v>1649</v>
      </c>
      <c r="BL72" s="1" t="s">
        <v>290</v>
      </c>
      <c r="BM72" s="1" t="s">
        <v>291</v>
      </c>
      <c r="BN72" s="1" t="s">
        <v>292</v>
      </c>
      <c r="BO72" s="1" t="s">
        <v>291</v>
      </c>
      <c r="BP72" s="1" t="s">
        <v>293</v>
      </c>
      <c r="BQ72" s="1" t="s">
        <v>294</v>
      </c>
      <c r="BR72">
        <v>80</v>
      </c>
      <c r="BS72">
        <v>25180625.649999999</v>
      </c>
      <c r="BT72" s="1" t="s">
        <v>295</v>
      </c>
      <c r="BU72" s="1" t="s">
        <v>296</v>
      </c>
      <c r="BV72">
        <v>430905</v>
      </c>
      <c r="BW72">
        <v>1.2500769060420379E-2</v>
      </c>
      <c r="BX72">
        <v>53.257137205775699</v>
      </c>
      <c r="BY72">
        <v>3.7547801147227537</v>
      </c>
      <c r="BZ72">
        <v>6.6561531614689784</v>
      </c>
      <c r="CA72">
        <v>63.668070481967433</v>
      </c>
      <c r="CB72" s="1" t="s">
        <v>443</v>
      </c>
      <c r="CC72">
        <v>1</v>
      </c>
      <c r="CD72" s="1" t="s">
        <v>402</v>
      </c>
      <c r="CE72" s="1" t="s">
        <v>504</v>
      </c>
      <c r="CF72">
        <v>1106</v>
      </c>
      <c r="CG72" s="1" t="s">
        <v>362</v>
      </c>
      <c r="CH72" s="1" t="s">
        <v>972</v>
      </c>
      <c r="CI72" s="1" t="s">
        <v>973</v>
      </c>
      <c r="CJ72" s="1" t="s">
        <v>972</v>
      </c>
      <c r="CK72" s="1" t="s">
        <v>302</v>
      </c>
      <c r="CL72" s="1" t="s">
        <v>974</v>
      </c>
      <c r="CM72">
        <v>3020409000020</v>
      </c>
      <c r="CO72" s="1"/>
      <c r="CP72" s="1" t="s">
        <v>304</v>
      </c>
      <c r="CQ72" s="1" t="s">
        <v>406</v>
      </c>
      <c r="CR72" s="1" t="s">
        <v>306</v>
      </c>
      <c r="CS72">
        <v>8427</v>
      </c>
      <c r="CT72">
        <v>4127</v>
      </c>
      <c r="CU72" t="s">
        <v>693</v>
      </c>
      <c r="CV72" s="1" t="s">
        <v>478</v>
      </c>
      <c r="CW72" s="1" t="s">
        <v>308</v>
      </c>
      <c r="CY72">
        <v>4300</v>
      </c>
      <c r="CZ72" t="s">
        <v>873</v>
      </c>
      <c r="DA72" s="1" t="s">
        <v>874</v>
      </c>
      <c r="DB72">
        <v>4300</v>
      </c>
      <c r="DC72">
        <v>4300</v>
      </c>
      <c r="DD72">
        <v>0</v>
      </c>
      <c r="DE72">
        <v>0</v>
      </c>
      <c r="DF72">
        <v>0</v>
      </c>
      <c r="DG72">
        <v>4300</v>
      </c>
      <c r="DH72">
        <v>0</v>
      </c>
      <c r="DI72">
        <v>0</v>
      </c>
      <c r="DJ72">
        <v>0</v>
      </c>
      <c r="DK72" s="1" t="s">
        <v>409</v>
      </c>
      <c r="DL72" s="1" t="s">
        <v>370</v>
      </c>
      <c r="DN72" s="1"/>
      <c r="DO72">
        <v>1050</v>
      </c>
      <c r="DP72">
        <v>0</v>
      </c>
      <c r="DQ72">
        <v>1050</v>
      </c>
      <c r="DR72" s="1"/>
      <c r="DS72">
        <v>1422</v>
      </c>
      <c r="DT72">
        <v>120</v>
      </c>
      <c r="DU72">
        <v>259</v>
      </c>
      <c r="DV72">
        <v>200</v>
      </c>
      <c r="DW72" s="1" t="s">
        <v>371</v>
      </c>
      <c r="DX72">
        <v>20</v>
      </c>
      <c r="DZ72">
        <v>2</v>
      </c>
      <c r="EA72">
        <v>2</v>
      </c>
      <c r="EB72">
        <v>10</v>
      </c>
      <c r="EC72">
        <v>2</v>
      </c>
      <c r="ED72">
        <v>0</v>
      </c>
      <c r="EE72">
        <v>1</v>
      </c>
      <c r="EF72">
        <v>15</v>
      </c>
      <c r="EG72">
        <v>2014</v>
      </c>
      <c r="EI72" s="1"/>
      <c r="EJ72" s="1" t="s">
        <v>313</v>
      </c>
      <c r="EK72" s="1" t="s">
        <v>314</v>
      </c>
      <c r="EL72">
        <v>28</v>
      </c>
      <c r="EM72">
        <v>27</v>
      </c>
      <c r="EN72">
        <v>12</v>
      </c>
      <c r="EO72" s="1" t="s">
        <v>315</v>
      </c>
      <c r="EP72">
        <v>23</v>
      </c>
      <c r="EQ72">
        <v>129.23080395856337</v>
      </c>
      <c r="ER72" s="1" t="s">
        <v>411</v>
      </c>
      <c r="ES72">
        <v>8.4648998226133223</v>
      </c>
      <c r="ET72">
        <v>0</v>
      </c>
      <c r="EU72" s="1"/>
      <c r="EV72">
        <v>167.41690760279681</v>
      </c>
      <c r="EW72">
        <v>0</v>
      </c>
      <c r="EX72" t="s">
        <v>316</v>
      </c>
      <c r="EY72">
        <v>0</v>
      </c>
      <c r="EZ72" s="1" t="s">
        <v>317</v>
      </c>
      <c r="FA72" s="2"/>
      <c r="FB72" s="1" t="s">
        <v>318</v>
      </c>
      <c r="FC72">
        <v>1</v>
      </c>
      <c r="FD72" s="1"/>
      <c r="FE72" s="2"/>
      <c r="FF72" s="1"/>
      <c r="FG72" s="1" t="s">
        <v>319</v>
      </c>
      <c r="FH72" s="1" t="s">
        <v>319</v>
      </c>
      <c r="FI72" s="1" t="s">
        <v>319</v>
      </c>
      <c r="FJ72" s="1" t="s">
        <v>319</v>
      </c>
      <c r="FK72" s="1" t="s">
        <v>320</v>
      </c>
      <c r="FL72">
        <v>18.920000000000002</v>
      </c>
      <c r="FM72">
        <v>4333.1626854867891</v>
      </c>
      <c r="FN72" s="1" t="s">
        <v>321</v>
      </c>
      <c r="FO72" s="1" t="s">
        <v>322</v>
      </c>
      <c r="FP72" s="1" t="s">
        <v>323</v>
      </c>
      <c r="FQ72" s="1" t="s">
        <v>324</v>
      </c>
      <c r="FR72" s="1" t="s">
        <v>325</v>
      </c>
      <c r="FS72" s="1"/>
      <c r="FT72" s="1" t="s">
        <v>1068</v>
      </c>
      <c r="FV72" s="1" t="s">
        <v>319</v>
      </c>
      <c r="FW72" s="1" t="s">
        <v>322</v>
      </c>
      <c r="FX72" s="1" t="s">
        <v>322</v>
      </c>
      <c r="FY72" s="1" t="s">
        <v>322</v>
      </c>
      <c r="FZ72" s="1" t="s">
        <v>322</v>
      </c>
      <c r="GA72" s="1" t="s">
        <v>319</v>
      </c>
      <c r="GB72" s="1" t="s">
        <v>319</v>
      </c>
      <c r="GC72" s="1" t="s">
        <v>322</v>
      </c>
      <c r="GD72" s="1" t="s">
        <v>322</v>
      </c>
      <c r="GE72" s="1" t="s">
        <v>319</v>
      </c>
      <c r="GF72" s="1" t="s">
        <v>415</v>
      </c>
      <c r="GG72" s="1"/>
      <c r="GH72" s="1" t="s">
        <v>319</v>
      </c>
      <c r="GI72" s="1" t="s">
        <v>416</v>
      </c>
      <c r="GJ72" s="1" t="s">
        <v>322</v>
      </c>
      <c r="GK72" s="2">
        <v>42005</v>
      </c>
      <c r="GL72" s="1" t="s">
        <v>322</v>
      </c>
      <c r="GM72" s="1" t="s">
        <v>322</v>
      </c>
      <c r="GN72">
        <v>43073</v>
      </c>
      <c r="GO72" s="1" t="s">
        <v>319</v>
      </c>
      <c r="GQ72" s="1"/>
      <c r="GR72" s="1"/>
      <c r="GS72" s="1"/>
      <c r="GT72" s="1" t="s">
        <v>322</v>
      </c>
      <c r="GU72" s="1" t="s">
        <v>1069</v>
      </c>
      <c r="GV72" s="1" t="s">
        <v>322</v>
      </c>
      <c r="GW72" s="1" t="s">
        <v>322</v>
      </c>
      <c r="GX72" s="1" t="s">
        <v>319</v>
      </c>
      <c r="GY72" s="1" t="s">
        <v>319</v>
      </c>
      <c r="GZ72" s="1" t="s">
        <v>319</v>
      </c>
      <c r="HA72" s="2">
        <v>44063</v>
      </c>
      <c r="HB72" s="2">
        <v>42653</v>
      </c>
      <c r="HC72" s="1"/>
      <c r="HD72" s="1"/>
      <c r="HE72" s="1"/>
      <c r="HF72" s="1"/>
      <c r="HG72" s="1"/>
      <c r="HH72" s="1"/>
      <c r="HI72" s="1" t="s">
        <v>322</v>
      </c>
      <c r="HJ72" s="1" t="s">
        <v>330</v>
      </c>
      <c r="HK72" s="2"/>
      <c r="HL72" s="1"/>
      <c r="HM72" s="1" t="s">
        <v>322</v>
      </c>
      <c r="HN72" s="1" t="s">
        <v>322</v>
      </c>
      <c r="HO72" s="1"/>
      <c r="HP72" s="1"/>
      <c r="HQ72" s="1"/>
      <c r="HR72" s="1"/>
      <c r="HS72" s="1"/>
      <c r="HT72" s="1"/>
      <c r="HU72" s="1" t="s">
        <v>331</v>
      </c>
      <c r="HV72">
        <v>4625377010</v>
      </c>
      <c r="HW72">
        <v>40638209</v>
      </c>
      <c r="HX72">
        <v>99102565541</v>
      </c>
      <c r="HY72" s="1" t="s">
        <v>1070</v>
      </c>
      <c r="HZ72">
        <v>4319349</v>
      </c>
      <c r="IA72">
        <v>4321791</v>
      </c>
      <c r="IB72" s="1" t="s">
        <v>1071</v>
      </c>
      <c r="IC72">
        <v>830107</v>
      </c>
      <c r="ID72" s="1" t="s">
        <v>1072</v>
      </c>
      <c r="IE72">
        <v>5.93</v>
      </c>
      <c r="IF72">
        <v>6.3</v>
      </c>
      <c r="IG72">
        <v>5.82</v>
      </c>
      <c r="IH72">
        <v>4.6500000000000004</v>
      </c>
      <c r="II72">
        <v>5.39</v>
      </c>
      <c r="IJ72">
        <v>4.04</v>
      </c>
      <c r="IK72">
        <v>4.04</v>
      </c>
    </row>
    <row r="73" spans="1:245" x14ac:dyDescent="0.3">
      <c r="A73">
        <v>1934</v>
      </c>
      <c r="B73">
        <v>2435</v>
      </c>
      <c r="C73" s="1" t="s">
        <v>2772</v>
      </c>
      <c r="D73" s="1" t="s">
        <v>926</v>
      </c>
      <c r="E73" t="s">
        <v>3275</v>
      </c>
      <c r="F73" s="1" t="s">
        <v>2504</v>
      </c>
      <c r="G73" s="1" t="s">
        <v>2505</v>
      </c>
      <c r="H73">
        <v>610925352</v>
      </c>
      <c r="I73" s="1" t="s">
        <v>2773</v>
      </c>
      <c r="J73" s="1" t="s">
        <v>2774</v>
      </c>
      <c r="L73">
        <v>43031</v>
      </c>
      <c r="M73" s="1" t="s">
        <v>2775</v>
      </c>
      <c r="N73" s="1" t="s">
        <v>2776</v>
      </c>
      <c r="O73">
        <v>385796049</v>
      </c>
      <c r="P73" s="1" t="s">
        <v>752</v>
      </c>
      <c r="Q73" s="1" t="s">
        <v>2658</v>
      </c>
      <c r="R73" s="1" t="s">
        <v>2729</v>
      </c>
      <c r="S73" s="1" t="s">
        <v>2775</v>
      </c>
      <c r="T73" s="1" t="s">
        <v>2776</v>
      </c>
      <c r="U73">
        <v>385796049</v>
      </c>
      <c r="V73" s="1" t="s">
        <v>754</v>
      </c>
      <c r="W73" s="1" t="s">
        <v>2840</v>
      </c>
      <c r="X73" s="1" t="s">
        <v>2796</v>
      </c>
      <c r="Y73" s="1" t="s">
        <v>2777</v>
      </c>
      <c r="Z73" s="1" t="s">
        <v>2778</v>
      </c>
      <c r="AA73">
        <v>385796044</v>
      </c>
      <c r="AB73" s="1" t="s">
        <v>2751</v>
      </c>
      <c r="AC73" s="1" t="s">
        <v>2707</v>
      </c>
      <c r="AD73" s="1" t="s">
        <v>2779</v>
      </c>
      <c r="AE73" s="1" t="s">
        <v>2780</v>
      </c>
      <c r="AF73">
        <v>637513702</v>
      </c>
      <c r="AG73" s="1" t="s">
        <v>2701</v>
      </c>
      <c r="AH73" s="1" t="s">
        <v>2736</v>
      </c>
      <c r="AI73" s="1" t="s">
        <v>2781</v>
      </c>
      <c r="AJ73" s="1" t="s">
        <v>2780</v>
      </c>
      <c r="AK73">
        <v>637513702</v>
      </c>
      <c r="AL73" s="1" t="s">
        <v>2804</v>
      </c>
      <c r="AM73" s="1" t="s">
        <v>2514</v>
      </c>
      <c r="AN73" s="1" t="s">
        <v>2782</v>
      </c>
      <c r="AO73" s="1" t="s">
        <v>2783</v>
      </c>
      <c r="AP73">
        <v>385796040</v>
      </c>
      <c r="AQ73" s="1" t="s">
        <v>2725</v>
      </c>
      <c r="AR73" s="1" t="s">
        <v>2829</v>
      </c>
      <c r="AS73" s="1" t="s">
        <v>2782</v>
      </c>
      <c r="AT73" s="1" t="s">
        <v>2783</v>
      </c>
      <c r="AU73">
        <v>385796040</v>
      </c>
      <c r="AV73" s="1" t="s">
        <v>2725</v>
      </c>
      <c r="AW73" s="1" t="s">
        <v>2741</v>
      </c>
      <c r="AX73" s="1" t="s">
        <v>2520</v>
      </c>
      <c r="AY73">
        <v>789331670</v>
      </c>
      <c r="AZ73" s="1" t="s">
        <v>2430</v>
      </c>
      <c r="BB73" s="1" t="s">
        <v>2784</v>
      </c>
      <c r="BC73" s="1" t="s">
        <v>2785</v>
      </c>
      <c r="BD73">
        <v>71</v>
      </c>
      <c r="BE73">
        <v>385796040</v>
      </c>
      <c r="BF73">
        <v>46.687939</v>
      </c>
      <c r="BG73">
        <v>4.3562789999999696</v>
      </c>
      <c r="BH73">
        <v>451647903</v>
      </c>
      <c r="BI73">
        <v>1254</v>
      </c>
      <c r="BJ73" s="2">
        <v>41565</v>
      </c>
      <c r="BK73" s="1" t="s">
        <v>3322</v>
      </c>
      <c r="BL73" s="1" t="s">
        <v>290</v>
      </c>
      <c r="BM73" s="1" t="s">
        <v>291</v>
      </c>
      <c r="BN73" s="1" t="s">
        <v>292</v>
      </c>
      <c r="BO73" s="1" t="s">
        <v>291</v>
      </c>
      <c r="BP73" s="1" t="s">
        <v>293</v>
      </c>
      <c r="BQ73" s="1" t="s">
        <v>294</v>
      </c>
      <c r="BR73">
        <v>80</v>
      </c>
      <c r="BS73">
        <v>17211335.170000002</v>
      </c>
      <c r="BT73" s="1" t="s">
        <v>295</v>
      </c>
      <c r="BU73" s="1" t="s">
        <v>663</v>
      </c>
      <c r="BV73">
        <v>247731</v>
      </c>
      <c r="BW73">
        <v>1.5721790268609408E-2</v>
      </c>
      <c r="BX73">
        <v>40.257005340542001</v>
      </c>
      <c r="BY73">
        <v>5.9642810048130821</v>
      </c>
      <c r="BZ73">
        <v>9.132327860926134</v>
      </c>
      <c r="CA73">
        <v>55.353614206281215</v>
      </c>
      <c r="CB73" s="1" t="s">
        <v>443</v>
      </c>
      <c r="CC73">
        <v>1</v>
      </c>
      <c r="CD73" s="1" t="s">
        <v>402</v>
      </c>
      <c r="CE73" s="1" t="s">
        <v>361</v>
      </c>
      <c r="CF73">
        <v>1106</v>
      </c>
      <c r="CG73" s="1" t="s">
        <v>362</v>
      </c>
      <c r="CH73" s="1" t="s">
        <v>972</v>
      </c>
      <c r="CI73" s="1" t="s">
        <v>973</v>
      </c>
      <c r="CJ73" s="1" t="s">
        <v>972</v>
      </c>
      <c r="CK73" s="1" t="s">
        <v>302</v>
      </c>
      <c r="CL73" s="1" t="s">
        <v>974</v>
      </c>
      <c r="CM73">
        <v>3020409000020</v>
      </c>
      <c r="CO73" s="1"/>
      <c r="CP73" s="1" t="s">
        <v>444</v>
      </c>
      <c r="CQ73" s="1" t="s">
        <v>406</v>
      </c>
      <c r="CR73" s="1" t="s">
        <v>505</v>
      </c>
      <c r="CS73">
        <v>6800</v>
      </c>
      <c r="CT73">
        <v>3800</v>
      </c>
      <c r="CU73">
        <v>3000</v>
      </c>
      <c r="CV73" s="1" t="s">
        <v>309</v>
      </c>
      <c r="CW73" s="1" t="s">
        <v>308</v>
      </c>
      <c r="CY73">
        <v>3000</v>
      </c>
      <c r="CZ73">
        <v>3000</v>
      </c>
      <c r="DA73" s="1" t="s">
        <v>309</v>
      </c>
      <c r="DB73">
        <v>3000</v>
      </c>
      <c r="DC73">
        <v>3000</v>
      </c>
      <c r="DD73">
        <v>0</v>
      </c>
      <c r="DE73">
        <v>0</v>
      </c>
      <c r="DF73">
        <v>0</v>
      </c>
      <c r="DG73">
        <v>3000</v>
      </c>
      <c r="DH73">
        <v>0</v>
      </c>
      <c r="DI73">
        <v>0</v>
      </c>
      <c r="DJ73">
        <v>0</v>
      </c>
      <c r="DK73" s="1" t="s">
        <v>310</v>
      </c>
      <c r="DL73" s="1" t="s">
        <v>2786</v>
      </c>
      <c r="DN73" s="1"/>
      <c r="DO73">
        <v>800</v>
      </c>
      <c r="DP73">
        <v>800</v>
      </c>
      <c r="DQ73">
        <v>0</v>
      </c>
      <c r="DR73" s="1"/>
      <c r="DS73">
        <v>400</v>
      </c>
      <c r="DT73">
        <v>85</v>
      </c>
      <c r="DU73">
        <v>276</v>
      </c>
      <c r="DV73">
        <v>262</v>
      </c>
      <c r="DW73" s="1" t="s">
        <v>371</v>
      </c>
      <c r="DX73">
        <v>17</v>
      </c>
      <c r="DY73">
        <v>2018</v>
      </c>
      <c r="DZ73">
        <v>2</v>
      </c>
      <c r="EA73">
        <v>2</v>
      </c>
      <c r="EB73">
        <v>8</v>
      </c>
      <c r="EC73">
        <v>2</v>
      </c>
      <c r="ED73">
        <v>0</v>
      </c>
      <c r="EE73">
        <v>1</v>
      </c>
      <c r="EF73">
        <v>13</v>
      </c>
      <c r="EG73">
        <v>2013</v>
      </c>
      <c r="EI73" s="1"/>
      <c r="EJ73" s="1" t="s">
        <v>313</v>
      </c>
      <c r="EK73" s="1" t="s">
        <v>314</v>
      </c>
      <c r="EL73">
        <v>28</v>
      </c>
      <c r="EM73">
        <v>25</v>
      </c>
      <c r="EN73">
        <v>12</v>
      </c>
      <c r="EO73" s="1" t="s">
        <v>1290</v>
      </c>
      <c r="EP73">
        <v>23</v>
      </c>
      <c r="EQ73">
        <v>76.614483300327009</v>
      </c>
      <c r="ER73" s="1" t="s">
        <v>316</v>
      </c>
      <c r="ES73">
        <v>2.8115406715716338</v>
      </c>
      <c r="ET73">
        <v>0</v>
      </c>
      <c r="EU73" s="1"/>
      <c r="EV73">
        <v>105.6084964759095</v>
      </c>
      <c r="EW73">
        <v>0</v>
      </c>
      <c r="EX73" t="s">
        <v>316</v>
      </c>
      <c r="EY73">
        <v>0</v>
      </c>
      <c r="EZ73" s="1" t="s">
        <v>317</v>
      </c>
      <c r="FA73" s="2"/>
      <c r="FB73" s="1" t="s">
        <v>318</v>
      </c>
      <c r="FC73">
        <v>1</v>
      </c>
      <c r="FD73" s="1"/>
      <c r="FE73" s="2"/>
      <c r="FF73" s="1"/>
      <c r="FG73" s="1" t="s">
        <v>322</v>
      </c>
      <c r="FH73" s="1" t="s">
        <v>319</v>
      </c>
      <c r="FI73" s="1" t="s">
        <v>319</v>
      </c>
      <c r="FJ73" s="1" t="s">
        <v>319</v>
      </c>
      <c r="FK73" s="1" t="s">
        <v>320</v>
      </c>
      <c r="FL73">
        <v>18.920000000000002</v>
      </c>
      <c r="FM73">
        <v>3964.908070937387</v>
      </c>
      <c r="FN73" s="1" t="s">
        <v>321</v>
      </c>
      <c r="FO73" s="1" t="s">
        <v>322</v>
      </c>
      <c r="FP73" s="1" t="s">
        <v>323</v>
      </c>
      <c r="FQ73" s="1" t="s">
        <v>324</v>
      </c>
      <c r="FR73" s="1" t="s">
        <v>325</v>
      </c>
      <c r="FS73" s="1"/>
      <c r="FT73" s="1" t="s">
        <v>666</v>
      </c>
      <c r="FV73" s="1" t="s">
        <v>319</v>
      </c>
      <c r="FW73" s="1" t="s">
        <v>322</v>
      </c>
      <c r="FX73" s="1" t="s">
        <v>322</v>
      </c>
      <c r="FY73" s="1"/>
      <c r="FZ73" s="1" t="s">
        <v>319</v>
      </c>
      <c r="GA73" s="1" t="s">
        <v>322</v>
      </c>
      <c r="GB73" s="1" t="s">
        <v>322</v>
      </c>
      <c r="GC73" s="1" t="s">
        <v>322</v>
      </c>
      <c r="GD73" s="1" t="s">
        <v>322</v>
      </c>
      <c r="GE73" s="1" t="s">
        <v>322</v>
      </c>
      <c r="GF73" s="1" t="s">
        <v>415</v>
      </c>
      <c r="GG73" s="1"/>
      <c r="GH73" s="1" t="s">
        <v>322</v>
      </c>
      <c r="GI73" s="1"/>
      <c r="GJ73" s="1" t="s">
        <v>322</v>
      </c>
      <c r="GK73" s="2">
        <v>42005</v>
      </c>
      <c r="GL73" s="1" t="s">
        <v>322</v>
      </c>
      <c r="GM73" s="1" t="s">
        <v>322</v>
      </c>
      <c r="GN73">
        <v>43066</v>
      </c>
      <c r="GO73" s="1" t="s">
        <v>319</v>
      </c>
      <c r="GQ73" s="1"/>
      <c r="GR73" s="1"/>
      <c r="GS73" s="1"/>
      <c r="GT73" s="1" t="s">
        <v>322</v>
      </c>
      <c r="GU73" s="1" t="s">
        <v>2787</v>
      </c>
      <c r="GV73" s="1" t="s">
        <v>322</v>
      </c>
      <c r="GW73" s="1" t="s">
        <v>322</v>
      </c>
      <c r="GX73" s="1" t="s">
        <v>319</v>
      </c>
      <c r="GY73" s="1" t="s">
        <v>319</v>
      </c>
      <c r="GZ73" s="1" t="s">
        <v>319</v>
      </c>
      <c r="HA73" s="2">
        <v>44075</v>
      </c>
      <c r="HB73" s="2">
        <v>42653</v>
      </c>
      <c r="HC73" s="1"/>
      <c r="HD73" s="1"/>
      <c r="HE73" s="1"/>
      <c r="HF73" s="1"/>
      <c r="HG73" s="1"/>
      <c r="HH73" s="1"/>
      <c r="HI73" s="1" t="s">
        <v>322</v>
      </c>
      <c r="HJ73" s="1" t="s">
        <v>330</v>
      </c>
      <c r="HK73" s="2"/>
      <c r="HL73" s="1"/>
      <c r="HM73" s="1" t="s">
        <v>322</v>
      </c>
      <c r="HN73" s="1" t="s">
        <v>322</v>
      </c>
      <c r="HO73" s="1"/>
      <c r="HP73" s="1"/>
      <c r="HQ73" s="1"/>
      <c r="HR73" s="1"/>
      <c r="HS73" s="1"/>
      <c r="HT73" s="1"/>
      <c r="HU73" s="1" t="s">
        <v>331</v>
      </c>
      <c r="HV73">
        <v>4635949013</v>
      </c>
      <c r="HW73">
        <v>40638215</v>
      </c>
      <c r="HX73">
        <v>99102565553</v>
      </c>
      <c r="HY73" s="1" t="s">
        <v>2788</v>
      </c>
      <c r="HZ73">
        <v>4320884</v>
      </c>
      <c r="IA73">
        <v>4321546</v>
      </c>
      <c r="IB73" s="1" t="s">
        <v>2789</v>
      </c>
      <c r="IC73">
        <v>830267</v>
      </c>
      <c r="ID73" s="1" t="s">
        <v>2790</v>
      </c>
      <c r="IE73">
        <v>3.1</v>
      </c>
      <c r="IF73">
        <v>2.2999999999999998</v>
      </c>
      <c r="IG73">
        <v>2.15</v>
      </c>
      <c r="IH73">
        <v>2.4700000000000002</v>
      </c>
      <c r="II73">
        <v>3.45</v>
      </c>
      <c r="IJ73">
        <v>4.1399999999999997</v>
      </c>
      <c r="IK73">
        <v>4.1399999999999997</v>
      </c>
    </row>
    <row r="74" spans="1:245" x14ac:dyDescent="0.3">
      <c r="A74">
        <v>1727</v>
      </c>
      <c r="B74">
        <v>2349</v>
      </c>
      <c r="C74" s="1" t="s">
        <v>2939</v>
      </c>
      <c r="D74" s="1" t="s">
        <v>1103</v>
      </c>
      <c r="E74" t="s">
        <v>3275</v>
      </c>
      <c r="F74" s="1" t="s">
        <v>2862</v>
      </c>
      <c r="G74" s="1" t="s">
        <v>2863</v>
      </c>
      <c r="H74">
        <v>610902271</v>
      </c>
      <c r="I74" s="1" t="s">
        <v>2940</v>
      </c>
      <c r="J74" s="1" t="s">
        <v>2941</v>
      </c>
      <c r="L74">
        <v>44599</v>
      </c>
      <c r="M74" s="1" t="s">
        <v>2942</v>
      </c>
      <c r="N74" s="1" t="s">
        <v>2943</v>
      </c>
      <c r="O74">
        <v>475631707</v>
      </c>
      <c r="P74" s="1" t="s">
        <v>273</v>
      </c>
      <c r="Q74" s="1" t="s">
        <v>2864</v>
      </c>
      <c r="R74" s="1" t="s">
        <v>2866</v>
      </c>
      <c r="S74" s="1" t="s">
        <v>2944</v>
      </c>
      <c r="T74" s="1" t="s">
        <v>2945</v>
      </c>
      <c r="U74">
        <v>475631705</v>
      </c>
      <c r="V74" s="1" t="s">
        <v>276</v>
      </c>
      <c r="W74" s="1" t="s">
        <v>1730</v>
      </c>
      <c r="X74" s="1" t="s">
        <v>2965</v>
      </c>
      <c r="Y74" s="1" t="s">
        <v>2946</v>
      </c>
      <c r="Z74" s="1" t="s">
        <v>2947</v>
      </c>
      <c r="AA74">
        <v>475631704</v>
      </c>
      <c r="AB74" s="1" t="s">
        <v>2984</v>
      </c>
      <c r="AC74" s="1" t="s">
        <v>2990</v>
      </c>
      <c r="AD74" s="1" t="s">
        <v>524</v>
      </c>
      <c r="AE74" s="1"/>
      <c r="AG74" s="1" t="s">
        <v>2940</v>
      </c>
      <c r="AH74" s="1" t="s">
        <v>2874</v>
      </c>
      <c r="AI74" s="1" t="s">
        <v>2948</v>
      </c>
      <c r="AJ74" s="1" t="s">
        <v>2949</v>
      </c>
      <c r="AK74">
        <v>475631702</v>
      </c>
      <c r="AL74" s="1" t="s">
        <v>3030</v>
      </c>
      <c r="AM74" s="1" t="s">
        <v>2971</v>
      </c>
      <c r="AN74" s="1" t="s">
        <v>2950</v>
      </c>
      <c r="AO74" s="1" t="s">
        <v>2951</v>
      </c>
      <c r="AP74">
        <v>475631701</v>
      </c>
      <c r="AQ74" s="1" t="s">
        <v>2961</v>
      </c>
      <c r="AR74" s="1" t="s">
        <v>2877</v>
      </c>
      <c r="AS74" s="1" t="s">
        <v>2952</v>
      </c>
      <c r="AT74" s="1" t="s">
        <v>2953</v>
      </c>
      <c r="AU74">
        <v>475631706</v>
      </c>
      <c r="AV74" s="1" t="s">
        <v>2917</v>
      </c>
      <c r="AW74" s="1" t="s">
        <v>2998</v>
      </c>
      <c r="AX74" s="1" t="s">
        <v>2881</v>
      </c>
      <c r="AY74">
        <v>621287381</v>
      </c>
      <c r="AZ74" s="1" t="s">
        <v>2882</v>
      </c>
      <c r="BA74">
        <v>784179653</v>
      </c>
      <c r="BB74" s="1" t="s">
        <v>2954</v>
      </c>
      <c r="BC74" s="1" t="s">
        <v>2955</v>
      </c>
      <c r="BD74">
        <v>26</v>
      </c>
      <c r="BE74">
        <v>475630168</v>
      </c>
      <c r="BF74">
        <v>44.6806640625</v>
      </c>
      <c r="BG74">
        <v>4.7943572998046804</v>
      </c>
      <c r="BH74">
        <v>451647903</v>
      </c>
      <c r="BI74">
        <v>470</v>
      </c>
      <c r="BJ74" s="2">
        <v>35914</v>
      </c>
      <c r="BK74" s="1" t="s">
        <v>3324</v>
      </c>
      <c r="BL74" s="1" t="s">
        <v>290</v>
      </c>
      <c r="BM74" s="1" t="s">
        <v>291</v>
      </c>
      <c r="BN74" s="1" t="s">
        <v>292</v>
      </c>
      <c r="BO74" s="1" t="s">
        <v>291</v>
      </c>
      <c r="BP74" s="1" t="s">
        <v>293</v>
      </c>
      <c r="BQ74" s="1" t="s">
        <v>294</v>
      </c>
      <c r="BR74">
        <v>80</v>
      </c>
      <c r="BS74">
        <v>15055775.529999999</v>
      </c>
      <c r="BT74" s="1" t="s">
        <v>295</v>
      </c>
      <c r="BU74" s="1" t="s">
        <v>663</v>
      </c>
      <c r="BV74">
        <v>191406</v>
      </c>
      <c r="BW74">
        <v>8.7118804442639277E-3</v>
      </c>
      <c r="BX74">
        <v>36.714182105887801</v>
      </c>
      <c r="BY74">
        <v>7.8166853475747828</v>
      </c>
      <c r="BZ74">
        <v>2.0724577481813586</v>
      </c>
      <c r="CA74">
        <v>46.603325201643941</v>
      </c>
      <c r="CB74" s="1" t="s">
        <v>443</v>
      </c>
      <c r="CC74">
        <v>1</v>
      </c>
      <c r="CD74" s="1" t="s">
        <v>402</v>
      </c>
      <c r="CE74" s="1" t="s">
        <v>361</v>
      </c>
      <c r="CF74">
        <v>1106</v>
      </c>
      <c r="CG74" s="1" t="s">
        <v>362</v>
      </c>
      <c r="CH74" s="1" t="s">
        <v>363</v>
      </c>
      <c r="CI74" s="1" t="s">
        <v>364</v>
      </c>
      <c r="CJ74" s="1" t="s">
        <v>363</v>
      </c>
      <c r="CK74" s="1" t="s">
        <v>364</v>
      </c>
      <c r="CL74" s="1" t="s">
        <v>2673</v>
      </c>
      <c r="CM74">
        <v>3601651111007</v>
      </c>
      <c r="CO74" s="1"/>
      <c r="CP74" s="1" t="s">
        <v>304</v>
      </c>
      <c r="CQ74" s="1" t="s">
        <v>406</v>
      </c>
      <c r="CR74" s="1" t="s">
        <v>505</v>
      </c>
      <c r="CS74">
        <v>6462</v>
      </c>
      <c r="CT74">
        <v>2404</v>
      </c>
      <c r="CU74">
        <v>2500</v>
      </c>
      <c r="CV74" s="1" t="s">
        <v>584</v>
      </c>
      <c r="CW74" s="1" t="s">
        <v>308</v>
      </c>
      <c r="CY74">
        <v>3400</v>
      </c>
      <c r="CZ74">
        <v>3500</v>
      </c>
      <c r="DA74" s="1" t="s">
        <v>307</v>
      </c>
      <c r="DB74">
        <v>4058</v>
      </c>
      <c r="DC74">
        <v>4058</v>
      </c>
      <c r="DD74">
        <v>0</v>
      </c>
      <c r="DE74">
        <v>0</v>
      </c>
      <c r="DF74">
        <v>1200</v>
      </c>
      <c r="DG74">
        <v>2858</v>
      </c>
      <c r="DH74">
        <v>0</v>
      </c>
      <c r="DI74">
        <v>0</v>
      </c>
      <c r="DJ74">
        <v>0</v>
      </c>
      <c r="DK74" s="1" t="s">
        <v>409</v>
      </c>
      <c r="DL74" s="1" t="s">
        <v>741</v>
      </c>
      <c r="DN74" s="1"/>
      <c r="DO74">
        <v>780</v>
      </c>
      <c r="DP74">
        <v>0</v>
      </c>
      <c r="DQ74">
        <v>780</v>
      </c>
      <c r="DR74" s="1"/>
      <c r="DS74">
        <v>754</v>
      </c>
      <c r="DT74">
        <v>0</v>
      </c>
      <c r="DU74">
        <v>274</v>
      </c>
      <c r="DV74">
        <v>230</v>
      </c>
      <c r="DW74" s="1" t="s">
        <v>558</v>
      </c>
      <c r="DX74">
        <v>16</v>
      </c>
      <c r="DZ74">
        <v>2</v>
      </c>
      <c r="EA74">
        <v>2</v>
      </c>
      <c r="EB74">
        <v>6</v>
      </c>
      <c r="EC74">
        <v>3</v>
      </c>
      <c r="ED74">
        <v>0</v>
      </c>
      <c r="EE74">
        <v>0</v>
      </c>
      <c r="EF74">
        <v>11</v>
      </c>
      <c r="EG74">
        <v>2010</v>
      </c>
      <c r="EI74" s="1"/>
      <c r="EJ74" s="1" t="s">
        <v>313</v>
      </c>
      <c r="EK74" s="1" t="s">
        <v>314</v>
      </c>
      <c r="EL74">
        <v>27</v>
      </c>
      <c r="EM74">
        <v>27</v>
      </c>
      <c r="EN74">
        <v>12</v>
      </c>
      <c r="EO74" s="1" t="s">
        <v>315</v>
      </c>
      <c r="EP74">
        <v>32</v>
      </c>
      <c r="EQ74">
        <v>84.658055969531389</v>
      </c>
      <c r="ER74" s="1" t="s">
        <v>316</v>
      </c>
      <c r="ES74">
        <v>3.7257824143070044</v>
      </c>
      <c r="ET74">
        <v>0</v>
      </c>
      <c r="EU74" s="1"/>
      <c r="EV74">
        <v>173.24888226527571</v>
      </c>
      <c r="EW74">
        <v>9</v>
      </c>
      <c r="EX74">
        <v>2</v>
      </c>
      <c r="EY74">
        <v>9</v>
      </c>
      <c r="EZ74" s="1" t="s">
        <v>317</v>
      </c>
      <c r="FA74" s="2"/>
      <c r="FB74" s="1" t="s">
        <v>607</v>
      </c>
      <c r="FC74">
        <v>1</v>
      </c>
      <c r="FD74" s="1"/>
      <c r="FE74" s="2"/>
      <c r="FF74" s="1"/>
      <c r="FG74" s="1" t="s">
        <v>319</v>
      </c>
      <c r="FH74" s="1" t="s">
        <v>319</v>
      </c>
      <c r="FI74" s="1" t="s">
        <v>319</v>
      </c>
      <c r="FJ74" s="1" t="s">
        <v>319</v>
      </c>
      <c r="FK74" s="1" t="s">
        <v>1143</v>
      </c>
      <c r="FL74">
        <v>18.97</v>
      </c>
      <c r="FM74">
        <v>3777.5222826086961</v>
      </c>
      <c r="FN74" s="1" t="s">
        <v>2956</v>
      </c>
      <c r="FO74" s="1" t="s">
        <v>319</v>
      </c>
      <c r="FP74" s="1" t="s">
        <v>323</v>
      </c>
      <c r="FQ74" s="1" t="s">
        <v>324</v>
      </c>
      <c r="FR74" s="1" t="s">
        <v>325</v>
      </c>
      <c r="FS74" s="1"/>
      <c r="FT74" s="1" t="s">
        <v>326</v>
      </c>
      <c r="FU74">
        <v>494198191</v>
      </c>
      <c r="FV74" s="1" t="s">
        <v>319</v>
      </c>
      <c r="FW74" s="1" t="s">
        <v>319</v>
      </c>
      <c r="FX74" s="1" t="s">
        <v>322</v>
      </c>
      <c r="FY74" s="1" t="s">
        <v>322</v>
      </c>
      <c r="FZ74" s="1" t="s">
        <v>322</v>
      </c>
      <c r="GA74" s="1" t="s">
        <v>322</v>
      </c>
      <c r="GB74" s="1" t="s">
        <v>319</v>
      </c>
      <c r="GC74" s="1" t="s">
        <v>322</v>
      </c>
      <c r="GD74" s="1" t="s">
        <v>319</v>
      </c>
      <c r="GE74" s="1" t="s">
        <v>319</v>
      </c>
      <c r="GF74" s="1" t="s">
        <v>415</v>
      </c>
      <c r="GG74" s="1"/>
      <c r="GH74" s="1" t="s">
        <v>319</v>
      </c>
      <c r="GI74" s="1" t="s">
        <v>416</v>
      </c>
      <c r="GJ74" s="1" t="s">
        <v>322</v>
      </c>
      <c r="GK74" s="2">
        <v>42005</v>
      </c>
      <c r="GL74" s="1" t="s">
        <v>322</v>
      </c>
      <c r="GM74" s="1" t="s">
        <v>322</v>
      </c>
      <c r="GN74">
        <v>42989</v>
      </c>
      <c r="GO74" s="1" t="s">
        <v>319</v>
      </c>
      <c r="GQ74" s="1"/>
      <c r="GR74" s="1"/>
      <c r="GS74" s="1"/>
      <c r="GT74" s="1" t="s">
        <v>322</v>
      </c>
      <c r="GU74" s="1" t="s">
        <v>2888</v>
      </c>
      <c r="GV74" s="1" t="s">
        <v>322</v>
      </c>
      <c r="GW74" s="1" t="s">
        <v>322</v>
      </c>
      <c r="GX74" s="1" t="s">
        <v>319</v>
      </c>
      <c r="GY74" s="1" t="s">
        <v>319</v>
      </c>
      <c r="GZ74" s="1" t="s">
        <v>319</v>
      </c>
      <c r="HA74" s="2">
        <v>44065</v>
      </c>
      <c r="HB74" s="2">
        <v>42674</v>
      </c>
      <c r="HC74" s="1"/>
      <c r="HD74" s="1" t="s">
        <v>322</v>
      </c>
      <c r="HE74" s="1"/>
      <c r="HF74" s="1"/>
      <c r="HG74" s="1"/>
      <c r="HH74" s="1"/>
      <c r="HI74" s="1" t="s">
        <v>322</v>
      </c>
      <c r="HJ74" s="1" t="s">
        <v>330</v>
      </c>
      <c r="HK74" s="2"/>
      <c r="HL74" s="1"/>
      <c r="HM74" s="1" t="s">
        <v>322</v>
      </c>
      <c r="HN74" s="1" t="s">
        <v>322</v>
      </c>
      <c r="HO74" s="1"/>
      <c r="HP74" s="1"/>
      <c r="HQ74" s="1"/>
      <c r="HR74" s="1"/>
      <c r="HS74" s="1"/>
      <c r="HT74" s="1"/>
      <c r="HU74" s="1" t="s">
        <v>331</v>
      </c>
      <c r="HV74">
        <v>4621996013</v>
      </c>
      <c r="HW74">
        <v>40639048</v>
      </c>
      <c r="HX74">
        <v>99102570883</v>
      </c>
      <c r="HY74" s="1" t="s">
        <v>2957</v>
      </c>
      <c r="HZ74">
        <v>4304166</v>
      </c>
      <c r="IA74">
        <v>4321237</v>
      </c>
      <c r="IB74" s="1" t="s">
        <v>2958</v>
      </c>
      <c r="IC74">
        <v>830263</v>
      </c>
      <c r="ID74" s="1" t="s">
        <v>2959</v>
      </c>
      <c r="IE74">
        <v>2.71</v>
      </c>
      <c r="IF74">
        <v>2.78</v>
      </c>
      <c r="IG74">
        <v>2.77</v>
      </c>
      <c r="IH74">
        <v>2.62</v>
      </c>
      <c r="II74">
        <v>1.82</v>
      </c>
      <c r="IJ74">
        <v>2.0307692307692307</v>
      </c>
      <c r="IK74">
        <v>2.0499999999999998</v>
      </c>
    </row>
    <row r="75" spans="1:245" x14ac:dyDescent="0.3">
      <c r="A75">
        <v>1788</v>
      </c>
      <c r="B75">
        <v>2402</v>
      </c>
      <c r="C75" s="1" t="s">
        <v>1073</v>
      </c>
      <c r="D75" s="1" t="s">
        <v>1074</v>
      </c>
      <c r="E75" t="s">
        <v>3275</v>
      </c>
      <c r="F75" s="1" t="s">
        <v>927</v>
      </c>
      <c r="G75" s="1" t="s">
        <v>928</v>
      </c>
      <c r="H75">
        <v>603611633</v>
      </c>
      <c r="I75" s="1" t="s">
        <v>1075</v>
      </c>
      <c r="J75" s="1" t="s">
        <v>1076</v>
      </c>
      <c r="K75">
        <v>610924838</v>
      </c>
      <c r="L75">
        <v>42646</v>
      </c>
      <c r="M75" s="1" t="s">
        <v>1077</v>
      </c>
      <c r="N75" s="1" t="s">
        <v>1078</v>
      </c>
      <c r="O75">
        <v>160575908</v>
      </c>
      <c r="P75" s="1" t="s">
        <v>273</v>
      </c>
      <c r="Q75" s="1" t="s">
        <v>929</v>
      </c>
      <c r="R75" s="1" t="s">
        <v>931</v>
      </c>
      <c r="S75" s="1" t="s">
        <v>1079</v>
      </c>
      <c r="T75" s="1" t="s">
        <v>1080</v>
      </c>
      <c r="U75">
        <v>160575909</v>
      </c>
      <c r="V75" s="1" t="s">
        <v>754</v>
      </c>
      <c r="W75" s="1" t="s">
        <v>1180</v>
      </c>
      <c r="X75" s="1" t="s">
        <v>1007</v>
      </c>
      <c r="Y75" s="1" t="s">
        <v>1081</v>
      </c>
      <c r="Z75" s="1" t="s">
        <v>1082</v>
      </c>
      <c r="AA75">
        <v>785394062</v>
      </c>
      <c r="AB75" s="1" t="s">
        <v>1104</v>
      </c>
      <c r="AC75" s="1" t="s">
        <v>1058</v>
      </c>
      <c r="AD75" s="1" t="s">
        <v>1083</v>
      </c>
      <c r="AE75" s="1" t="s">
        <v>1084</v>
      </c>
      <c r="AF75">
        <v>160575900</v>
      </c>
      <c r="AG75" s="1" t="s">
        <v>956</v>
      </c>
      <c r="AH75" s="1" t="s">
        <v>937</v>
      </c>
      <c r="AI75" s="1" t="s">
        <v>1085</v>
      </c>
      <c r="AJ75" s="1" t="s">
        <v>1086</v>
      </c>
      <c r="AK75">
        <v>160575906</v>
      </c>
      <c r="AL75" s="1" t="s">
        <v>1003</v>
      </c>
      <c r="AM75" s="1" t="s">
        <v>1190</v>
      </c>
      <c r="AN75" s="1" t="s">
        <v>1087</v>
      </c>
      <c r="AO75" s="1" t="s">
        <v>1088</v>
      </c>
      <c r="AP75">
        <v>160575902</v>
      </c>
      <c r="AQ75" s="1" t="s">
        <v>992</v>
      </c>
      <c r="AR75" s="1" t="s">
        <v>1087</v>
      </c>
      <c r="AS75" s="1" t="s">
        <v>1089</v>
      </c>
      <c r="AT75" s="1" t="s">
        <v>1090</v>
      </c>
      <c r="AU75">
        <v>160575907</v>
      </c>
      <c r="AV75" s="1" t="s">
        <v>1204</v>
      </c>
      <c r="AW75" s="1" t="s">
        <v>1216</v>
      </c>
      <c r="AX75" s="1" t="s">
        <v>945</v>
      </c>
      <c r="AY75">
        <v>770016945</v>
      </c>
      <c r="AZ75" s="1" t="s">
        <v>946</v>
      </c>
      <c r="BA75">
        <v>629385387</v>
      </c>
      <c r="BB75" s="1" t="s">
        <v>1091</v>
      </c>
      <c r="BC75" s="1" t="s">
        <v>1092</v>
      </c>
      <c r="BD75">
        <v>77</v>
      </c>
      <c r="BE75">
        <v>160575900</v>
      </c>
      <c r="BF75">
        <v>48.359130859375</v>
      </c>
      <c r="BG75">
        <v>2.9819259643554599</v>
      </c>
      <c r="BH75">
        <v>451647903</v>
      </c>
      <c r="BI75">
        <v>835</v>
      </c>
      <c r="BJ75" s="2">
        <v>38959</v>
      </c>
      <c r="BK75" s="1" t="s">
        <v>2628</v>
      </c>
      <c r="BL75" s="1" t="s">
        <v>290</v>
      </c>
      <c r="BM75" s="1" t="s">
        <v>291</v>
      </c>
      <c r="BN75" s="1" t="s">
        <v>292</v>
      </c>
      <c r="BO75" s="1" t="s">
        <v>291</v>
      </c>
      <c r="BP75" s="1" t="s">
        <v>293</v>
      </c>
      <c r="BQ75" s="1" t="s">
        <v>1093</v>
      </c>
      <c r="BR75">
        <v>85</v>
      </c>
      <c r="BS75">
        <v>27779823.48</v>
      </c>
      <c r="BT75" s="1" t="s">
        <v>295</v>
      </c>
      <c r="BU75" s="1" t="s">
        <v>296</v>
      </c>
      <c r="BV75">
        <v>443815</v>
      </c>
      <c r="BW75">
        <v>1.5381498034195638E-2</v>
      </c>
      <c r="BX75">
        <v>59.914419463308498</v>
      </c>
      <c r="BY75">
        <v>4.7237753016417239</v>
      </c>
      <c r="BZ75">
        <v>5.5851591173820347</v>
      </c>
      <c r="CA75">
        <v>70.223353882332262</v>
      </c>
      <c r="CB75" s="1" t="s">
        <v>360</v>
      </c>
      <c r="CC75">
        <v>1</v>
      </c>
      <c r="CD75" s="1" t="s">
        <v>361</v>
      </c>
      <c r="CE75" s="1" t="s">
        <v>299</v>
      </c>
      <c r="CF75">
        <v>1101</v>
      </c>
      <c r="CG75" s="1" t="s">
        <v>300</v>
      </c>
      <c r="CH75" s="1" t="s">
        <v>301</v>
      </c>
      <c r="CI75" s="1" t="s">
        <v>302</v>
      </c>
      <c r="CJ75" s="1" t="s">
        <v>301</v>
      </c>
      <c r="CK75" s="1" t="s">
        <v>302</v>
      </c>
      <c r="CL75" s="1" t="s">
        <v>303</v>
      </c>
      <c r="CM75">
        <v>3601651117009</v>
      </c>
      <c r="CO75" s="1"/>
      <c r="CP75" s="1" t="s">
        <v>444</v>
      </c>
      <c r="CQ75" s="1" t="s">
        <v>367</v>
      </c>
      <c r="CR75" s="1" t="s">
        <v>306</v>
      </c>
      <c r="CS75">
        <v>5990</v>
      </c>
      <c r="CT75">
        <v>2902</v>
      </c>
      <c r="CU75">
        <v>3000</v>
      </c>
      <c r="CV75" s="1" t="s">
        <v>309</v>
      </c>
      <c r="CW75" s="1" t="s">
        <v>308</v>
      </c>
      <c r="CY75">
        <v>3088</v>
      </c>
      <c r="CZ75">
        <v>3000</v>
      </c>
      <c r="DA75" s="1" t="s">
        <v>309</v>
      </c>
      <c r="DB75">
        <v>3088</v>
      </c>
      <c r="DC75">
        <v>3088</v>
      </c>
      <c r="DD75">
        <v>0</v>
      </c>
      <c r="DE75">
        <v>0</v>
      </c>
      <c r="DF75">
        <v>1385</v>
      </c>
      <c r="DG75">
        <v>1703</v>
      </c>
      <c r="DH75">
        <v>0</v>
      </c>
      <c r="DI75">
        <v>0</v>
      </c>
      <c r="DJ75">
        <v>0</v>
      </c>
      <c r="DK75" s="1" t="s">
        <v>369</v>
      </c>
      <c r="DL75" s="1" t="s">
        <v>1094</v>
      </c>
      <c r="DN75" s="1" t="s">
        <v>1095</v>
      </c>
      <c r="DO75">
        <v>879</v>
      </c>
      <c r="DP75">
        <v>0</v>
      </c>
      <c r="DQ75">
        <v>879</v>
      </c>
      <c r="DR75" s="1"/>
      <c r="DS75">
        <v>685</v>
      </c>
      <c r="DT75">
        <v>115</v>
      </c>
      <c r="DU75">
        <v>309</v>
      </c>
      <c r="DV75">
        <v>310</v>
      </c>
      <c r="DW75" s="1" t="s">
        <v>371</v>
      </c>
      <c r="DX75">
        <v>19</v>
      </c>
      <c r="DZ75">
        <v>2</v>
      </c>
      <c r="EA75">
        <v>2</v>
      </c>
      <c r="EB75">
        <v>8</v>
      </c>
      <c r="EC75">
        <v>3</v>
      </c>
      <c r="ED75">
        <v>0</v>
      </c>
      <c r="EE75">
        <v>0</v>
      </c>
      <c r="EF75">
        <v>13</v>
      </c>
      <c r="EG75">
        <v>2012</v>
      </c>
      <c r="EI75" s="1"/>
      <c r="EJ75" s="1" t="s">
        <v>313</v>
      </c>
      <c r="EK75" s="1" t="s">
        <v>314</v>
      </c>
      <c r="EL75">
        <v>21</v>
      </c>
      <c r="EM75">
        <v>17</v>
      </c>
      <c r="EN75">
        <v>12</v>
      </c>
      <c r="EO75" s="1" t="s">
        <v>315</v>
      </c>
      <c r="EP75">
        <v>8</v>
      </c>
      <c r="EQ75">
        <v>142.26552833648191</v>
      </c>
      <c r="ER75" s="1" t="s">
        <v>480</v>
      </c>
      <c r="ES75">
        <v>11.430672200759677</v>
      </c>
      <c r="ET75">
        <v>0</v>
      </c>
      <c r="EU75" s="1"/>
      <c r="EV75">
        <v>83.413013356894936</v>
      </c>
      <c r="EW75">
        <v>2</v>
      </c>
      <c r="EX75" t="s">
        <v>481</v>
      </c>
      <c r="EY75">
        <v>2</v>
      </c>
      <c r="EZ75" s="1" t="s">
        <v>412</v>
      </c>
      <c r="FA75" s="2">
        <v>44197</v>
      </c>
      <c r="FB75" s="1" t="s">
        <v>507</v>
      </c>
      <c r="FC75">
        <v>1</v>
      </c>
      <c r="FD75" s="1"/>
      <c r="FE75" s="2"/>
      <c r="FF75" s="1"/>
      <c r="FG75" s="1" t="s">
        <v>322</v>
      </c>
      <c r="FH75" s="1" t="s">
        <v>322</v>
      </c>
      <c r="FI75" s="1" t="s">
        <v>322</v>
      </c>
      <c r="FJ75" s="1" t="s">
        <v>322</v>
      </c>
      <c r="FK75" s="1" t="s">
        <v>1096</v>
      </c>
      <c r="FL75">
        <v>19.27</v>
      </c>
      <c r="FM75">
        <v>4782.7117647058822</v>
      </c>
      <c r="FN75" s="1" t="s">
        <v>321</v>
      </c>
      <c r="FO75" s="1" t="s">
        <v>319</v>
      </c>
      <c r="FP75" s="1" t="s">
        <v>323</v>
      </c>
      <c r="FQ75" s="1" t="s">
        <v>559</v>
      </c>
      <c r="FR75" s="1" t="s">
        <v>325</v>
      </c>
      <c r="FS75" s="1"/>
      <c r="FT75" s="1" t="s">
        <v>326</v>
      </c>
      <c r="FU75">
        <v>494198191</v>
      </c>
      <c r="FV75" s="1" t="s">
        <v>322</v>
      </c>
      <c r="FW75" s="1" t="s">
        <v>322</v>
      </c>
      <c r="FX75" s="1" t="s">
        <v>322</v>
      </c>
      <c r="FY75" s="1" t="s">
        <v>322</v>
      </c>
      <c r="FZ75" s="1" t="s">
        <v>322</v>
      </c>
      <c r="GA75" s="1" t="s">
        <v>322</v>
      </c>
      <c r="GB75" s="1" t="s">
        <v>322</v>
      </c>
      <c r="GC75" s="1" t="s">
        <v>322</v>
      </c>
      <c r="GD75" s="1" t="s">
        <v>322</v>
      </c>
      <c r="GE75" s="1" t="s">
        <v>322</v>
      </c>
      <c r="GF75" s="1" t="s">
        <v>415</v>
      </c>
      <c r="GG75" s="1"/>
      <c r="GH75" s="1" t="s">
        <v>319</v>
      </c>
      <c r="GI75" s="1"/>
      <c r="GJ75" s="1" t="s">
        <v>322</v>
      </c>
      <c r="GK75" s="2">
        <v>42005</v>
      </c>
      <c r="GL75" s="1" t="s">
        <v>322</v>
      </c>
      <c r="GM75" s="1" t="s">
        <v>322</v>
      </c>
      <c r="GN75">
        <v>43133</v>
      </c>
      <c r="GO75" s="1" t="s">
        <v>322</v>
      </c>
      <c r="GP75">
        <v>43892</v>
      </c>
      <c r="GQ75" s="1" t="s">
        <v>1097</v>
      </c>
      <c r="GR75" s="1" t="s">
        <v>319</v>
      </c>
      <c r="GS75" s="1" t="s">
        <v>448</v>
      </c>
      <c r="GT75" s="1" t="s">
        <v>322</v>
      </c>
      <c r="GU75" s="1" t="s">
        <v>1098</v>
      </c>
      <c r="GV75" s="1" t="s">
        <v>322</v>
      </c>
      <c r="GW75" s="1" t="s">
        <v>322</v>
      </c>
      <c r="GX75" s="1" t="s">
        <v>319</v>
      </c>
      <c r="GY75" s="1" t="s">
        <v>319</v>
      </c>
      <c r="GZ75" s="1" t="s">
        <v>322</v>
      </c>
      <c r="HA75" s="2">
        <v>44063</v>
      </c>
      <c r="HB75" s="2">
        <v>42625</v>
      </c>
      <c r="HC75" s="1"/>
      <c r="HD75" s="1"/>
      <c r="HE75" s="1"/>
      <c r="HF75" s="1"/>
      <c r="HG75" s="1"/>
      <c r="HH75" s="1"/>
      <c r="HI75" s="1" t="s">
        <v>319</v>
      </c>
      <c r="HJ75" s="1" t="s">
        <v>330</v>
      </c>
      <c r="HK75" s="2"/>
      <c r="HL75" s="1"/>
      <c r="HM75" s="1" t="s">
        <v>322</v>
      </c>
      <c r="HN75" s="1" t="s">
        <v>322</v>
      </c>
      <c r="HO75" s="1" t="s">
        <v>322</v>
      </c>
      <c r="HP75" s="1"/>
      <c r="HQ75" s="1"/>
      <c r="HR75" s="1"/>
      <c r="HS75" s="1"/>
      <c r="HT75" s="1"/>
      <c r="HU75" s="1" t="s">
        <v>331</v>
      </c>
      <c r="HV75">
        <v>4624436012</v>
      </c>
      <c r="HW75">
        <v>40638505</v>
      </c>
      <c r="HX75">
        <v>99102567836</v>
      </c>
      <c r="HY75" s="1" t="s">
        <v>1099</v>
      </c>
      <c r="HZ75">
        <v>4320878</v>
      </c>
      <c r="IA75">
        <v>4321522</v>
      </c>
      <c r="IB75" s="1" t="s">
        <v>1100</v>
      </c>
      <c r="IC75">
        <v>830013</v>
      </c>
      <c r="ID75" s="1" t="s">
        <v>1101</v>
      </c>
      <c r="IE75">
        <v>4.74</v>
      </c>
      <c r="IF75">
        <v>4.63</v>
      </c>
      <c r="IG75">
        <v>4.34</v>
      </c>
      <c r="IH75">
        <v>4.2300000000000004</v>
      </c>
      <c r="II75">
        <v>5.26</v>
      </c>
      <c r="IJ75">
        <v>5.45</v>
      </c>
      <c r="IK75">
        <v>4.03</v>
      </c>
    </row>
    <row r="76" spans="1:245" x14ac:dyDescent="0.3">
      <c r="A76">
        <v>1753</v>
      </c>
      <c r="B76">
        <v>2368</v>
      </c>
      <c r="C76" s="1" t="s">
        <v>1102</v>
      </c>
      <c r="D76" s="1" t="s">
        <v>1103</v>
      </c>
      <c r="E76" t="s">
        <v>3275</v>
      </c>
      <c r="F76" s="1" t="s">
        <v>927</v>
      </c>
      <c r="G76" s="1" t="s">
        <v>928</v>
      </c>
      <c r="H76">
        <v>603611633</v>
      </c>
      <c r="I76" s="1" t="s">
        <v>1104</v>
      </c>
      <c r="J76" s="1" t="s">
        <v>1105</v>
      </c>
      <c r="K76">
        <v>685095681</v>
      </c>
      <c r="L76">
        <v>43864</v>
      </c>
      <c r="M76" s="1" t="s">
        <v>1106</v>
      </c>
      <c r="N76" s="1" t="s">
        <v>1107</v>
      </c>
      <c r="O76">
        <v>470084829</v>
      </c>
      <c r="P76" s="1" t="s">
        <v>273</v>
      </c>
      <c r="Q76" s="1" t="s">
        <v>929</v>
      </c>
      <c r="R76" s="1" t="s">
        <v>931</v>
      </c>
      <c r="S76" s="1" t="s">
        <v>1108</v>
      </c>
      <c r="T76" s="1" t="s">
        <v>1109</v>
      </c>
      <c r="U76">
        <v>470084827</v>
      </c>
      <c r="V76" s="1" t="s">
        <v>276</v>
      </c>
      <c r="W76" s="1" t="s">
        <v>1180</v>
      </c>
      <c r="X76" s="1" t="s">
        <v>1007</v>
      </c>
      <c r="Y76" s="1" t="s">
        <v>1110</v>
      </c>
      <c r="Z76" s="1" t="s">
        <v>1111</v>
      </c>
      <c r="AA76">
        <v>386180932</v>
      </c>
      <c r="AB76" s="1" t="s">
        <v>1104</v>
      </c>
      <c r="AC76" s="1" t="s">
        <v>1058</v>
      </c>
      <c r="AD76" s="1" t="s">
        <v>389</v>
      </c>
      <c r="AE76" s="1"/>
      <c r="AG76" s="1" t="s">
        <v>956</v>
      </c>
      <c r="AH76" s="1" t="s">
        <v>937</v>
      </c>
      <c r="AI76" s="1" t="s">
        <v>1112</v>
      </c>
      <c r="AJ76" s="1" t="s">
        <v>1113</v>
      </c>
      <c r="AK76">
        <v>470084820</v>
      </c>
      <c r="AL76" s="1" t="s">
        <v>1003</v>
      </c>
      <c r="AM76" s="1" t="s">
        <v>1190</v>
      </c>
      <c r="AN76" s="1" t="s">
        <v>1114</v>
      </c>
      <c r="AO76" s="1" t="s">
        <v>1115</v>
      </c>
      <c r="AP76">
        <v>470084822</v>
      </c>
      <c r="AQ76" s="1" t="s">
        <v>992</v>
      </c>
      <c r="AR76" s="1" t="s">
        <v>1087</v>
      </c>
      <c r="AS76" s="1" t="s">
        <v>1116</v>
      </c>
      <c r="AT76" s="1" t="s">
        <v>1117</v>
      </c>
      <c r="AU76">
        <v>470084823</v>
      </c>
      <c r="AV76" s="1" t="s">
        <v>1204</v>
      </c>
      <c r="AW76" s="1" t="s">
        <v>1216</v>
      </c>
      <c r="AX76" s="1" t="s">
        <v>945</v>
      </c>
      <c r="AY76">
        <v>770016945</v>
      </c>
      <c r="AZ76" s="1" t="s">
        <v>946</v>
      </c>
      <c r="BA76">
        <v>629385388</v>
      </c>
      <c r="BB76" s="1" t="s">
        <v>1118</v>
      </c>
      <c r="BC76" s="1" t="s">
        <v>1119</v>
      </c>
      <c r="BD76">
        <v>3</v>
      </c>
      <c r="BE76">
        <v>470084820</v>
      </c>
      <c r="BF76">
        <v>46.369384765625</v>
      </c>
      <c r="BG76">
        <v>2.5692977905273402</v>
      </c>
      <c r="BH76">
        <v>451647903</v>
      </c>
      <c r="BI76">
        <v>173</v>
      </c>
      <c r="BJ76" s="2">
        <v>37630</v>
      </c>
      <c r="BK76" s="1" t="s">
        <v>3384</v>
      </c>
      <c r="BL76" s="1" t="s">
        <v>290</v>
      </c>
      <c r="BM76" s="1" t="s">
        <v>291</v>
      </c>
      <c r="BN76" s="1" t="s">
        <v>292</v>
      </c>
      <c r="BO76" s="1" t="s">
        <v>291</v>
      </c>
      <c r="BP76" s="1" t="s">
        <v>293</v>
      </c>
      <c r="BQ76" s="1" t="s">
        <v>294</v>
      </c>
      <c r="BR76">
        <v>80</v>
      </c>
      <c r="BS76">
        <v>33050314.620000001</v>
      </c>
      <c r="BT76" s="1" t="s">
        <v>295</v>
      </c>
      <c r="BU76" s="1" t="s">
        <v>401</v>
      </c>
      <c r="BV76">
        <v>479444</v>
      </c>
      <c r="BW76">
        <v>9.9831142639092048E-3</v>
      </c>
      <c r="BX76">
        <v>68.085580536691495</v>
      </c>
      <c r="BY76">
        <v>13.228648820905043</v>
      </c>
      <c r="BZ76">
        <v>0.88532010285488238</v>
      </c>
      <c r="CA76">
        <v>82.199549460451408</v>
      </c>
      <c r="CB76" s="1" t="s">
        <v>476</v>
      </c>
      <c r="CC76">
        <v>1</v>
      </c>
      <c r="CD76" s="1" t="s">
        <v>402</v>
      </c>
      <c r="CE76" s="1" t="s">
        <v>504</v>
      </c>
      <c r="CF76">
        <v>1106</v>
      </c>
      <c r="CG76" s="1" t="s">
        <v>362</v>
      </c>
      <c r="CH76" s="1" t="s">
        <v>972</v>
      </c>
      <c r="CI76" s="1" t="s">
        <v>973</v>
      </c>
      <c r="CJ76" s="1" t="s">
        <v>972</v>
      </c>
      <c r="CK76" s="1" t="s">
        <v>302</v>
      </c>
      <c r="CL76" s="1" t="s">
        <v>974</v>
      </c>
      <c r="CM76">
        <v>3020409000020</v>
      </c>
      <c r="CO76" s="1"/>
      <c r="CP76" s="1" t="s">
        <v>444</v>
      </c>
      <c r="CQ76" s="1" t="s">
        <v>406</v>
      </c>
      <c r="CR76" s="1" t="s">
        <v>306</v>
      </c>
      <c r="CS76">
        <v>8460</v>
      </c>
      <c r="CT76">
        <v>5550</v>
      </c>
      <c r="CU76" t="s">
        <v>477</v>
      </c>
      <c r="CV76" s="1" t="s">
        <v>478</v>
      </c>
      <c r="CW76" s="1" t="s">
        <v>308</v>
      </c>
      <c r="CY76">
        <v>1485</v>
      </c>
      <c r="CZ76" t="s">
        <v>368</v>
      </c>
      <c r="DA76" s="1" t="s">
        <v>309</v>
      </c>
      <c r="DB76">
        <v>2910</v>
      </c>
      <c r="DC76">
        <v>2910</v>
      </c>
      <c r="DD76">
        <v>50</v>
      </c>
      <c r="DE76">
        <v>1475</v>
      </c>
      <c r="DF76">
        <v>0</v>
      </c>
      <c r="DG76">
        <v>2910</v>
      </c>
      <c r="DH76">
        <v>0</v>
      </c>
      <c r="DI76">
        <v>0</v>
      </c>
      <c r="DJ76">
        <v>0</v>
      </c>
      <c r="DK76" s="1" t="s">
        <v>369</v>
      </c>
      <c r="DL76" s="1" t="s">
        <v>370</v>
      </c>
      <c r="DN76" s="1"/>
      <c r="DO76">
        <v>765</v>
      </c>
      <c r="DP76">
        <v>0</v>
      </c>
      <c r="DQ76">
        <v>765</v>
      </c>
      <c r="DR76" s="1"/>
      <c r="DS76">
        <v>506</v>
      </c>
      <c r="DT76">
        <v>117</v>
      </c>
      <c r="DU76">
        <v>240</v>
      </c>
      <c r="DV76">
        <v>257</v>
      </c>
      <c r="DW76" s="1" t="s">
        <v>371</v>
      </c>
      <c r="DX76">
        <v>20</v>
      </c>
      <c r="DZ76">
        <v>2</v>
      </c>
      <c r="EA76">
        <v>2</v>
      </c>
      <c r="EB76">
        <v>8</v>
      </c>
      <c r="EC76">
        <v>2</v>
      </c>
      <c r="ED76">
        <v>1</v>
      </c>
      <c r="EE76">
        <v>0</v>
      </c>
      <c r="EF76">
        <v>13</v>
      </c>
      <c r="EG76">
        <v>2010</v>
      </c>
      <c r="EI76" s="1"/>
      <c r="EJ76" s="1" t="s">
        <v>313</v>
      </c>
      <c r="EK76" s="1" t="s">
        <v>314</v>
      </c>
      <c r="EL76">
        <v>34</v>
      </c>
      <c r="EM76">
        <v>32</v>
      </c>
      <c r="EN76">
        <v>12</v>
      </c>
      <c r="EO76" s="1" t="s">
        <v>315</v>
      </c>
      <c r="EP76">
        <v>37</v>
      </c>
      <c r="EQ76">
        <v>92.030341782622074</v>
      </c>
      <c r="ER76" s="1" t="s">
        <v>316</v>
      </c>
      <c r="ES76">
        <v>1.693809971459302</v>
      </c>
      <c r="ET76">
        <v>0</v>
      </c>
      <c r="EU76" s="1"/>
      <c r="EV76">
        <v>82.432085277686028</v>
      </c>
      <c r="EW76">
        <v>0</v>
      </c>
      <c r="EX76" t="s">
        <v>316</v>
      </c>
      <c r="EY76">
        <v>0</v>
      </c>
      <c r="EZ76" s="1" t="s">
        <v>412</v>
      </c>
      <c r="FA76" s="2">
        <v>44197</v>
      </c>
      <c r="FB76" s="1" t="s">
        <v>507</v>
      </c>
      <c r="FC76">
        <v>1</v>
      </c>
      <c r="FD76" s="1"/>
      <c r="FE76" s="2"/>
      <c r="FF76" s="1"/>
      <c r="FG76" s="1" t="s">
        <v>322</v>
      </c>
      <c r="FH76" s="1" t="s">
        <v>322</v>
      </c>
      <c r="FI76" s="1" t="s">
        <v>322</v>
      </c>
      <c r="FJ76" s="1" t="s">
        <v>319</v>
      </c>
      <c r="FK76" s="1" t="s">
        <v>373</v>
      </c>
      <c r="FL76">
        <v>18.59</v>
      </c>
      <c r="FM76">
        <v>4344.364272559852</v>
      </c>
      <c r="FN76" s="1" t="s">
        <v>321</v>
      </c>
      <c r="FO76" s="1" t="s">
        <v>322</v>
      </c>
      <c r="FP76" s="1" t="s">
        <v>323</v>
      </c>
      <c r="FQ76" s="1" t="s">
        <v>559</v>
      </c>
      <c r="FR76" s="1" t="s">
        <v>325</v>
      </c>
      <c r="FS76" s="1" t="s">
        <v>374</v>
      </c>
      <c r="FT76" s="1" t="s">
        <v>326</v>
      </c>
      <c r="FU76">
        <v>494198191</v>
      </c>
      <c r="FV76" s="1" t="s">
        <v>322</v>
      </c>
      <c r="FW76" s="1" t="s">
        <v>322</v>
      </c>
      <c r="FX76" s="1" t="s">
        <v>322</v>
      </c>
      <c r="FY76" s="1" t="s">
        <v>1121</v>
      </c>
      <c r="FZ76" s="1" t="s">
        <v>322</v>
      </c>
      <c r="GA76" s="1" t="s">
        <v>322</v>
      </c>
      <c r="GB76" s="1" t="s">
        <v>322</v>
      </c>
      <c r="GC76" s="1" t="s">
        <v>322</v>
      </c>
      <c r="GD76" s="1" t="s">
        <v>322</v>
      </c>
      <c r="GE76" s="1" t="s">
        <v>319</v>
      </c>
      <c r="GF76" s="1" t="s">
        <v>415</v>
      </c>
      <c r="GG76" s="1"/>
      <c r="GH76" s="1" t="s">
        <v>319</v>
      </c>
      <c r="GI76" s="1" t="s">
        <v>484</v>
      </c>
      <c r="GJ76" s="1" t="s">
        <v>322</v>
      </c>
      <c r="GK76" s="2">
        <v>42005</v>
      </c>
      <c r="GL76" s="1" t="s">
        <v>322</v>
      </c>
      <c r="GM76" s="1" t="s">
        <v>322</v>
      </c>
      <c r="GN76">
        <v>42989</v>
      </c>
      <c r="GO76" s="1" t="s">
        <v>319</v>
      </c>
      <c r="GQ76" s="1"/>
      <c r="GR76" s="1"/>
      <c r="GS76" s="1"/>
      <c r="GT76" s="1" t="s">
        <v>322</v>
      </c>
      <c r="GU76" s="1" t="s">
        <v>998</v>
      </c>
      <c r="GV76" s="1" t="s">
        <v>322</v>
      </c>
      <c r="GW76" s="1" t="s">
        <v>322</v>
      </c>
      <c r="GX76" s="1" t="s">
        <v>319</v>
      </c>
      <c r="GY76" s="1" t="s">
        <v>319</v>
      </c>
      <c r="GZ76" s="1" t="s">
        <v>319</v>
      </c>
      <c r="HA76" s="2">
        <v>44063</v>
      </c>
      <c r="HB76" s="2">
        <v>42653</v>
      </c>
      <c r="HC76" s="1"/>
      <c r="HD76" s="1"/>
      <c r="HE76" s="1"/>
      <c r="HF76" s="1"/>
      <c r="HG76" s="1"/>
      <c r="HH76" s="1"/>
      <c r="HI76" s="1" t="s">
        <v>322</v>
      </c>
      <c r="HJ76" s="1" t="s">
        <v>1122</v>
      </c>
      <c r="HK76" s="2">
        <v>43101</v>
      </c>
      <c r="HL76" s="1"/>
      <c r="HM76" s="1" t="s">
        <v>322</v>
      </c>
      <c r="HN76" s="1" t="s">
        <v>322</v>
      </c>
      <c r="HO76" s="1"/>
      <c r="HP76" s="1"/>
      <c r="HQ76" s="1"/>
      <c r="HR76" s="1"/>
      <c r="HS76" s="1"/>
      <c r="HT76" s="1"/>
      <c r="HU76" s="1" t="s">
        <v>331</v>
      </c>
      <c r="HV76">
        <v>4622022014</v>
      </c>
      <c r="HW76">
        <v>40638089</v>
      </c>
      <c r="HX76">
        <v>99102518524</v>
      </c>
      <c r="HY76" s="1" t="s">
        <v>1123</v>
      </c>
      <c r="HZ76">
        <v>4304137</v>
      </c>
      <c r="IA76">
        <v>4321263</v>
      </c>
      <c r="IB76" s="1" t="s">
        <v>1124</v>
      </c>
      <c r="IC76">
        <v>830224</v>
      </c>
      <c r="ID76" s="1" t="s">
        <v>1125</v>
      </c>
      <c r="IE76">
        <v>6.62</v>
      </c>
      <c r="IF76">
        <v>5.29</v>
      </c>
      <c r="IG76">
        <v>4.26</v>
      </c>
      <c r="IH76">
        <v>4.1100000000000003</v>
      </c>
      <c r="II76">
        <v>4.67</v>
      </c>
      <c r="IJ76">
        <v>3.6</v>
      </c>
      <c r="IK76">
        <v>3.6</v>
      </c>
    </row>
    <row r="77" spans="1:245" x14ac:dyDescent="0.3">
      <c r="A77">
        <v>1785</v>
      </c>
      <c r="B77">
        <v>2399</v>
      </c>
      <c r="C77" s="1" t="s">
        <v>2960</v>
      </c>
      <c r="D77" s="1" t="s">
        <v>336</v>
      </c>
      <c r="E77" t="s">
        <v>3275</v>
      </c>
      <c r="F77" s="1" t="s">
        <v>2862</v>
      </c>
      <c r="G77" s="1" t="s">
        <v>2863</v>
      </c>
      <c r="H77">
        <v>610902271</v>
      </c>
      <c r="I77" s="1" t="s">
        <v>2961</v>
      </c>
      <c r="J77" s="1" t="s">
        <v>2962</v>
      </c>
      <c r="L77">
        <v>44044</v>
      </c>
      <c r="M77" s="1" t="s">
        <v>2963</v>
      </c>
      <c r="N77" s="1" t="s">
        <v>2964</v>
      </c>
      <c r="O77">
        <v>467856708</v>
      </c>
      <c r="P77" s="1" t="s">
        <v>273</v>
      </c>
      <c r="Q77" s="1" t="s">
        <v>2864</v>
      </c>
      <c r="R77" s="1" t="s">
        <v>2866</v>
      </c>
      <c r="S77" s="1" t="s">
        <v>2965</v>
      </c>
      <c r="T77" s="1" t="s">
        <v>2966</v>
      </c>
      <c r="U77">
        <v>467856709</v>
      </c>
      <c r="V77" s="1" t="s">
        <v>276</v>
      </c>
      <c r="W77" s="1" t="s">
        <v>1730</v>
      </c>
      <c r="X77" s="1" t="s">
        <v>2965</v>
      </c>
      <c r="Y77" s="1" t="s">
        <v>2967</v>
      </c>
      <c r="Z77" s="1" t="s">
        <v>2968</v>
      </c>
      <c r="AA77">
        <v>467856704</v>
      </c>
      <c r="AB77" s="1" t="s">
        <v>2984</v>
      </c>
      <c r="AC77" s="1" t="s">
        <v>2990</v>
      </c>
      <c r="AD77" s="1" t="s">
        <v>2969</v>
      </c>
      <c r="AE77" s="1" t="s">
        <v>2970</v>
      </c>
      <c r="AF77">
        <v>467856700</v>
      </c>
      <c r="AG77" s="1" t="s">
        <v>2940</v>
      </c>
      <c r="AH77" s="1" t="s">
        <v>2874</v>
      </c>
      <c r="AI77" s="1" t="s">
        <v>2971</v>
      </c>
      <c r="AJ77" s="1" t="s">
        <v>2972</v>
      </c>
      <c r="AK77">
        <v>467856705</v>
      </c>
      <c r="AL77" s="1" t="s">
        <v>3030</v>
      </c>
      <c r="AM77" s="1" t="s">
        <v>2971</v>
      </c>
      <c r="AN77" s="1" t="s">
        <v>2973</v>
      </c>
      <c r="AO77" s="1" t="s">
        <v>2974</v>
      </c>
      <c r="AP77">
        <v>467856702</v>
      </c>
      <c r="AQ77" s="1" t="s">
        <v>2961</v>
      </c>
      <c r="AR77" s="1" t="s">
        <v>2877</v>
      </c>
      <c r="AS77" s="1" t="s">
        <v>2975</v>
      </c>
      <c r="AT77" s="1" t="s">
        <v>2976</v>
      </c>
      <c r="AU77">
        <v>467856707</v>
      </c>
      <c r="AV77" s="1" t="s">
        <v>2917</v>
      </c>
      <c r="AW77" s="1" t="s">
        <v>2998</v>
      </c>
      <c r="AX77" s="1" t="s">
        <v>2881</v>
      </c>
      <c r="AY77">
        <v>621287382</v>
      </c>
      <c r="AZ77" s="1" t="s">
        <v>2882</v>
      </c>
      <c r="BA77">
        <v>784179654</v>
      </c>
      <c r="BB77" s="1" t="s">
        <v>2977</v>
      </c>
      <c r="BC77" s="1" t="s">
        <v>2978</v>
      </c>
      <c r="BD77">
        <v>34</v>
      </c>
      <c r="BE77">
        <v>467856700</v>
      </c>
      <c r="BF77">
        <v>43.5797119140625</v>
      </c>
      <c r="BG77">
        <v>3.8761138916015598</v>
      </c>
      <c r="BH77">
        <v>451647903</v>
      </c>
      <c r="BI77">
        <v>819</v>
      </c>
      <c r="BJ77" s="2">
        <v>38938</v>
      </c>
      <c r="BK77" s="1" t="s">
        <v>3306</v>
      </c>
      <c r="BL77" s="1" t="s">
        <v>290</v>
      </c>
      <c r="BM77" s="1" t="s">
        <v>291</v>
      </c>
      <c r="BN77" s="1" t="s">
        <v>292</v>
      </c>
      <c r="BO77" s="1" t="s">
        <v>291</v>
      </c>
      <c r="BP77" s="1" t="s">
        <v>293</v>
      </c>
      <c r="BQ77" s="1" t="s">
        <v>294</v>
      </c>
      <c r="BR77">
        <v>80</v>
      </c>
      <c r="BS77">
        <v>39454184.420000002</v>
      </c>
      <c r="BT77" s="1" t="s">
        <v>295</v>
      </c>
      <c r="BU77" s="1" t="s">
        <v>817</v>
      </c>
      <c r="BV77">
        <v>596443</v>
      </c>
      <c r="BW77">
        <v>1.0885266416902847E-2</v>
      </c>
      <c r="BX77">
        <v>77.113997494560607</v>
      </c>
      <c r="BY77">
        <v>5.6428320256697724</v>
      </c>
      <c r="BZ77">
        <v>9.5425204940550756</v>
      </c>
      <c r="CA77">
        <v>92.299350014285466</v>
      </c>
      <c r="CB77" s="1" t="s">
        <v>476</v>
      </c>
      <c r="CC77">
        <v>1</v>
      </c>
      <c r="CD77" s="1" t="s">
        <v>361</v>
      </c>
      <c r="CE77" s="1" t="s">
        <v>402</v>
      </c>
      <c r="CF77">
        <v>1106</v>
      </c>
      <c r="CG77" s="1" t="s">
        <v>362</v>
      </c>
      <c r="CH77" s="1" t="s">
        <v>363</v>
      </c>
      <c r="CI77" s="1" t="s">
        <v>364</v>
      </c>
      <c r="CJ77" s="1" t="s">
        <v>363</v>
      </c>
      <c r="CK77" s="1" t="s">
        <v>364</v>
      </c>
      <c r="CL77" s="1" t="s">
        <v>2673</v>
      </c>
      <c r="CM77">
        <v>3601651111007</v>
      </c>
      <c r="CO77" s="1"/>
      <c r="CP77" s="1" t="s">
        <v>444</v>
      </c>
      <c r="CQ77" s="1" t="s">
        <v>406</v>
      </c>
      <c r="CR77" s="1" t="s">
        <v>407</v>
      </c>
      <c r="CS77">
        <v>7642</v>
      </c>
      <c r="CT77">
        <v>5900</v>
      </c>
      <c r="CU77" t="s">
        <v>477</v>
      </c>
      <c r="CV77" s="1" t="s">
        <v>478</v>
      </c>
      <c r="CW77" s="1" t="s">
        <v>308</v>
      </c>
      <c r="CY77">
        <v>2529</v>
      </c>
      <c r="CZ77" t="s">
        <v>368</v>
      </c>
      <c r="DA77" s="1" t="s">
        <v>309</v>
      </c>
      <c r="DB77">
        <v>3337</v>
      </c>
      <c r="DC77">
        <v>1742</v>
      </c>
      <c r="DD77">
        <v>84</v>
      </c>
      <c r="DE77">
        <v>1375</v>
      </c>
      <c r="DF77">
        <v>429</v>
      </c>
      <c r="DG77">
        <v>1313</v>
      </c>
      <c r="DH77">
        <v>0</v>
      </c>
      <c r="DI77">
        <v>0</v>
      </c>
      <c r="DJ77">
        <v>0</v>
      </c>
      <c r="DK77" s="1" t="s">
        <v>369</v>
      </c>
      <c r="DL77" s="1" t="s">
        <v>370</v>
      </c>
      <c r="DN77" s="1"/>
      <c r="DO77">
        <v>1000</v>
      </c>
      <c r="DP77">
        <v>0</v>
      </c>
      <c r="DQ77">
        <v>1200</v>
      </c>
      <c r="DR77" s="1" t="s">
        <v>790</v>
      </c>
      <c r="DS77">
        <v>651</v>
      </c>
      <c r="DT77">
        <v>115</v>
      </c>
      <c r="DU77">
        <v>420</v>
      </c>
      <c r="DV77">
        <v>423</v>
      </c>
      <c r="DW77" s="1" t="s">
        <v>371</v>
      </c>
      <c r="DX77">
        <v>18</v>
      </c>
      <c r="DZ77">
        <v>2</v>
      </c>
      <c r="EA77">
        <v>2</v>
      </c>
      <c r="EB77">
        <v>12</v>
      </c>
      <c r="EC77">
        <v>2</v>
      </c>
      <c r="ED77">
        <v>2</v>
      </c>
      <c r="EE77">
        <v>0</v>
      </c>
      <c r="EF77">
        <v>18</v>
      </c>
      <c r="EG77">
        <v>2012</v>
      </c>
      <c r="EI77" s="1"/>
      <c r="EJ77" s="1" t="s">
        <v>313</v>
      </c>
      <c r="EK77" s="1" t="s">
        <v>314</v>
      </c>
      <c r="EL77">
        <v>42</v>
      </c>
      <c r="EM77">
        <v>37</v>
      </c>
      <c r="EN77">
        <v>17</v>
      </c>
      <c r="EO77" s="1" t="s">
        <v>315</v>
      </c>
      <c r="EP77">
        <v>29</v>
      </c>
      <c r="EQ77">
        <v>77.62832226647221</v>
      </c>
      <c r="ER77" s="1" t="s">
        <v>316</v>
      </c>
      <c r="ES77">
        <v>6.8697630324311705</v>
      </c>
      <c r="ET77">
        <v>0</v>
      </c>
      <c r="EU77" s="1"/>
      <c r="EV77">
        <v>89.405058893497085</v>
      </c>
      <c r="EW77">
        <v>2</v>
      </c>
      <c r="EX77" t="s">
        <v>481</v>
      </c>
      <c r="EY77">
        <v>2</v>
      </c>
      <c r="EZ77" s="1" t="s">
        <v>412</v>
      </c>
      <c r="FA77" s="2">
        <v>44197</v>
      </c>
      <c r="FB77" s="1" t="s">
        <v>791</v>
      </c>
      <c r="FC77">
        <v>1</v>
      </c>
      <c r="FD77" s="1"/>
      <c r="FE77" s="2">
        <v>41640</v>
      </c>
      <c r="FF77" s="1" t="s">
        <v>1022</v>
      </c>
      <c r="FG77" s="1" t="s">
        <v>322</v>
      </c>
      <c r="FH77" s="1" t="s">
        <v>322</v>
      </c>
      <c r="FI77" s="1" t="s">
        <v>322</v>
      </c>
      <c r="FJ77" s="1" t="s">
        <v>322</v>
      </c>
      <c r="FK77" s="1" t="s">
        <v>1143</v>
      </c>
      <c r="FL77">
        <v>18.97</v>
      </c>
      <c r="FM77">
        <v>8683.2731884057994</v>
      </c>
      <c r="FN77" s="1" t="s">
        <v>321</v>
      </c>
      <c r="FO77" s="1" t="s">
        <v>322</v>
      </c>
      <c r="FP77" s="1" t="s">
        <v>323</v>
      </c>
      <c r="FQ77" s="1" t="s">
        <v>324</v>
      </c>
      <c r="FR77" s="1" t="s">
        <v>325</v>
      </c>
      <c r="FS77" s="1"/>
      <c r="FT77" s="1" t="s">
        <v>666</v>
      </c>
      <c r="FV77" s="1" t="s">
        <v>319</v>
      </c>
      <c r="FW77" s="1" t="s">
        <v>322</v>
      </c>
      <c r="FX77" s="1" t="s">
        <v>322</v>
      </c>
      <c r="FY77" s="1" t="s">
        <v>322</v>
      </c>
      <c r="FZ77" s="1" t="s">
        <v>322</v>
      </c>
      <c r="GA77" s="1" t="s">
        <v>322</v>
      </c>
      <c r="GB77" s="1" t="s">
        <v>322</v>
      </c>
      <c r="GC77" s="1" t="s">
        <v>322</v>
      </c>
      <c r="GD77" s="1" t="s">
        <v>322</v>
      </c>
      <c r="GE77" s="1" t="s">
        <v>319</v>
      </c>
      <c r="GF77" s="1" t="s">
        <v>415</v>
      </c>
      <c r="GG77" s="1"/>
      <c r="GH77" s="1" t="s">
        <v>322</v>
      </c>
      <c r="GI77" s="1" t="s">
        <v>375</v>
      </c>
      <c r="GJ77" s="1" t="s">
        <v>322</v>
      </c>
      <c r="GK77" s="2">
        <v>42005</v>
      </c>
      <c r="GL77" s="1" t="s">
        <v>322</v>
      </c>
      <c r="GM77" s="1" t="s">
        <v>322</v>
      </c>
      <c r="GN77">
        <v>42989</v>
      </c>
      <c r="GO77" s="1" t="s">
        <v>319</v>
      </c>
      <c r="GQ77" s="1"/>
      <c r="GR77" s="1"/>
      <c r="GS77" s="1"/>
      <c r="GT77" s="1" t="s">
        <v>322</v>
      </c>
      <c r="GU77" s="1" t="s">
        <v>2979</v>
      </c>
      <c r="GV77" s="1" t="s">
        <v>322</v>
      </c>
      <c r="GW77" s="1" t="s">
        <v>322</v>
      </c>
      <c r="GX77" s="1" t="s">
        <v>319</v>
      </c>
      <c r="GY77" s="1" t="s">
        <v>319</v>
      </c>
      <c r="GZ77" s="1" t="s">
        <v>319</v>
      </c>
      <c r="HA77" s="2">
        <v>44063</v>
      </c>
      <c r="HB77" s="2">
        <v>42674</v>
      </c>
      <c r="HC77" s="1"/>
      <c r="HD77" s="1" t="s">
        <v>322</v>
      </c>
      <c r="HE77" s="1"/>
      <c r="HF77" s="1"/>
      <c r="HG77" s="1"/>
      <c r="HH77" s="1"/>
      <c r="HI77" s="1" t="s">
        <v>322</v>
      </c>
      <c r="HJ77" s="1" t="s">
        <v>794</v>
      </c>
      <c r="HK77" s="2">
        <v>42736</v>
      </c>
      <c r="HL77" s="1" t="s">
        <v>322</v>
      </c>
      <c r="HM77" s="1" t="s">
        <v>322</v>
      </c>
      <c r="HN77" s="1" t="s">
        <v>322</v>
      </c>
      <c r="HO77" s="1"/>
      <c r="HP77" s="1"/>
      <c r="HQ77" s="1"/>
      <c r="HR77" s="1"/>
      <c r="HS77" s="1"/>
      <c r="HT77" s="1"/>
      <c r="HU77" s="1" t="s">
        <v>331</v>
      </c>
      <c r="HV77">
        <v>4624434011</v>
      </c>
      <c r="HW77">
        <v>40639054</v>
      </c>
      <c r="HX77">
        <v>99102570900</v>
      </c>
      <c r="HY77" s="1" t="s">
        <v>2980</v>
      </c>
      <c r="HZ77">
        <v>4310169</v>
      </c>
      <c r="IA77">
        <v>4321310</v>
      </c>
      <c r="IB77" s="1" t="s">
        <v>2981</v>
      </c>
      <c r="IC77">
        <v>830175</v>
      </c>
      <c r="ID77" s="1" t="s">
        <v>2982</v>
      </c>
      <c r="IE77">
        <v>6.03</v>
      </c>
      <c r="IF77">
        <v>6.36</v>
      </c>
      <c r="IG77">
        <v>7.01</v>
      </c>
      <c r="IH77">
        <v>6.18</v>
      </c>
      <c r="II77">
        <v>6.3</v>
      </c>
      <c r="IJ77">
        <v>5.29</v>
      </c>
      <c r="IK77">
        <v>5.29</v>
      </c>
    </row>
    <row r="78" spans="1:245" x14ac:dyDescent="0.3">
      <c r="A78">
        <v>1760</v>
      </c>
      <c r="B78">
        <v>2375</v>
      </c>
      <c r="C78" s="1" t="s">
        <v>2527</v>
      </c>
      <c r="D78" s="1" t="s">
        <v>2414</v>
      </c>
      <c r="E78" t="s">
        <v>3275</v>
      </c>
      <c r="F78" s="1" t="s">
        <v>2415</v>
      </c>
      <c r="G78" s="1" t="s">
        <v>2416</v>
      </c>
      <c r="H78">
        <v>782575744</v>
      </c>
      <c r="I78" s="1" t="s">
        <v>2528</v>
      </c>
      <c r="J78" s="1" t="s">
        <v>2529</v>
      </c>
      <c r="L78">
        <v>44067</v>
      </c>
      <c r="M78" s="1" t="s">
        <v>2530</v>
      </c>
      <c r="N78" s="1" t="s">
        <v>2531</v>
      </c>
      <c r="O78">
        <v>298798744</v>
      </c>
      <c r="P78" s="1" t="s">
        <v>273</v>
      </c>
      <c r="Q78" s="1" t="s">
        <v>2634</v>
      </c>
      <c r="R78" s="1" t="s">
        <v>2572</v>
      </c>
      <c r="S78" s="1" t="s">
        <v>524</v>
      </c>
      <c r="T78" s="1"/>
      <c r="V78" s="1"/>
      <c r="W78" s="1" t="s">
        <v>2634</v>
      </c>
      <c r="X78" s="1" t="s">
        <v>2638</v>
      </c>
      <c r="Y78" s="1" t="s">
        <v>2532</v>
      </c>
      <c r="Z78" s="1" t="s">
        <v>2533</v>
      </c>
      <c r="AA78">
        <v>298798720</v>
      </c>
      <c r="AB78" s="1" t="s">
        <v>2460</v>
      </c>
      <c r="AC78" s="1" t="s">
        <v>2534</v>
      </c>
      <c r="AD78" s="1" t="s">
        <v>2535</v>
      </c>
      <c r="AE78" s="1" t="s">
        <v>2536</v>
      </c>
      <c r="AF78">
        <v>298798724</v>
      </c>
      <c r="AG78" s="1" t="s">
        <v>2417</v>
      </c>
      <c r="AH78" s="1" t="s">
        <v>2466</v>
      </c>
      <c r="AI78" s="1" t="s">
        <v>2537</v>
      </c>
      <c r="AJ78" s="1" t="s">
        <v>2538</v>
      </c>
      <c r="AK78">
        <v>298798726</v>
      </c>
      <c r="AL78" s="1" t="s">
        <v>2480</v>
      </c>
      <c r="AM78" s="1" t="s">
        <v>2619</v>
      </c>
      <c r="AN78" s="1" t="s">
        <v>524</v>
      </c>
      <c r="AO78" s="1"/>
      <c r="AQ78" s="1" t="s">
        <v>2570</v>
      </c>
      <c r="AR78" s="1" t="s">
        <v>2646</v>
      </c>
      <c r="AS78" s="1" t="s">
        <v>2539</v>
      </c>
      <c r="AT78" s="1" t="s">
        <v>2540</v>
      </c>
      <c r="AU78">
        <v>296798887</v>
      </c>
      <c r="AV78" s="1" t="s">
        <v>2611</v>
      </c>
      <c r="AW78" s="1" t="s">
        <v>2625</v>
      </c>
      <c r="AX78" s="1" t="s">
        <v>2429</v>
      </c>
      <c r="AY78">
        <v>624644369</v>
      </c>
      <c r="AZ78" s="1" t="s">
        <v>2430</v>
      </c>
      <c r="BB78" s="1" t="s">
        <v>2541</v>
      </c>
      <c r="BC78" s="1" t="s">
        <v>2542</v>
      </c>
      <c r="BD78">
        <v>29</v>
      </c>
      <c r="BE78">
        <v>298798720</v>
      </c>
      <c r="BF78">
        <v>48.5748291015625</v>
      </c>
      <c r="BG78">
        <v>-3.7094497680664</v>
      </c>
      <c r="BH78">
        <v>451647903</v>
      </c>
      <c r="BI78">
        <v>66</v>
      </c>
      <c r="BJ78" s="2">
        <v>37468</v>
      </c>
      <c r="BK78" s="1" t="s">
        <v>3318</v>
      </c>
      <c r="BL78" s="1" t="s">
        <v>290</v>
      </c>
      <c r="BM78" s="1" t="s">
        <v>291</v>
      </c>
      <c r="BN78" s="1" t="s">
        <v>292</v>
      </c>
      <c r="BO78" s="1" t="s">
        <v>291</v>
      </c>
      <c r="BP78" s="1" t="s">
        <v>293</v>
      </c>
      <c r="BQ78" s="1" t="s">
        <v>294</v>
      </c>
      <c r="BR78">
        <v>80</v>
      </c>
      <c r="BS78">
        <v>18492559.800000001</v>
      </c>
      <c r="BT78" s="1" t="s">
        <v>295</v>
      </c>
      <c r="BU78" s="1" t="s">
        <v>663</v>
      </c>
      <c r="BV78">
        <v>260024</v>
      </c>
      <c r="BW78">
        <v>1.2557986958695855E-2</v>
      </c>
      <c r="BX78">
        <v>45.971385244280299</v>
      </c>
      <c r="BY78">
        <v>6.6715072196215459</v>
      </c>
      <c r="BZ78">
        <v>5.0768142458407501</v>
      </c>
      <c r="CA78">
        <v>57.719706709742596</v>
      </c>
      <c r="CB78" s="1" t="s">
        <v>360</v>
      </c>
      <c r="CC78">
        <v>1</v>
      </c>
      <c r="CD78" s="1" t="s">
        <v>298</v>
      </c>
      <c r="CE78" s="1" t="s">
        <v>361</v>
      </c>
      <c r="CF78">
        <v>1101</v>
      </c>
      <c r="CG78" s="1" t="s">
        <v>300</v>
      </c>
      <c r="CH78" s="1" t="s">
        <v>403</v>
      </c>
      <c r="CI78" s="1" t="s">
        <v>404</v>
      </c>
      <c r="CJ78" s="1" t="s">
        <v>301</v>
      </c>
      <c r="CK78" s="1" t="s">
        <v>302</v>
      </c>
      <c r="CL78" s="1" t="s">
        <v>527</v>
      </c>
      <c r="CM78">
        <v>3601651112004</v>
      </c>
      <c r="CO78" s="1" t="s">
        <v>1747</v>
      </c>
      <c r="CP78" s="1" t="s">
        <v>405</v>
      </c>
      <c r="CQ78" s="1" t="s">
        <v>305</v>
      </c>
      <c r="CR78" s="1" t="s">
        <v>306</v>
      </c>
      <c r="CS78">
        <v>4325</v>
      </c>
      <c r="CT78">
        <v>2100</v>
      </c>
      <c r="CU78">
        <v>2500</v>
      </c>
      <c r="CV78" s="1" t="s">
        <v>584</v>
      </c>
      <c r="CW78" s="1" t="s">
        <v>308</v>
      </c>
      <c r="CY78">
        <v>2217</v>
      </c>
      <c r="CZ78" t="s">
        <v>368</v>
      </c>
      <c r="DA78" s="1" t="s">
        <v>309</v>
      </c>
      <c r="DB78">
        <v>2225</v>
      </c>
      <c r="DC78">
        <v>2225</v>
      </c>
      <c r="DD78">
        <v>48</v>
      </c>
      <c r="DE78">
        <v>0</v>
      </c>
      <c r="DF78">
        <v>1000</v>
      </c>
      <c r="DG78">
        <v>1225</v>
      </c>
      <c r="DH78">
        <v>0</v>
      </c>
      <c r="DI78">
        <v>0</v>
      </c>
      <c r="DJ78">
        <v>0</v>
      </c>
      <c r="DK78" s="1" t="s">
        <v>557</v>
      </c>
      <c r="DL78" s="1" t="s">
        <v>741</v>
      </c>
      <c r="DM78">
        <v>200</v>
      </c>
      <c r="DN78" s="1"/>
      <c r="DO78">
        <v>800</v>
      </c>
      <c r="DP78">
        <v>0</v>
      </c>
      <c r="DQ78">
        <v>800</v>
      </c>
      <c r="DR78" s="1"/>
      <c r="DS78">
        <v>345</v>
      </c>
      <c r="DT78">
        <v>67</v>
      </c>
      <c r="DU78">
        <v>180</v>
      </c>
      <c r="DV78">
        <v>180</v>
      </c>
      <c r="DW78" s="1" t="s">
        <v>371</v>
      </c>
      <c r="DX78">
        <v>19</v>
      </c>
      <c r="DY78">
        <v>2017</v>
      </c>
      <c r="DZ78">
        <v>2</v>
      </c>
      <c r="EA78">
        <v>2</v>
      </c>
      <c r="EB78">
        <v>7</v>
      </c>
      <c r="EC78">
        <v>2</v>
      </c>
      <c r="ED78">
        <v>0</v>
      </c>
      <c r="EE78">
        <v>0</v>
      </c>
      <c r="EF78">
        <v>11</v>
      </c>
      <c r="EG78">
        <v>2010</v>
      </c>
      <c r="EI78" s="1"/>
      <c r="EJ78" s="1" t="s">
        <v>313</v>
      </c>
      <c r="EK78" s="1" t="s">
        <v>314</v>
      </c>
      <c r="EL78">
        <v>21</v>
      </c>
      <c r="EM78">
        <v>16</v>
      </c>
      <c r="EN78">
        <v>12</v>
      </c>
      <c r="EO78" s="1" t="s">
        <v>315</v>
      </c>
      <c r="EP78">
        <v>20</v>
      </c>
      <c r="EQ78">
        <v>94.053600698120789</v>
      </c>
      <c r="ER78" s="1" t="s">
        <v>316</v>
      </c>
      <c r="ES78">
        <v>3.503742982933487</v>
      </c>
      <c r="ET78">
        <v>0</v>
      </c>
      <c r="EU78" s="1"/>
      <c r="EV78">
        <v>105.33127342443795</v>
      </c>
      <c r="EW78">
        <v>3</v>
      </c>
      <c r="EX78" t="s">
        <v>481</v>
      </c>
      <c r="EY78">
        <v>3</v>
      </c>
      <c r="EZ78" s="1" t="s">
        <v>412</v>
      </c>
      <c r="FA78" s="2">
        <v>43292</v>
      </c>
      <c r="FB78" s="1" t="s">
        <v>791</v>
      </c>
      <c r="FC78">
        <v>1</v>
      </c>
      <c r="FD78" s="1"/>
      <c r="FE78" s="2"/>
      <c r="FF78" s="1"/>
      <c r="FG78" s="1" t="s">
        <v>322</v>
      </c>
      <c r="FH78" s="1" t="s">
        <v>319</v>
      </c>
      <c r="FI78" s="1" t="s">
        <v>319</v>
      </c>
      <c r="FJ78" s="1" t="s">
        <v>319</v>
      </c>
      <c r="FK78" s="1" t="s">
        <v>373</v>
      </c>
      <c r="FL78">
        <v>18.59</v>
      </c>
      <c r="FM78">
        <v>4182.3051565377527</v>
      </c>
      <c r="FN78" s="1" t="s">
        <v>321</v>
      </c>
      <c r="FO78" s="1" t="s">
        <v>319</v>
      </c>
      <c r="FP78" s="1" t="s">
        <v>323</v>
      </c>
      <c r="FQ78" s="1" t="s">
        <v>559</v>
      </c>
      <c r="FR78" s="1" t="s">
        <v>325</v>
      </c>
      <c r="FS78" s="1" t="s">
        <v>374</v>
      </c>
      <c r="FT78" s="1" t="s">
        <v>326</v>
      </c>
      <c r="FU78">
        <v>494198191</v>
      </c>
      <c r="FV78" s="1" t="s">
        <v>319</v>
      </c>
      <c r="FW78" s="1" t="s">
        <v>322</v>
      </c>
      <c r="FX78" s="1" t="s">
        <v>322</v>
      </c>
      <c r="FY78" s="1" t="s">
        <v>322</v>
      </c>
      <c r="FZ78" s="1" t="s">
        <v>322</v>
      </c>
      <c r="GA78" s="1" t="s">
        <v>322</v>
      </c>
      <c r="GB78" s="1" t="s">
        <v>319</v>
      </c>
      <c r="GC78" s="1" t="s">
        <v>322</v>
      </c>
      <c r="GD78" s="1" t="s">
        <v>319</v>
      </c>
      <c r="GE78" s="1" t="s">
        <v>319</v>
      </c>
      <c r="GF78" s="1" t="s">
        <v>327</v>
      </c>
      <c r="GG78" s="1"/>
      <c r="GH78" s="1" t="s">
        <v>319</v>
      </c>
      <c r="GI78" s="1" t="s">
        <v>2544</v>
      </c>
      <c r="GJ78" s="1" t="s">
        <v>322</v>
      </c>
      <c r="GK78" s="2">
        <v>42005</v>
      </c>
      <c r="GL78" s="1" t="s">
        <v>322</v>
      </c>
      <c r="GM78" s="1" t="s">
        <v>322</v>
      </c>
      <c r="GN78">
        <v>43055</v>
      </c>
      <c r="GO78" s="1" t="s">
        <v>322</v>
      </c>
      <c r="GP78">
        <v>43299</v>
      </c>
      <c r="GQ78" s="1" t="s">
        <v>2545</v>
      </c>
      <c r="GR78" s="1" t="s">
        <v>322</v>
      </c>
      <c r="GS78" s="1" t="s">
        <v>448</v>
      </c>
      <c r="GT78" s="1" t="s">
        <v>322</v>
      </c>
      <c r="GU78" s="1" t="s">
        <v>2546</v>
      </c>
      <c r="GV78" s="1" t="s">
        <v>322</v>
      </c>
      <c r="GW78" s="1" t="s">
        <v>322</v>
      </c>
      <c r="GX78" s="1" t="s">
        <v>319</v>
      </c>
      <c r="GY78" s="1" t="s">
        <v>319</v>
      </c>
      <c r="GZ78" s="1" t="s">
        <v>319</v>
      </c>
      <c r="HA78" s="2">
        <v>44085</v>
      </c>
      <c r="HB78" s="2">
        <v>42653</v>
      </c>
      <c r="HC78" s="1"/>
      <c r="HD78" s="1"/>
      <c r="HE78" s="1"/>
      <c r="HF78" s="1"/>
      <c r="HG78" s="1"/>
      <c r="HH78" s="1"/>
      <c r="HI78" s="1" t="s">
        <v>322</v>
      </c>
      <c r="HJ78" s="1" t="s">
        <v>330</v>
      </c>
      <c r="HK78" s="2"/>
      <c r="HL78" s="1"/>
      <c r="HM78" s="1" t="s">
        <v>322</v>
      </c>
      <c r="HN78" s="1" t="s">
        <v>322</v>
      </c>
      <c r="HO78" s="1"/>
      <c r="HP78" s="1"/>
      <c r="HQ78" s="1"/>
      <c r="HR78" s="1"/>
      <c r="HS78" s="1"/>
      <c r="HT78" s="1"/>
      <c r="HU78" s="1" t="s">
        <v>331</v>
      </c>
      <c r="HV78">
        <v>4621970014</v>
      </c>
      <c r="HW78">
        <v>40638860</v>
      </c>
      <c r="HX78">
        <v>99102569987</v>
      </c>
      <c r="HY78" s="1" t="s">
        <v>2547</v>
      </c>
      <c r="HZ78">
        <v>4320763</v>
      </c>
      <c r="IA78">
        <v>4321083</v>
      </c>
      <c r="IB78" s="1" t="s">
        <v>2548</v>
      </c>
      <c r="IC78">
        <v>830075</v>
      </c>
      <c r="ID78" s="1" t="s">
        <v>2549</v>
      </c>
      <c r="IE78">
        <v>4.84</v>
      </c>
      <c r="IF78">
        <v>4.09</v>
      </c>
      <c r="IG78">
        <v>4.0599999999999996</v>
      </c>
      <c r="IH78">
        <v>4.58</v>
      </c>
      <c r="II78">
        <v>4.0199999999999996</v>
      </c>
      <c r="IJ78">
        <v>4.9800000000000004</v>
      </c>
      <c r="IK78">
        <v>4.9800000000000004</v>
      </c>
    </row>
    <row r="79" spans="1:245" x14ac:dyDescent="0.3">
      <c r="A79">
        <v>1935</v>
      </c>
      <c r="B79">
        <v>2436</v>
      </c>
      <c r="C79" s="1" t="s">
        <v>1126</v>
      </c>
      <c r="D79" s="1" t="s">
        <v>1103</v>
      </c>
      <c r="E79" t="s">
        <v>3275</v>
      </c>
      <c r="F79" s="1" t="s">
        <v>927</v>
      </c>
      <c r="G79" s="1" t="s">
        <v>928</v>
      </c>
      <c r="H79">
        <v>603611633</v>
      </c>
      <c r="I79" s="1" t="s">
        <v>1127</v>
      </c>
      <c r="J79" s="1" t="s">
        <v>1128</v>
      </c>
      <c r="K79">
        <v>617345671</v>
      </c>
      <c r="L79">
        <v>44599</v>
      </c>
      <c r="M79" s="1" t="s">
        <v>524</v>
      </c>
      <c r="N79" s="1"/>
      <c r="P79" s="1"/>
      <c r="Q79" s="1" t="s">
        <v>929</v>
      </c>
      <c r="R79" s="1" t="s">
        <v>931</v>
      </c>
      <c r="S79" s="1" t="s">
        <v>1129</v>
      </c>
      <c r="T79" s="1" t="s">
        <v>1130</v>
      </c>
      <c r="U79">
        <v>642121144</v>
      </c>
      <c r="V79" s="1" t="s">
        <v>276</v>
      </c>
      <c r="W79" s="1" t="s">
        <v>1180</v>
      </c>
      <c r="X79" s="1" t="s">
        <v>1007</v>
      </c>
      <c r="Y79" s="1" t="s">
        <v>1131</v>
      </c>
      <c r="Z79" s="1" t="s">
        <v>1132</v>
      </c>
      <c r="AA79">
        <v>470342805</v>
      </c>
      <c r="AB79" s="1" t="s">
        <v>1104</v>
      </c>
      <c r="AC79" s="1" t="s">
        <v>1058</v>
      </c>
      <c r="AD79" s="1" t="s">
        <v>1133</v>
      </c>
      <c r="AE79" s="1" t="s">
        <v>1134</v>
      </c>
      <c r="AF79">
        <v>470342800</v>
      </c>
      <c r="AG79" s="1" t="s">
        <v>956</v>
      </c>
      <c r="AH79" s="1" t="s">
        <v>937</v>
      </c>
      <c r="AI79" s="1" t="s">
        <v>1135</v>
      </c>
      <c r="AJ79" s="1" t="s">
        <v>1136</v>
      </c>
      <c r="AK79">
        <v>470342804</v>
      </c>
      <c r="AL79" s="1" t="s">
        <v>1003</v>
      </c>
      <c r="AM79" s="1" t="s">
        <v>1190</v>
      </c>
      <c r="AN79" s="1" t="s">
        <v>1137</v>
      </c>
      <c r="AO79" s="1" t="s">
        <v>1138</v>
      </c>
      <c r="AP79">
        <v>470342802</v>
      </c>
      <c r="AQ79" s="1" t="s">
        <v>992</v>
      </c>
      <c r="AR79" s="1" t="s">
        <v>1087</v>
      </c>
      <c r="AS79" s="1" t="s">
        <v>1139</v>
      </c>
      <c r="AT79" s="1" t="s">
        <v>1140</v>
      </c>
      <c r="AU79">
        <v>470342807</v>
      </c>
      <c r="AV79" s="1" t="s">
        <v>1204</v>
      </c>
      <c r="AW79" s="1" t="s">
        <v>1216</v>
      </c>
      <c r="AX79" s="1" t="s">
        <v>945</v>
      </c>
      <c r="AY79">
        <v>770016945</v>
      </c>
      <c r="AZ79" s="1" t="s">
        <v>946</v>
      </c>
      <c r="BA79">
        <v>629385389</v>
      </c>
      <c r="BB79" s="1" t="s">
        <v>1141</v>
      </c>
      <c r="BC79" s="1" t="s">
        <v>1142</v>
      </c>
      <c r="BD79">
        <v>3</v>
      </c>
      <c r="BE79">
        <v>470342800</v>
      </c>
      <c r="BF79">
        <v>46.5029285892468</v>
      </c>
      <c r="BG79">
        <v>3.3608910441398598</v>
      </c>
      <c r="BH79">
        <v>451647903</v>
      </c>
      <c r="BI79">
        <v>1262</v>
      </c>
      <c r="BJ79" s="2">
        <v>41600</v>
      </c>
      <c r="BK79" s="1" t="s">
        <v>3296</v>
      </c>
      <c r="BL79" s="1" t="s">
        <v>290</v>
      </c>
      <c r="BM79" s="1" t="s">
        <v>291</v>
      </c>
      <c r="BN79" s="1" t="s">
        <v>292</v>
      </c>
      <c r="BO79" s="1" t="s">
        <v>291</v>
      </c>
      <c r="BP79" s="1" t="s">
        <v>293</v>
      </c>
      <c r="BQ79" s="1" t="s">
        <v>294</v>
      </c>
      <c r="BR79">
        <v>80</v>
      </c>
      <c r="BS79">
        <v>20013214.379999999</v>
      </c>
      <c r="BT79" s="1" t="s">
        <v>295</v>
      </c>
      <c r="BU79" s="1" t="s">
        <v>359</v>
      </c>
      <c r="BV79">
        <v>240723</v>
      </c>
      <c r="BW79">
        <v>1.0514299041671785E-2</v>
      </c>
      <c r="BX79">
        <v>41.914221665457902</v>
      </c>
      <c r="BY79">
        <v>8.0547405551526303</v>
      </c>
      <c r="BZ79">
        <v>3.7709687699171446</v>
      </c>
      <c r="CA79">
        <v>53.739930990527682</v>
      </c>
      <c r="CB79" s="1" t="s">
        <v>443</v>
      </c>
      <c r="CC79">
        <v>1</v>
      </c>
      <c r="CD79" s="1" t="s">
        <v>402</v>
      </c>
      <c r="CE79" s="1" t="s">
        <v>361</v>
      </c>
      <c r="CF79">
        <v>1106</v>
      </c>
      <c r="CG79" s="1" t="s">
        <v>362</v>
      </c>
      <c r="CH79" s="1" t="s">
        <v>972</v>
      </c>
      <c r="CI79" s="1" t="s">
        <v>973</v>
      </c>
      <c r="CJ79" s="1" t="s">
        <v>972</v>
      </c>
      <c r="CK79" s="1" t="s">
        <v>302</v>
      </c>
      <c r="CL79" s="1" t="s">
        <v>974</v>
      </c>
      <c r="CM79">
        <v>3020409000020</v>
      </c>
      <c r="CO79" s="1"/>
      <c r="CP79" s="1" t="s">
        <v>444</v>
      </c>
      <c r="CQ79" s="1" t="s">
        <v>305</v>
      </c>
      <c r="CR79" s="1" t="s">
        <v>306</v>
      </c>
      <c r="CS79">
        <v>6800</v>
      </c>
      <c r="CT79">
        <v>3800</v>
      </c>
      <c r="CU79">
        <v>3000</v>
      </c>
      <c r="CV79" s="1" t="s">
        <v>309</v>
      </c>
      <c r="CW79" s="1" t="s">
        <v>308</v>
      </c>
      <c r="CY79">
        <v>3000</v>
      </c>
      <c r="CZ79">
        <v>3000</v>
      </c>
      <c r="DA79" s="1" t="s">
        <v>309</v>
      </c>
      <c r="DB79">
        <v>3000</v>
      </c>
      <c r="DC79">
        <v>3000</v>
      </c>
      <c r="DD79">
        <v>0</v>
      </c>
      <c r="DE79">
        <v>0</v>
      </c>
      <c r="DF79">
        <v>0</v>
      </c>
      <c r="DG79">
        <v>3000</v>
      </c>
      <c r="DH79">
        <v>0</v>
      </c>
      <c r="DI79">
        <v>0</v>
      </c>
      <c r="DJ79">
        <v>0</v>
      </c>
      <c r="DK79" s="1" t="s">
        <v>310</v>
      </c>
      <c r="DL79" s="1" t="s">
        <v>311</v>
      </c>
      <c r="DN79" s="1"/>
      <c r="DO79">
        <v>800</v>
      </c>
      <c r="DP79">
        <v>800</v>
      </c>
      <c r="DQ79">
        <v>0</v>
      </c>
      <c r="DR79" s="1"/>
      <c r="DS79">
        <v>400</v>
      </c>
      <c r="DT79">
        <v>78</v>
      </c>
      <c r="DU79">
        <v>300</v>
      </c>
      <c r="DV79">
        <v>290</v>
      </c>
      <c r="DW79" s="1" t="s">
        <v>371</v>
      </c>
      <c r="DX79">
        <v>17</v>
      </c>
      <c r="DY79">
        <v>2018</v>
      </c>
      <c r="DZ79">
        <v>2</v>
      </c>
      <c r="EA79">
        <v>2</v>
      </c>
      <c r="EB79">
        <v>8</v>
      </c>
      <c r="EC79">
        <v>2</v>
      </c>
      <c r="ED79">
        <v>0</v>
      </c>
      <c r="EE79">
        <v>1</v>
      </c>
      <c r="EF79">
        <v>13</v>
      </c>
      <c r="EG79">
        <v>2013</v>
      </c>
      <c r="EI79" s="1"/>
      <c r="EJ79" s="1" t="s">
        <v>313</v>
      </c>
      <c r="EK79" s="1" t="s">
        <v>314</v>
      </c>
      <c r="EL79">
        <v>28</v>
      </c>
      <c r="EM79">
        <v>20</v>
      </c>
      <c r="EN79">
        <v>12</v>
      </c>
      <c r="EO79" s="1" t="s">
        <v>315</v>
      </c>
      <c r="EP79">
        <v>27</v>
      </c>
      <c r="EQ79">
        <v>92.030341782622074</v>
      </c>
      <c r="ER79" s="1" t="s">
        <v>316</v>
      </c>
      <c r="ES79">
        <v>1.693809971459302</v>
      </c>
      <c r="ET79">
        <v>0</v>
      </c>
      <c r="EU79" s="1"/>
      <c r="EV79">
        <v>82.432085277686028</v>
      </c>
      <c r="EW79">
        <v>0</v>
      </c>
      <c r="EX79" t="s">
        <v>316</v>
      </c>
      <c r="EY79">
        <v>0</v>
      </c>
      <c r="EZ79" s="1" t="s">
        <v>317</v>
      </c>
      <c r="FA79" s="2"/>
      <c r="FB79" s="1" t="s">
        <v>318</v>
      </c>
      <c r="FC79">
        <v>1</v>
      </c>
      <c r="FD79" s="1"/>
      <c r="FE79" s="2"/>
      <c r="FF79" s="1"/>
      <c r="FG79" s="1" t="s">
        <v>322</v>
      </c>
      <c r="FH79" s="1" t="s">
        <v>319</v>
      </c>
      <c r="FI79" s="1" t="s">
        <v>319</v>
      </c>
      <c r="FJ79" s="1" t="s">
        <v>319</v>
      </c>
      <c r="FK79" s="1" t="s">
        <v>1143</v>
      </c>
      <c r="FL79">
        <v>18.920000000000002</v>
      </c>
      <c r="FM79">
        <v>4265.0784420289856</v>
      </c>
      <c r="FN79" s="1" t="s">
        <v>321</v>
      </c>
      <c r="FO79" s="1" t="s">
        <v>322</v>
      </c>
      <c r="FP79" s="1" t="s">
        <v>323</v>
      </c>
      <c r="FQ79" s="1" t="s">
        <v>324</v>
      </c>
      <c r="FR79" s="1" t="s">
        <v>325</v>
      </c>
      <c r="FS79" s="1"/>
      <c r="FT79" s="1" t="s">
        <v>666</v>
      </c>
      <c r="FV79" s="1" t="s">
        <v>322</v>
      </c>
      <c r="FW79" s="1" t="s">
        <v>322</v>
      </c>
      <c r="FX79" s="1" t="s">
        <v>322</v>
      </c>
      <c r="FY79" s="1"/>
      <c r="FZ79" s="1" t="s">
        <v>319</v>
      </c>
      <c r="GA79" s="1" t="s">
        <v>322</v>
      </c>
      <c r="GB79" s="1" t="s">
        <v>322</v>
      </c>
      <c r="GC79" s="1" t="s">
        <v>322</v>
      </c>
      <c r="GD79" s="1" t="s">
        <v>322</v>
      </c>
      <c r="GE79" s="1" t="s">
        <v>322</v>
      </c>
      <c r="GF79" s="1" t="s">
        <v>415</v>
      </c>
      <c r="GG79" s="1"/>
      <c r="GH79" s="1" t="s">
        <v>322</v>
      </c>
      <c r="GI79" s="1"/>
      <c r="GJ79" s="1" t="s">
        <v>322</v>
      </c>
      <c r="GK79" s="2">
        <v>42005</v>
      </c>
      <c r="GL79" s="1" t="s">
        <v>322</v>
      </c>
      <c r="GM79" s="1" t="s">
        <v>322</v>
      </c>
      <c r="GN79">
        <v>42989</v>
      </c>
      <c r="GO79" s="1" t="s">
        <v>319</v>
      </c>
      <c r="GQ79" s="1"/>
      <c r="GR79" s="1"/>
      <c r="GS79" s="1"/>
      <c r="GT79" s="1" t="s">
        <v>322</v>
      </c>
      <c r="GU79" s="1" t="s">
        <v>1144</v>
      </c>
      <c r="GV79" s="1" t="s">
        <v>322</v>
      </c>
      <c r="GW79" s="1" t="s">
        <v>322</v>
      </c>
      <c r="GX79" s="1" t="s">
        <v>319</v>
      </c>
      <c r="GY79" s="1" t="s">
        <v>319</v>
      </c>
      <c r="GZ79" s="1" t="s">
        <v>319</v>
      </c>
      <c r="HA79" s="2">
        <v>44076</v>
      </c>
      <c r="HB79" s="2">
        <v>42653</v>
      </c>
      <c r="HC79" s="1"/>
      <c r="HD79" s="1"/>
      <c r="HE79" s="1"/>
      <c r="HF79" s="1" t="s">
        <v>322</v>
      </c>
      <c r="HG79" s="1"/>
      <c r="HH79" s="1"/>
      <c r="HI79" s="1" t="s">
        <v>322</v>
      </c>
      <c r="HJ79" s="1" t="s">
        <v>330</v>
      </c>
      <c r="HK79" s="2"/>
      <c r="HL79" s="1"/>
      <c r="HM79" s="1" t="s">
        <v>322</v>
      </c>
      <c r="HN79" s="1" t="s">
        <v>322</v>
      </c>
      <c r="HO79" s="1"/>
      <c r="HP79" s="1"/>
      <c r="HQ79" s="1"/>
      <c r="HR79" s="1"/>
      <c r="HS79" s="1"/>
      <c r="HT79" s="1"/>
      <c r="HU79" s="1" t="s">
        <v>331</v>
      </c>
      <c r="HV79">
        <v>4635950010</v>
      </c>
      <c r="HW79">
        <v>40638095</v>
      </c>
      <c r="HX79">
        <v>99102518536</v>
      </c>
      <c r="HY79" s="1" t="s">
        <v>1145</v>
      </c>
      <c r="HZ79">
        <v>4320886</v>
      </c>
      <c r="IA79">
        <v>4321547</v>
      </c>
      <c r="IB79" s="1" t="s">
        <v>1146</v>
      </c>
      <c r="IC79">
        <v>830223</v>
      </c>
      <c r="ID79" s="1" t="s">
        <v>1147</v>
      </c>
      <c r="IE79">
        <v>3.1</v>
      </c>
      <c r="IF79">
        <v>2.2999999999999998</v>
      </c>
      <c r="IG79">
        <v>3.01</v>
      </c>
      <c r="IH79">
        <v>4.01</v>
      </c>
      <c r="II79">
        <v>5.01</v>
      </c>
      <c r="IJ79">
        <v>6.5550819672131144</v>
      </c>
      <c r="IK79">
        <v>6.56</v>
      </c>
    </row>
    <row r="80" spans="1:245" x14ac:dyDescent="0.3">
      <c r="A80">
        <v>1765</v>
      </c>
      <c r="B80">
        <v>2380</v>
      </c>
      <c r="C80" s="1" t="s">
        <v>1361</v>
      </c>
      <c r="D80" s="1" t="s">
        <v>266</v>
      </c>
      <c r="E80" t="s">
        <v>3275</v>
      </c>
      <c r="F80" s="1" t="s">
        <v>1228</v>
      </c>
      <c r="G80" s="1" t="s">
        <v>1229</v>
      </c>
      <c r="H80">
        <v>624328593</v>
      </c>
      <c r="I80" s="1" t="s">
        <v>1362</v>
      </c>
      <c r="J80" s="1" t="s">
        <v>1363</v>
      </c>
      <c r="K80">
        <v>626906748</v>
      </c>
      <c r="L80">
        <v>42705</v>
      </c>
      <c r="M80" s="1" t="s">
        <v>1364</v>
      </c>
      <c r="N80" s="1" t="s">
        <v>1365</v>
      </c>
      <c r="O80">
        <v>389594166</v>
      </c>
      <c r="P80" s="1" t="s">
        <v>273</v>
      </c>
      <c r="Q80" s="1" t="s">
        <v>1430</v>
      </c>
      <c r="R80" s="1" t="s">
        <v>1389</v>
      </c>
      <c r="S80" s="1" t="s">
        <v>1366</v>
      </c>
      <c r="T80" s="1" t="s">
        <v>1367</v>
      </c>
      <c r="U80">
        <v>389596916</v>
      </c>
      <c r="V80" s="1" t="s">
        <v>276</v>
      </c>
      <c r="W80" s="1" t="s">
        <v>1387</v>
      </c>
      <c r="X80" s="1" t="s">
        <v>1299</v>
      </c>
      <c r="Y80" s="1" t="s">
        <v>1368</v>
      </c>
      <c r="Z80" s="1" t="s">
        <v>1369</v>
      </c>
      <c r="AA80">
        <v>389594166</v>
      </c>
      <c r="AB80" s="1" t="s">
        <v>1255</v>
      </c>
      <c r="AC80" s="1" t="s">
        <v>1259</v>
      </c>
      <c r="AD80" s="1" t="s">
        <v>1370</v>
      </c>
      <c r="AE80" s="1" t="s">
        <v>1371</v>
      </c>
      <c r="AF80">
        <v>389596904</v>
      </c>
      <c r="AG80" s="1" t="s">
        <v>1297</v>
      </c>
      <c r="AH80" s="1" t="s">
        <v>1347</v>
      </c>
      <c r="AI80" s="1" t="s">
        <v>1372</v>
      </c>
      <c r="AJ80" s="1" t="s">
        <v>1373</v>
      </c>
      <c r="AK80">
        <v>386596904</v>
      </c>
      <c r="AL80" s="1" t="s">
        <v>1411</v>
      </c>
      <c r="AM80" s="1" t="s">
        <v>1417</v>
      </c>
      <c r="AN80" s="1" t="s">
        <v>1374</v>
      </c>
      <c r="AO80" s="1" t="s">
        <v>1375</v>
      </c>
      <c r="AP80">
        <v>389596901</v>
      </c>
      <c r="AQ80" s="1" t="s">
        <v>1320</v>
      </c>
      <c r="AR80" s="1" t="s">
        <v>1265</v>
      </c>
      <c r="AS80" s="1" t="s">
        <v>1376</v>
      </c>
      <c r="AT80" s="1" t="s">
        <v>1377</v>
      </c>
      <c r="AU80">
        <v>389596902</v>
      </c>
      <c r="AV80" s="1" t="s">
        <v>1320</v>
      </c>
      <c r="AW80" s="1" t="s">
        <v>1443</v>
      </c>
      <c r="AX80" s="1" t="s">
        <v>1241</v>
      </c>
      <c r="AY80">
        <v>646374590</v>
      </c>
      <c r="AZ80" s="1" t="s">
        <v>1242</v>
      </c>
      <c r="BB80" s="1" t="s">
        <v>1378</v>
      </c>
      <c r="BC80" s="1" t="s">
        <v>1379</v>
      </c>
      <c r="BD80">
        <v>68</v>
      </c>
      <c r="BE80">
        <v>389594166</v>
      </c>
      <c r="BF80">
        <v>47.7376708984375</v>
      </c>
      <c r="BG80">
        <v>7.2848663330078098</v>
      </c>
      <c r="BH80">
        <v>451647903</v>
      </c>
      <c r="BI80">
        <v>33</v>
      </c>
      <c r="BJ80" s="2">
        <v>37386</v>
      </c>
      <c r="BK80" s="1" t="s">
        <v>3289</v>
      </c>
      <c r="BL80" s="1" t="s">
        <v>290</v>
      </c>
      <c r="BM80" s="1" t="s">
        <v>291</v>
      </c>
      <c r="BN80" s="1" t="s">
        <v>292</v>
      </c>
      <c r="BO80" s="1" t="s">
        <v>291</v>
      </c>
      <c r="BP80" s="1" t="s">
        <v>293</v>
      </c>
      <c r="BQ80" s="1" t="s">
        <v>1247</v>
      </c>
      <c r="BR80">
        <v>75</v>
      </c>
      <c r="BS80">
        <v>23972751.300000001</v>
      </c>
      <c r="BT80" s="1" t="s">
        <v>295</v>
      </c>
      <c r="BU80" s="1" t="s">
        <v>296</v>
      </c>
      <c r="BV80">
        <v>413939</v>
      </c>
      <c r="BW80">
        <v>1.0837126573883554E-2</v>
      </c>
      <c r="BX80">
        <v>52.628337838728797</v>
      </c>
      <c r="BY80">
        <v>3.1547383573987378</v>
      </c>
      <c r="BZ80">
        <v>8.0383205863607419</v>
      </c>
      <c r="CA80">
        <v>63.821396782488272</v>
      </c>
      <c r="CB80" s="1" t="s">
        <v>1380</v>
      </c>
      <c r="CC80">
        <v>1</v>
      </c>
      <c r="CD80" s="1" t="s">
        <v>298</v>
      </c>
      <c r="CE80" s="1" t="s">
        <v>299</v>
      </c>
      <c r="CF80">
        <v>1106</v>
      </c>
      <c r="CG80" s="1" t="s">
        <v>362</v>
      </c>
      <c r="CH80" s="1" t="s">
        <v>972</v>
      </c>
      <c r="CI80" s="1" t="s">
        <v>973</v>
      </c>
      <c r="CJ80" s="1" t="s">
        <v>972</v>
      </c>
      <c r="CK80" s="1" t="s">
        <v>302</v>
      </c>
      <c r="CL80" s="1" t="s">
        <v>974</v>
      </c>
      <c r="CM80">
        <v>3020409000020</v>
      </c>
      <c r="CO80" s="1"/>
      <c r="CP80" s="1" t="s">
        <v>304</v>
      </c>
      <c r="CQ80" s="1" t="s">
        <v>406</v>
      </c>
      <c r="CR80" s="1" t="s">
        <v>407</v>
      </c>
      <c r="CS80">
        <v>7632</v>
      </c>
      <c r="CT80">
        <v>4380</v>
      </c>
      <c r="CU80" t="s">
        <v>693</v>
      </c>
      <c r="CV80" s="1" t="s">
        <v>478</v>
      </c>
      <c r="CW80" s="1" t="s">
        <v>308</v>
      </c>
      <c r="CY80">
        <v>3252</v>
      </c>
      <c r="CZ80">
        <v>3000</v>
      </c>
      <c r="DA80" s="1" t="s">
        <v>309</v>
      </c>
      <c r="DB80">
        <v>3252</v>
      </c>
      <c r="DC80">
        <v>3252</v>
      </c>
      <c r="DD80">
        <v>0</v>
      </c>
      <c r="DE80">
        <v>0</v>
      </c>
      <c r="DF80">
        <v>1200</v>
      </c>
      <c r="DG80">
        <v>2052</v>
      </c>
      <c r="DH80">
        <v>0</v>
      </c>
      <c r="DI80">
        <v>0</v>
      </c>
      <c r="DJ80">
        <v>0</v>
      </c>
      <c r="DK80" s="1" t="s">
        <v>557</v>
      </c>
      <c r="DL80" s="1" t="s">
        <v>311</v>
      </c>
      <c r="DN80" s="1"/>
      <c r="DO80">
        <v>767</v>
      </c>
      <c r="DP80">
        <v>0</v>
      </c>
      <c r="DQ80">
        <v>767</v>
      </c>
      <c r="DR80" s="1"/>
      <c r="DS80">
        <v>667</v>
      </c>
      <c r="DT80">
        <v>72</v>
      </c>
      <c r="DU80">
        <v>255</v>
      </c>
      <c r="DV80">
        <v>217</v>
      </c>
      <c r="DW80" s="1" t="s">
        <v>371</v>
      </c>
      <c r="DX80">
        <v>21</v>
      </c>
      <c r="DY80">
        <v>2017</v>
      </c>
      <c r="DZ80">
        <v>2</v>
      </c>
      <c r="EA80">
        <v>2</v>
      </c>
      <c r="EB80">
        <v>10</v>
      </c>
      <c r="EC80">
        <v>2</v>
      </c>
      <c r="ED80">
        <v>0</v>
      </c>
      <c r="EE80">
        <v>0</v>
      </c>
      <c r="EF80">
        <v>14</v>
      </c>
      <c r="EG80">
        <v>2010</v>
      </c>
      <c r="EI80" s="1"/>
      <c r="EJ80" s="1" t="s">
        <v>313</v>
      </c>
      <c r="EK80" s="1" t="s">
        <v>314</v>
      </c>
      <c r="EL80">
        <v>25</v>
      </c>
      <c r="EM80">
        <v>19</v>
      </c>
      <c r="EN80">
        <v>12</v>
      </c>
      <c r="EO80" s="1" t="s">
        <v>315</v>
      </c>
      <c r="EP80">
        <v>19</v>
      </c>
      <c r="EQ80">
        <v>79.372160880445023</v>
      </c>
      <c r="ER80" s="1" t="s">
        <v>411</v>
      </c>
      <c r="ES80">
        <v>3.9952429973378365</v>
      </c>
      <c r="ET80">
        <v>0</v>
      </c>
      <c r="EU80" s="1"/>
      <c r="EV80">
        <v>91.491064639036452</v>
      </c>
      <c r="EW80">
        <v>1</v>
      </c>
      <c r="EX80" t="s">
        <v>481</v>
      </c>
      <c r="EY80">
        <v>1</v>
      </c>
      <c r="EZ80" s="1" t="s">
        <v>1381</v>
      </c>
      <c r="FA80" s="2"/>
      <c r="FB80" s="1" t="s">
        <v>1382</v>
      </c>
      <c r="FC80">
        <v>1</v>
      </c>
      <c r="FD80" s="1"/>
      <c r="FE80" s="2">
        <v>42370</v>
      </c>
      <c r="FF80" s="1"/>
      <c r="FG80" s="1" t="s">
        <v>319</v>
      </c>
      <c r="FH80" s="1" t="s">
        <v>319</v>
      </c>
      <c r="FI80" s="1" t="s">
        <v>319</v>
      </c>
      <c r="FJ80" s="1" t="s">
        <v>319</v>
      </c>
      <c r="FK80" s="1" t="s">
        <v>320</v>
      </c>
      <c r="FL80">
        <v>18.920000000000002</v>
      </c>
      <c r="FM80">
        <v>5797.1840390879479</v>
      </c>
      <c r="FN80" s="1" t="s">
        <v>321</v>
      </c>
      <c r="FO80" s="1" t="s">
        <v>322</v>
      </c>
      <c r="FP80" s="1" t="s">
        <v>323</v>
      </c>
      <c r="FQ80" s="1" t="s">
        <v>559</v>
      </c>
      <c r="FR80" s="1" t="s">
        <v>325</v>
      </c>
      <c r="FS80" s="1"/>
      <c r="FT80" s="1" t="s">
        <v>326</v>
      </c>
      <c r="FU80">
        <v>494198191</v>
      </c>
      <c r="FV80" s="1" t="s">
        <v>322</v>
      </c>
      <c r="FW80" s="1" t="s">
        <v>322</v>
      </c>
      <c r="FX80" s="1" t="s">
        <v>322</v>
      </c>
      <c r="FY80" s="1" t="s">
        <v>322</v>
      </c>
      <c r="FZ80" s="1" t="s">
        <v>322</v>
      </c>
      <c r="GA80" s="1" t="s">
        <v>322</v>
      </c>
      <c r="GB80" s="1" t="s">
        <v>322</v>
      </c>
      <c r="GC80" s="1" t="s">
        <v>322</v>
      </c>
      <c r="GD80" s="1" t="s">
        <v>322</v>
      </c>
      <c r="GE80" s="1" t="s">
        <v>322</v>
      </c>
      <c r="GF80" s="1" t="s">
        <v>327</v>
      </c>
      <c r="GG80" s="1"/>
      <c r="GH80" s="1" t="s">
        <v>322</v>
      </c>
      <c r="GI80" s="1" t="s">
        <v>1025</v>
      </c>
      <c r="GJ80" s="1" t="s">
        <v>322</v>
      </c>
      <c r="GK80" s="2">
        <v>42005</v>
      </c>
      <c r="GL80" s="1" t="s">
        <v>322</v>
      </c>
      <c r="GM80" s="1" t="s">
        <v>322</v>
      </c>
      <c r="GN80">
        <v>43017</v>
      </c>
      <c r="GO80" s="1" t="s">
        <v>319</v>
      </c>
      <c r="GQ80" s="1"/>
      <c r="GR80" s="1"/>
      <c r="GS80" s="1"/>
      <c r="GT80" s="1" t="s">
        <v>322</v>
      </c>
      <c r="GU80" s="1" t="s">
        <v>1069</v>
      </c>
      <c r="GV80" s="1" t="s">
        <v>322</v>
      </c>
      <c r="GW80" s="1" t="s">
        <v>322</v>
      </c>
      <c r="GX80" s="1" t="s">
        <v>319</v>
      </c>
      <c r="GY80" s="1" t="s">
        <v>319</v>
      </c>
      <c r="GZ80" s="1" t="s">
        <v>319</v>
      </c>
      <c r="HA80" s="2">
        <v>44068</v>
      </c>
      <c r="HB80" s="2">
        <v>42667</v>
      </c>
      <c r="HC80" s="1"/>
      <c r="HD80" s="1"/>
      <c r="HE80" s="1"/>
      <c r="HF80" s="1"/>
      <c r="HG80" s="1"/>
      <c r="HH80" s="1"/>
      <c r="HI80" s="1" t="s">
        <v>319</v>
      </c>
      <c r="HJ80" s="1" t="s">
        <v>330</v>
      </c>
      <c r="HK80" s="2"/>
      <c r="HL80" s="1"/>
      <c r="HM80" s="1" t="s">
        <v>322</v>
      </c>
      <c r="HN80" s="1" t="s">
        <v>322</v>
      </c>
      <c r="HO80" s="1"/>
      <c r="HP80" s="1"/>
      <c r="HQ80" s="1"/>
      <c r="HR80" s="1"/>
      <c r="HS80" s="1"/>
      <c r="HT80" s="1"/>
      <c r="HU80" s="1" t="s">
        <v>331</v>
      </c>
      <c r="HV80">
        <v>4621980012</v>
      </c>
      <c r="HW80">
        <v>40638221</v>
      </c>
      <c r="HX80">
        <v>99102565565</v>
      </c>
      <c r="HY80" s="1" t="s">
        <v>1383</v>
      </c>
      <c r="HZ80">
        <v>4319159</v>
      </c>
      <c r="IA80">
        <v>4321619</v>
      </c>
      <c r="IB80" s="1" t="s">
        <v>1384</v>
      </c>
      <c r="IC80">
        <v>830032</v>
      </c>
      <c r="ID80" s="1" t="s">
        <v>1385</v>
      </c>
      <c r="IE80">
        <v>3.54</v>
      </c>
      <c r="IF80">
        <v>3.51</v>
      </c>
      <c r="IG80">
        <v>4.1399999999999997</v>
      </c>
      <c r="IH80">
        <v>4.6500000000000004</v>
      </c>
      <c r="II80">
        <v>4.17</v>
      </c>
      <c r="IJ80">
        <v>2.4900000000000002</v>
      </c>
      <c r="IK80">
        <v>2.4900000000000002</v>
      </c>
    </row>
    <row r="81" spans="1:245" x14ac:dyDescent="0.3">
      <c r="A81">
        <v>1764</v>
      </c>
      <c r="B81">
        <v>2379</v>
      </c>
      <c r="C81" s="1" t="s">
        <v>1386</v>
      </c>
      <c r="D81" s="1" t="s">
        <v>266</v>
      </c>
      <c r="E81" t="s">
        <v>3275</v>
      </c>
      <c r="F81" s="1" t="s">
        <v>1228</v>
      </c>
      <c r="G81" s="1" t="s">
        <v>1229</v>
      </c>
      <c r="H81">
        <v>624328593</v>
      </c>
      <c r="I81" s="1" t="s">
        <v>1387</v>
      </c>
      <c r="J81" s="1" t="s">
        <v>1388</v>
      </c>
      <c r="K81">
        <v>627001073</v>
      </c>
      <c r="L81">
        <v>44403</v>
      </c>
      <c r="M81" s="1" t="s">
        <v>1389</v>
      </c>
      <c r="N81" s="1" t="s">
        <v>1390</v>
      </c>
      <c r="O81">
        <v>383299308</v>
      </c>
      <c r="P81" s="1" t="s">
        <v>1391</v>
      </c>
      <c r="Q81" s="1" t="s">
        <v>1430</v>
      </c>
      <c r="R81" s="1" t="s">
        <v>1389</v>
      </c>
      <c r="S81" s="1" t="s">
        <v>1392</v>
      </c>
      <c r="T81" s="1" t="s">
        <v>1393</v>
      </c>
      <c r="U81">
        <v>383299306</v>
      </c>
      <c r="V81" s="1" t="s">
        <v>276</v>
      </c>
      <c r="W81" s="1" t="s">
        <v>1387</v>
      </c>
      <c r="X81" s="1" t="s">
        <v>1299</v>
      </c>
      <c r="Y81" s="1" t="s">
        <v>1394</v>
      </c>
      <c r="Z81" s="1" t="s">
        <v>1395</v>
      </c>
      <c r="AA81">
        <v>383299295</v>
      </c>
      <c r="AB81" s="1" t="s">
        <v>1255</v>
      </c>
      <c r="AC81" s="1" t="s">
        <v>1259</v>
      </c>
      <c r="AD81" s="1" t="s">
        <v>1396</v>
      </c>
      <c r="AE81" s="1" t="s">
        <v>1397</v>
      </c>
      <c r="AF81">
        <v>634533519</v>
      </c>
      <c r="AG81" s="1" t="s">
        <v>1297</v>
      </c>
      <c r="AH81" s="1" t="s">
        <v>1347</v>
      </c>
      <c r="AI81" s="1" t="s">
        <v>1398</v>
      </c>
      <c r="AJ81" s="1" t="s">
        <v>1399</v>
      </c>
      <c r="AL81" s="1" t="s">
        <v>1411</v>
      </c>
      <c r="AM81" s="1" t="s">
        <v>1417</v>
      </c>
      <c r="AN81" s="1" t="s">
        <v>1400</v>
      </c>
      <c r="AO81" s="1" t="s">
        <v>1401</v>
      </c>
      <c r="AP81">
        <v>383299301</v>
      </c>
      <c r="AQ81" s="1" t="s">
        <v>1320</v>
      </c>
      <c r="AR81" s="1" t="s">
        <v>1265</v>
      </c>
      <c r="AS81" s="1" t="s">
        <v>1402</v>
      </c>
      <c r="AT81" s="1" t="s">
        <v>1403</v>
      </c>
      <c r="AV81" s="1" t="s">
        <v>1320</v>
      </c>
      <c r="AW81" s="1" t="s">
        <v>1443</v>
      </c>
      <c r="AX81" s="1" t="s">
        <v>1241</v>
      </c>
      <c r="AY81">
        <v>646374591</v>
      </c>
      <c r="AZ81" s="1" t="s">
        <v>1242</v>
      </c>
      <c r="BB81" s="1" t="s">
        <v>1404</v>
      </c>
      <c r="BC81" s="1" t="s">
        <v>1405</v>
      </c>
      <c r="BD81">
        <v>54</v>
      </c>
      <c r="BE81">
        <v>383299295</v>
      </c>
      <c r="BF81">
        <v>48.7080078125</v>
      </c>
      <c r="BG81">
        <v>6.2466583251953098</v>
      </c>
      <c r="BH81">
        <v>451647903</v>
      </c>
      <c r="BI81">
        <v>322</v>
      </c>
      <c r="BJ81" s="2">
        <v>37713</v>
      </c>
      <c r="BK81" s="1" t="s">
        <v>1120</v>
      </c>
      <c r="BL81" s="1" t="s">
        <v>290</v>
      </c>
      <c r="BM81" s="1" t="s">
        <v>291</v>
      </c>
      <c r="BN81" s="1" t="s">
        <v>292</v>
      </c>
      <c r="BO81" s="1" t="s">
        <v>291</v>
      </c>
      <c r="BP81" s="1" t="s">
        <v>293</v>
      </c>
      <c r="BQ81" s="1" t="s">
        <v>294</v>
      </c>
      <c r="BR81">
        <v>80</v>
      </c>
      <c r="BS81">
        <v>27446752.52</v>
      </c>
      <c r="BT81" s="1" t="s">
        <v>295</v>
      </c>
      <c r="BU81" s="1" t="s">
        <v>401</v>
      </c>
      <c r="BV81">
        <v>454493</v>
      </c>
      <c r="BW81">
        <v>1.7559934281625608E-2</v>
      </c>
      <c r="BX81">
        <v>73.2570712731588</v>
      </c>
      <c r="BY81">
        <v>2.3904639458473445</v>
      </c>
      <c r="BZ81">
        <v>12.057619063317288</v>
      </c>
      <c r="CA81">
        <v>87.705154282323434</v>
      </c>
      <c r="CB81" s="1" t="s">
        <v>1380</v>
      </c>
      <c r="CC81">
        <v>1</v>
      </c>
      <c r="CD81" s="1" t="s">
        <v>298</v>
      </c>
      <c r="CE81" s="1" t="s">
        <v>504</v>
      </c>
      <c r="CF81">
        <v>1101</v>
      </c>
      <c r="CG81" s="1" t="s">
        <v>300</v>
      </c>
      <c r="CH81" s="1" t="s">
        <v>972</v>
      </c>
      <c r="CI81" s="1" t="s">
        <v>973</v>
      </c>
      <c r="CJ81" s="1" t="s">
        <v>972</v>
      </c>
      <c r="CK81" s="1" t="s">
        <v>302</v>
      </c>
      <c r="CL81" s="1" t="s">
        <v>974</v>
      </c>
      <c r="CM81">
        <v>3020409000020</v>
      </c>
      <c r="CO81" s="1"/>
      <c r="CP81" s="1" t="s">
        <v>304</v>
      </c>
      <c r="CQ81" s="1" t="s">
        <v>406</v>
      </c>
      <c r="CR81" s="1" t="s">
        <v>306</v>
      </c>
      <c r="CS81">
        <v>6975</v>
      </c>
      <c r="CT81">
        <v>4600</v>
      </c>
      <c r="CU81" t="s">
        <v>693</v>
      </c>
      <c r="CV81" s="1" t="s">
        <v>478</v>
      </c>
      <c r="CW81" s="1" t="s">
        <v>308</v>
      </c>
      <c r="CY81">
        <v>3560</v>
      </c>
      <c r="CZ81">
        <v>3500</v>
      </c>
      <c r="DA81" s="1" t="s">
        <v>307</v>
      </c>
      <c r="DB81">
        <v>2375</v>
      </c>
      <c r="DC81">
        <v>2375</v>
      </c>
      <c r="DD81">
        <v>0</v>
      </c>
      <c r="DE81">
        <v>0</v>
      </c>
      <c r="DF81">
        <v>2000</v>
      </c>
      <c r="DG81">
        <v>375</v>
      </c>
      <c r="DH81">
        <v>0</v>
      </c>
      <c r="DI81">
        <v>0</v>
      </c>
      <c r="DJ81">
        <v>0</v>
      </c>
      <c r="DK81" s="1" t="s">
        <v>369</v>
      </c>
      <c r="DL81" s="1" t="s">
        <v>370</v>
      </c>
      <c r="DN81" s="1"/>
      <c r="DO81">
        <v>889</v>
      </c>
      <c r="DP81">
        <v>0</v>
      </c>
      <c r="DQ81">
        <v>889</v>
      </c>
      <c r="DR81" s="1"/>
      <c r="DS81">
        <v>564</v>
      </c>
      <c r="DT81">
        <v>125</v>
      </c>
      <c r="DU81">
        <v>350</v>
      </c>
      <c r="DV81">
        <v>304</v>
      </c>
      <c r="DW81" s="1" t="s">
        <v>371</v>
      </c>
      <c r="DX81">
        <v>22</v>
      </c>
      <c r="DZ81">
        <v>2</v>
      </c>
      <c r="EA81">
        <v>2</v>
      </c>
      <c r="EB81">
        <v>9</v>
      </c>
      <c r="EC81">
        <v>2</v>
      </c>
      <c r="ED81">
        <v>0</v>
      </c>
      <c r="EE81">
        <v>0</v>
      </c>
      <c r="EF81">
        <v>13</v>
      </c>
      <c r="EG81">
        <v>2010</v>
      </c>
      <c r="EI81" s="1"/>
      <c r="EJ81" s="1" t="s">
        <v>313</v>
      </c>
      <c r="EK81" s="1" t="s">
        <v>314</v>
      </c>
      <c r="EL81">
        <v>32</v>
      </c>
      <c r="EM81">
        <v>27</v>
      </c>
      <c r="EN81">
        <v>13</v>
      </c>
      <c r="EO81" s="1" t="s">
        <v>315</v>
      </c>
      <c r="EP81">
        <v>22</v>
      </c>
      <c r="EQ81">
        <v>187.15137474390167</v>
      </c>
      <c r="ER81" s="1" t="s">
        <v>411</v>
      </c>
      <c r="ES81">
        <v>3.7890372327037216</v>
      </c>
      <c r="ET81">
        <v>0</v>
      </c>
      <c r="EU81" s="1"/>
      <c r="EV81">
        <v>82.682205327927647</v>
      </c>
      <c r="EW81">
        <v>1</v>
      </c>
      <c r="EX81" t="s">
        <v>316</v>
      </c>
      <c r="EY81">
        <v>1</v>
      </c>
      <c r="EZ81" s="1" t="s">
        <v>317</v>
      </c>
      <c r="FA81" s="2"/>
      <c r="FB81" s="1" t="s">
        <v>318</v>
      </c>
      <c r="FC81">
        <v>1</v>
      </c>
      <c r="FD81" s="1"/>
      <c r="FE81" s="2"/>
      <c r="FF81" s="1"/>
      <c r="FG81" s="1" t="s">
        <v>319</v>
      </c>
      <c r="FH81" s="1" t="s">
        <v>319</v>
      </c>
      <c r="FI81" s="1" t="s">
        <v>319</v>
      </c>
      <c r="FJ81" s="1" t="s">
        <v>319</v>
      </c>
      <c r="FK81" s="1" t="s">
        <v>320</v>
      </c>
      <c r="FL81">
        <v>18.920000000000002</v>
      </c>
      <c r="FM81">
        <v>8245.5018096272161</v>
      </c>
      <c r="FN81" s="1" t="s">
        <v>321</v>
      </c>
      <c r="FO81" s="1" t="s">
        <v>322</v>
      </c>
      <c r="FP81" s="1" t="s">
        <v>323</v>
      </c>
      <c r="FQ81" s="1" t="s">
        <v>324</v>
      </c>
      <c r="FR81" s="1" t="s">
        <v>325</v>
      </c>
      <c r="FS81" s="1" t="s">
        <v>918</v>
      </c>
      <c r="FT81" s="1" t="s">
        <v>326</v>
      </c>
      <c r="FU81">
        <v>494198191</v>
      </c>
      <c r="FV81" s="1" t="s">
        <v>322</v>
      </c>
      <c r="FW81" s="1" t="s">
        <v>319</v>
      </c>
      <c r="FX81" s="1" t="s">
        <v>322</v>
      </c>
      <c r="FY81" s="1" t="s">
        <v>319</v>
      </c>
      <c r="FZ81" s="1" t="s">
        <v>322</v>
      </c>
      <c r="GA81" s="1" t="s">
        <v>322</v>
      </c>
      <c r="GB81" s="1"/>
      <c r="GC81" s="1"/>
      <c r="GD81" s="1" t="s">
        <v>322</v>
      </c>
      <c r="GE81" s="1" t="s">
        <v>319</v>
      </c>
      <c r="GF81" s="1" t="s">
        <v>415</v>
      </c>
      <c r="GG81" s="1"/>
      <c r="GH81" s="1" t="s">
        <v>322</v>
      </c>
      <c r="GI81" s="1"/>
      <c r="GJ81" s="1" t="s">
        <v>319</v>
      </c>
      <c r="GK81" s="2">
        <v>42005</v>
      </c>
      <c r="GL81" s="1" t="s">
        <v>322</v>
      </c>
      <c r="GM81" s="1" t="s">
        <v>322</v>
      </c>
      <c r="GN81" t="s">
        <v>1406</v>
      </c>
      <c r="GO81" s="1" t="s">
        <v>319</v>
      </c>
      <c r="GQ81" s="1"/>
      <c r="GR81" s="1"/>
      <c r="GS81" s="1"/>
      <c r="GT81" s="1" t="s">
        <v>319</v>
      </c>
      <c r="GU81" s="1" t="s">
        <v>319</v>
      </c>
      <c r="GV81" s="1" t="s">
        <v>319</v>
      </c>
      <c r="GW81" s="1" t="s">
        <v>319</v>
      </c>
      <c r="GX81" s="1" t="s">
        <v>319</v>
      </c>
      <c r="GY81" s="1" t="s">
        <v>319</v>
      </c>
      <c r="GZ81" s="1" t="s">
        <v>319</v>
      </c>
      <c r="HA81" s="2">
        <v>44095</v>
      </c>
      <c r="HB81" s="2">
        <v>42667</v>
      </c>
      <c r="HC81" s="1"/>
      <c r="HD81" s="1"/>
      <c r="HE81" s="1"/>
      <c r="HF81" s="1"/>
      <c r="HG81" s="1"/>
      <c r="HH81" s="1"/>
      <c r="HI81" s="1" t="s">
        <v>322</v>
      </c>
      <c r="HJ81" s="1" t="s">
        <v>1122</v>
      </c>
      <c r="HK81" s="2">
        <v>43101</v>
      </c>
      <c r="HL81" s="1"/>
      <c r="HM81" s="1" t="s">
        <v>322</v>
      </c>
      <c r="HN81" s="1" t="s">
        <v>322</v>
      </c>
      <c r="HO81" s="1"/>
      <c r="HP81" s="1"/>
      <c r="HQ81" s="1"/>
      <c r="HR81" s="1"/>
      <c r="HS81" s="1"/>
      <c r="HT81" s="1"/>
      <c r="HU81" s="1" t="s">
        <v>331</v>
      </c>
      <c r="HV81">
        <v>4621979015</v>
      </c>
      <c r="HW81">
        <v>40638362</v>
      </c>
      <c r="HX81">
        <v>99102567513</v>
      </c>
      <c r="HY81" s="1" t="s">
        <v>1407</v>
      </c>
      <c r="HZ81">
        <v>4320767</v>
      </c>
      <c r="IA81">
        <v>4321087</v>
      </c>
      <c r="IB81" s="1" t="s">
        <v>1408</v>
      </c>
      <c r="IC81">
        <v>830135</v>
      </c>
      <c r="ID81" s="1" t="s">
        <v>1409</v>
      </c>
      <c r="IE81">
        <v>5.18</v>
      </c>
      <c r="IF81">
        <v>4.54</v>
      </c>
      <c r="IG81">
        <v>4.97</v>
      </c>
      <c r="IH81">
        <v>3.97</v>
      </c>
      <c r="II81">
        <v>3.42</v>
      </c>
      <c r="IJ81">
        <v>2.2799999999999998</v>
      </c>
      <c r="IK81">
        <v>2.2799999999999998</v>
      </c>
    </row>
    <row r="82" spans="1:245" x14ac:dyDescent="0.3">
      <c r="A82">
        <v>1938</v>
      </c>
      <c r="B82">
        <v>2439</v>
      </c>
      <c r="C82" s="1" t="s">
        <v>1509</v>
      </c>
      <c r="D82" s="1" t="s">
        <v>1074</v>
      </c>
      <c r="E82" t="s">
        <v>3275</v>
      </c>
      <c r="F82" s="1" t="s">
        <v>3300</v>
      </c>
      <c r="G82" s="1" t="s">
        <v>1452</v>
      </c>
      <c r="H82">
        <v>625291561</v>
      </c>
      <c r="I82" s="1" t="s">
        <v>1510</v>
      </c>
      <c r="J82" s="1" t="s">
        <v>1511</v>
      </c>
      <c r="K82">
        <v>635463093</v>
      </c>
      <c r="L82">
        <v>44200</v>
      </c>
      <c r="M82" s="1" t="s">
        <v>1512</v>
      </c>
      <c r="N82" s="1" t="s">
        <v>1513</v>
      </c>
      <c r="O82">
        <v>141388181</v>
      </c>
      <c r="P82" s="1" t="s">
        <v>273</v>
      </c>
      <c r="Q82" s="1" t="s">
        <v>1683</v>
      </c>
      <c r="R82" s="1" t="s">
        <v>1685</v>
      </c>
      <c r="S82" s="1" t="s">
        <v>1514</v>
      </c>
      <c r="T82" s="1" t="s">
        <v>1515</v>
      </c>
      <c r="U82">
        <v>141388181</v>
      </c>
      <c r="V82" s="1" t="s">
        <v>276</v>
      </c>
      <c r="W82" s="1" t="s">
        <v>1459</v>
      </c>
      <c r="X82" s="1" t="s">
        <v>1560</v>
      </c>
      <c r="Y82" s="1" t="s">
        <v>1514</v>
      </c>
      <c r="Z82" s="1" t="s">
        <v>1515</v>
      </c>
      <c r="AB82" s="1" t="s">
        <v>1530</v>
      </c>
      <c r="AC82" s="1" t="s">
        <v>1637</v>
      </c>
      <c r="AD82" s="1" t="s">
        <v>389</v>
      </c>
      <c r="AE82" s="1"/>
      <c r="AG82" s="1" t="s">
        <v>1617</v>
      </c>
      <c r="AH82" s="1" t="s">
        <v>1689</v>
      </c>
      <c r="AI82" s="1" t="s">
        <v>1516</v>
      </c>
      <c r="AJ82" s="1" t="s">
        <v>1517</v>
      </c>
      <c r="AK82">
        <v>141388175</v>
      </c>
      <c r="AL82" s="1" t="s">
        <v>1658</v>
      </c>
      <c r="AM82" s="1" t="s">
        <v>1668</v>
      </c>
      <c r="AN82" s="1" t="s">
        <v>1518</v>
      </c>
      <c r="AO82" s="1" t="s">
        <v>1519</v>
      </c>
      <c r="AP82">
        <v>141388172</v>
      </c>
      <c r="AQ82" s="1" t="s">
        <v>1453</v>
      </c>
      <c r="AR82" s="1" t="s">
        <v>1466</v>
      </c>
      <c r="AS82" s="1" t="s">
        <v>1516</v>
      </c>
      <c r="AT82" s="1" t="s">
        <v>1517</v>
      </c>
      <c r="AU82">
        <v>141388175</v>
      </c>
      <c r="AV82" s="1" t="s">
        <v>1582</v>
      </c>
      <c r="AW82" s="1" t="s">
        <v>1695</v>
      </c>
      <c r="AX82" s="1" t="s">
        <v>1470</v>
      </c>
      <c r="AY82">
        <v>609519425</v>
      </c>
      <c r="AZ82" s="1" t="s">
        <v>1471</v>
      </c>
      <c r="BA82">
        <v>784179652</v>
      </c>
      <c r="BB82" s="1" t="s">
        <v>1520</v>
      </c>
      <c r="BC82" s="1" t="s">
        <v>1521</v>
      </c>
      <c r="BD82">
        <v>92</v>
      </c>
      <c r="BE82">
        <v>141388181</v>
      </c>
      <c r="BF82">
        <v>48.891112100000001</v>
      </c>
      <c r="BG82">
        <v>2.2071266999999999</v>
      </c>
      <c r="BH82">
        <v>451647903</v>
      </c>
      <c r="BI82">
        <v>1296</v>
      </c>
      <c r="BJ82" s="2">
        <v>41824</v>
      </c>
      <c r="BK82" s="1" t="s">
        <v>3303</v>
      </c>
      <c r="BL82" s="1" t="s">
        <v>290</v>
      </c>
      <c r="BM82" s="1" t="s">
        <v>291</v>
      </c>
      <c r="BN82" s="1" t="s">
        <v>292</v>
      </c>
      <c r="BO82" s="1" t="s">
        <v>291</v>
      </c>
      <c r="BP82" s="1" t="s">
        <v>293</v>
      </c>
      <c r="BQ82" s="1" t="s">
        <v>1522</v>
      </c>
      <c r="BR82">
        <v>83</v>
      </c>
      <c r="BS82">
        <v>9231283.9600000009</v>
      </c>
      <c r="BT82" s="1" t="s">
        <v>295</v>
      </c>
      <c r="BU82" s="1" t="s">
        <v>663</v>
      </c>
      <c r="BV82">
        <v>178453</v>
      </c>
      <c r="BW82">
        <v>1.1527318381556295E-2</v>
      </c>
      <c r="BX82">
        <v>33.057163578822397</v>
      </c>
      <c r="BY82">
        <v>0.18809476714797502</v>
      </c>
      <c r="BZ82">
        <v>3.824532427858728</v>
      </c>
      <c r="CA82">
        <v>37.069790773829098</v>
      </c>
      <c r="CB82" s="1" t="s">
        <v>715</v>
      </c>
      <c r="CC82">
        <v>2</v>
      </c>
      <c r="CD82" s="1" t="s">
        <v>361</v>
      </c>
      <c r="CE82" s="1" t="s">
        <v>1523</v>
      </c>
      <c r="CF82">
        <v>1101</v>
      </c>
      <c r="CG82" s="1" t="s">
        <v>300</v>
      </c>
      <c r="CH82" s="1" t="s">
        <v>301</v>
      </c>
      <c r="CI82" s="1" t="s">
        <v>302</v>
      </c>
      <c r="CJ82" s="1" t="s">
        <v>301</v>
      </c>
      <c r="CK82" s="1" t="s">
        <v>302</v>
      </c>
      <c r="CL82" s="1" t="s">
        <v>303</v>
      </c>
      <c r="CM82">
        <v>3601651117009</v>
      </c>
      <c r="CO82" s="1"/>
      <c r="CP82" s="1" t="s">
        <v>304</v>
      </c>
      <c r="CQ82" s="1" t="s">
        <v>766</v>
      </c>
      <c r="CR82" s="1" t="s">
        <v>505</v>
      </c>
      <c r="CS82">
        <v>2805</v>
      </c>
      <c r="CT82">
        <v>2805</v>
      </c>
      <c r="CU82">
        <v>3000</v>
      </c>
      <c r="CV82" s="1" t="s">
        <v>309</v>
      </c>
      <c r="CW82" s="1"/>
      <c r="DA82" s="1"/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 s="1"/>
      <c r="DL82" s="1"/>
      <c r="DN82" s="1"/>
      <c r="DO82">
        <v>330</v>
      </c>
      <c r="DP82">
        <v>0</v>
      </c>
      <c r="DQ82">
        <v>330</v>
      </c>
      <c r="DR82" s="1"/>
      <c r="DS82">
        <v>291</v>
      </c>
      <c r="DT82">
        <v>0</v>
      </c>
      <c r="DU82">
        <v>324</v>
      </c>
      <c r="DV82">
        <v>77</v>
      </c>
      <c r="DW82" s="1" t="s">
        <v>371</v>
      </c>
      <c r="DX82">
        <v>11</v>
      </c>
      <c r="DZ82">
        <v>2</v>
      </c>
      <c r="EA82">
        <v>2</v>
      </c>
      <c r="EB82">
        <v>6</v>
      </c>
      <c r="EC82">
        <v>2</v>
      </c>
      <c r="ED82">
        <v>0</v>
      </c>
      <c r="EE82">
        <v>1</v>
      </c>
      <c r="EF82">
        <v>11</v>
      </c>
      <c r="EG82">
        <v>2014</v>
      </c>
      <c r="EI82" s="1"/>
      <c r="EJ82" s="1" t="s">
        <v>313</v>
      </c>
      <c r="EK82" s="1" t="s">
        <v>314</v>
      </c>
      <c r="EL82">
        <v>28</v>
      </c>
      <c r="EM82">
        <v>20</v>
      </c>
      <c r="EN82">
        <v>10</v>
      </c>
      <c r="EO82" s="1" t="s">
        <v>664</v>
      </c>
      <c r="EP82">
        <v>25</v>
      </c>
      <c r="EQ82">
        <v>124.98848959684933</v>
      </c>
      <c r="ER82" s="1" t="s">
        <v>411</v>
      </c>
      <c r="ES82">
        <v>8.4355961551711811</v>
      </c>
      <c r="ET82">
        <v>0</v>
      </c>
      <c r="EU82" s="1"/>
      <c r="EV82">
        <v>52.094635797965537</v>
      </c>
      <c r="EW82">
        <v>1</v>
      </c>
      <c r="EX82" t="s">
        <v>316</v>
      </c>
      <c r="EY82">
        <v>1</v>
      </c>
      <c r="EZ82" s="1" t="s">
        <v>317</v>
      </c>
      <c r="FA82" s="2"/>
      <c r="FB82" s="1" t="s">
        <v>1524</v>
      </c>
      <c r="FC82">
        <v>1</v>
      </c>
      <c r="FD82" s="1" t="s">
        <v>322</v>
      </c>
      <c r="FE82" s="2"/>
      <c r="FF82" s="1" t="s">
        <v>322</v>
      </c>
      <c r="FG82" s="1" t="s">
        <v>322</v>
      </c>
      <c r="FH82" s="1" t="s">
        <v>319</v>
      </c>
      <c r="FI82" s="1" t="s">
        <v>319</v>
      </c>
      <c r="FJ82" s="1" t="s">
        <v>319</v>
      </c>
      <c r="FK82" s="1" t="s">
        <v>1096</v>
      </c>
      <c r="FL82">
        <v>19.27</v>
      </c>
      <c r="FM82">
        <v>5594.0222816399282</v>
      </c>
      <c r="FN82" s="1" t="s">
        <v>1525</v>
      </c>
      <c r="FO82" s="1" t="s">
        <v>319</v>
      </c>
      <c r="FP82" s="1" t="s">
        <v>323</v>
      </c>
      <c r="FQ82" s="1" t="s">
        <v>324</v>
      </c>
      <c r="FR82" s="1" t="s">
        <v>325</v>
      </c>
      <c r="FS82" s="1"/>
      <c r="FT82" s="1" t="s">
        <v>666</v>
      </c>
      <c r="FV82" s="1" t="s">
        <v>322</v>
      </c>
      <c r="FW82" s="1" t="s">
        <v>322</v>
      </c>
      <c r="FX82" s="1" t="s">
        <v>322</v>
      </c>
      <c r="FY82" s="1"/>
      <c r="FZ82" s="1" t="s">
        <v>319</v>
      </c>
      <c r="GA82" s="1" t="s">
        <v>322</v>
      </c>
      <c r="GB82" s="1" t="s">
        <v>319</v>
      </c>
      <c r="GC82" s="1" t="s">
        <v>319</v>
      </c>
      <c r="GD82" s="1" t="s">
        <v>322</v>
      </c>
      <c r="GE82" s="1" t="s">
        <v>319</v>
      </c>
      <c r="GF82" s="1" t="s">
        <v>415</v>
      </c>
      <c r="GG82" s="1" t="s">
        <v>322</v>
      </c>
      <c r="GH82" s="1" t="s">
        <v>322</v>
      </c>
      <c r="GI82" s="1"/>
      <c r="GJ82" s="1" t="s">
        <v>322</v>
      </c>
      <c r="GK82" s="2">
        <v>42736</v>
      </c>
      <c r="GL82" s="1" t="s">
        <v>322</v>
      </c>
      <c r="GM82" s="1" t="s">
        <v>322</v>
      </c>
      <c r="GN82" t="s">
        <v>1406</v>
      </c>
      <c r="GO82" s="1" t="s">
        <v>319</v>
      </c>
      <c r="GQ82" s="1"/>
      <c r="GR82" s="1"/>
      <c r="GS82" s="1"/>
      <c r="GT82" s="1" t="s">
        <v>319</v>
      </c>
      <c r="GU82" s="1" t="s">
        <v>319</v>
      </c>
      <c r="GV82" s="1" t="s">
        <v>319</v>
      </c>
      <c r="GW82" s="1" t="s">
        <v>319</v>
      </c>
      <c r="GX82" s="1" t="s">
        <v>319</v>
      </c>
      <c r="GY82" s="1" t="s">
        <v>319</v>
      </c>
      <c r="GZ82" s="1" t="s">
        <v>319</v>
      </c>
      <c r="HA82" s="2">
        <v>44095</v>
      </c>
      <c r="HB82" s="2">
        <v>42660</v>
      </c>
      <c r="HC82" s="1"/>
      <c r="HD82" s="1"/>
      <c r="HE82" s="1" t="s">
        <v>322</v>
      </c>
      <c r="HF82" s="1"/>
      <c r="HG82" s="1"/>
      <c r="HH82" s="1"/>
      <c r="HI82" s="1" t="s">
        <v>319</v>
      </c>
      <c r="HJ82" s="1" t="s">
        <v>330</v>
      </c>
      <c r="HK82" s="2"/>
      <c r="HL82" s="1"/>
      <c r="HM82" s="1" t="s">
        <v>322</v>
      </c>
      <c r="HN82" s="1" t="s">
        <v>322</v>
      </c>
      <c r="HO82" s="1"/>
      <c r="HP82" s="1"/>
      <c r="HQ82" s="1"/>
      <c r="HR82" s="1"/>
      <c r="HS82" s="1"/>
      <c r="HT82" s="1"/>
      <c r="HU82" s="1" t="s">
        <v>331</v>
      </c>
      <c r="HV82">
        <v>4218065010</v>
      </c>
      <c r="HW82">
        <v>40638416</v>
      </c>
      <c r="HX82">
        <v>99102567642</v>
      </c>
      <c r="HY82" s="1" t="s">
        <v>1526</v>
      </c>
      <c r="HZ82">
        <v>4320889</v>
      </c>
      <c r="IA82">
        <v>4321551</v>
      </c>
      <c r="IB82" s="1" t="s">
        <v>1527</v>
      </c>
      <c r="IC82">
        <v>830121</v>
      </c>
      <c r="ID82" s="1" t="s">
        <v>1528</v>
      </c>
      <c r="IE82">
        <v>1.37</v>
      </c>
      <c r="IF82">
        <v>2.37</v>
      </c>
      <c r="IG82">
        <v>3.37</v>
      </c>
      <c r="IH82">
        <v>4.37</v>
      </c>
      <c r="II82">
        <v>3.75</v>
      </c>
      <c r="IJ82">
        <v>2.8</v>
      </c>
      <c r="IK82">
        <v>2.8</v>
      </c>
    </row>
    <row r="83" spans="1:245" x14ac:dyDescent="0.3">
      <c r="A83">
        <v>1703</v>
      </c>
      <c r="B83">
        <v>2331</v>
      </c>
      <c r="C83" s="1" t="s">
        <v>798</v>
      </c>
      <c r="D83" s="1" t="s">
        <v>642</v>
      </c>
      <c r="E83" t="s">
        <v>3275</v>
      </c>
      <c r="F83" s="1" t="s">
        <v>643</v>
      </c>
      <c r="G83" s="1" t="s">
        <v>644</v>
      </c>
      <c r="H83">
        <v>610920310</v>
      </c>
      <c r="I83" s="1" t="s">
        <v>799</v>
      </c>
      <c r="J83" s="1" t="s">
        <v>800</v>
      </c>
      <c r="K83">
        <v>624478349</v>
      </c>
      <c r="L83">
        <v>44375</v>
      </c>
      <c r="M83" s="1" t="s">
        <v>801</v>
      </c>
      <c r="N83" s="1" t="s">
        <v>802</v>
      </c>
      <c r="O83">
        <v>240921965</v>
      </c>
      <c r="P83" s="1" t="s">
        <v>273</v>
      </c>
      <c r="Q83" s="1" t="s">
        <v>723</v>
      </c>
      <c r="R83" s="1" t="s">
        <v>647</v>
      </c>
      <c r="S83" s="1" t="s">
        <v>803</v>
      </c>
      <c r="T83" s="1" t="s">
        <v>804</v>
      </c>
      <c r="U83">
        <v>240921916</v>
      </c>
      <c r="V83" s="1" t="s">
        <v>276</v>
      </c>
      <c r="W83" s="1" t="s">
        <v>645</v>
      </c>
      <c r="X83" s="1" t="s">
        <v>857</v>
      </c>
      <c r="Y83" s="1" t="s">
        <v>805</v>
      </c>
      <c r="Z83" s="1" t="s">
        <v>806</v>
      </c>
      <c r="AA83">
        <v>240922222</v>
      </c>
      <c r="AB83" s="1" t="s">
        <v>853</v>
      </c>
      <c r="AC83" s="1" t="s">
        <v>777</v>
      </c>
      <c r="AD83" s="1" t="s">
        <v>807</v>
      </c>
      <c r="AE83" s="1" t="s">
        <v>808</v>
      </c>
      <c r="AG83" s="1" t="s">
        <v>645</v>
      </c>
      <c r="AH83" s="1" t="s">
        <v>838</v>
      </c>
      <c r="AI83" s="1" t="s">
        <v>809</v>
      </c>
      <c r="AJ83" s="1" t="s">
        <v>810</v>
      </c>
      <c r="AK83">
        <v>240921923</v>
      </c>
      <c r="AL83" s="1" t="s">
        <v>748</v>
      </c>
      <c r="AM83" s="1" t="s">
        <v>685</v>
      </c>
      <c r="AN83" s="1" t="s">
        <v>811</v>
      </c>
      <c r="AO83" s="1" t="s">
        <v>812</v>
      </c>
      <c r="AP83">
        <v>240922222</v>
      </c>
      <c r="AQ83" s="1" t="s">
        <v>830</v>
      </c>
      <c r="AR83" s="1" t="s">
        <v>734</v>
      </c>
      <c r="AS83" s="1" t="s">
        <v>813</v>
      </c>
      <c r="AT83" s="1" t="s">
        <v>814</v>
      </c>
      <c r="AU83">
        <v>240922222</v>
      </c>
      <c r="AV83" s="1" t="s">
        <v>787</v>
      </c>
      <c r="AW83" s="1"/>
      <c r="AX83" s="1" t="s">
        <v>659</v>
      </c>
      <c r="AY83">
        <v>617425667</v>
      </c>
      <c r="AZ83" s="1" t="s">
        <v>660</v>
      </c>
      <c r="BA83">
        <v>678409252</v>
      </c>
      <c r="BB83" s="1" t="s">
        <v>815</v>
      </c>
      <c r="BC83" s="1" t="s">
        <v>816</v>
      </c>
      <c r="BD83">
        <v>44</v>
      </c>
      <c r="BE83">
        <v>240922222</v>
      </c>
      <c r="BF83">
        <v>47.2232666015625</v>
      </c>
      <c r="BG83">
        <v>-1.6230888366699201</v>
      </c>
      <c r="BH83">
        <v>451647903</v>
      </c>
      <c r="BI83">
        <v>199</v>
      </c>
      <c r="BJ83" s="2">
        <v>34766</v>
      </c>
      <c r="BK83" s="1" t="s">
        <v>3380</v>
      </c>
      <c r="BL83" s="1" t="s">
        <v>290</v>
      </c>
      <c r="BM83" s="1" t="s">
        <v>291</v>
      </c>
      <c r="BN83" s="1" t="s">
        <v>292</v>
      </c>
      <c r="BO83" s="1" t="s">
        <v>291</v>
      </c>
      <c r="BP83" s="1" t="s">
        <v>293</v>
      </c>
      <c r="BQ83" s="1" t="s">
        <v>474</v>
      </c>
      <c r="BR83">
        <v>83</v>
      </c>
      <c r="BS83">
        <v>39139993.520000003</v>
      </c>
      <c r="BT83" s="1" t="s">
        <v>295</v>
      </c>
      <c r="BU83" s="1" t="s">
        <v>817</v>
      </c>
      <c r="BV83">
        <v>659487</v>
      </c>
      <c r="BW83">
        <v>1.394852389572254E-2</v>
      </c>
      <c r="BX83">
        <v>88.5141425463177</v>
      </c>
      <c r="BY83">
        <v>6.0714105184501435</v>
      </c>
      <c r="BZ83">
        <v>6.4002703237291492</v>
      </c>
      <c r="CA83">
        <v>100.985823388497</v>
      </c>
      <c r="CB83" s="1" t="s">
        <v>715</v>
      </c>
      <c r="CC83">
        <v>1</v>
      </c>
      <c r="CD83" s="1" t="s">
        <v>298</v>
      </c>
      <c r="CE83" s="1" t="s">
        <v>299</v>
      </c>
      <c r="CF83">
        <v>1101</v>
      </c>
      <c r="CG83" s="1" t="s">
        <v>300</v>
      </c>
      <c r="CH83" s="1" t="s">
        <v>403</v>
      </c>
      <c r="CI83" s="1" t="s">
        <v>404</v>
      </c>
      <c r="CJ83" s="1" t="s">
        <v>301</v>
      </c>
      <c r="CK83" s="1" t="s">
        <v>302</v>
      </c>
      <c r="CL83" s="1" t="s">
        <v>527</v>
      </c>
      <c r="CM83">
        <v>3601651112004</v>
      </c>
      <c r="CO83" s="1"/>
      <c r="CP83" s="1" t="s">
        <v>765</v>
      </c>
      <c r="CQ83" s="1" t="s">
        <v>406</v>
      </c>
      <c r="CR83" s="1" t="s">
        <v>306</v>
      </c>
      <c r="CS83">
        <v>7000</v>
      </c>
      <c r="CT83">
        <v>4881</v>
      </c>
      <c r="CU83" t="s">
        <v>693</v>
      </c>
      <c r="CV83" s="1" t="s">
        <v>478</v>
      </c>
      <c r="CW83" s="1" t="s">
        <v>308</v>
      </c>
      <c r="CY83">
        <v>2119</v>
      </c>
      <c r="CZ83" t="s">
        <v>368</v>
      </c>
      <c r="DA83" s="1" t="s">
        <v>309</v>
      </c>
      <c r="DB83">
        <v>2119</v>
      </c>
      <c r="DC83">
        <v>2119</v>
      </c>
      <c r="DD83">
        <v>0</v>
      </c>
      <c r="DE83">
        <v>0</v>
      </c>
      <c r="DF83">
        <v>585</v>
      </c>
      <c r="DG83">
        <v>1534</v>
      </c>
      <c r="DH83">
        <v>0</v>
      </c>
      <c r="DI83">
        <v>0</v>
      </c>
      <c r="DJ83">
        <v>0</v>
      </c>
      <c r="DK83" s="1" t="s">
        <v>369</v>
      </c>
      <c r="DL83" s="1" t="s">
        <v>311</v>
      </c>
      <c r="DN83" s="1"/>
      <c r="DO83">
        <v>765</v>
      </c>
      <c r="DP83">
        <v>0</v>
      </c>
      <c r="DQ83">
        <v>765</v>
      </c>
      <c r="DR83" s="1" t="s">
        <v>790</v>
      </c>
      <c r="DS83">
        <v>754</v>
      </c>
      <c r="DT83">
        <v>70</v>
      </c>
      <c r="DU83">
        <v>461</v>
      </c>
      <c r="DV83">
        <v>212</v>
      </c>
      <c r="DW83" s="1" t="s">
        <v>371</v>
      </c>
      <c r="DX83">
        <v>24</v>
      </c>
      <c r="DZ83">
        <v>2</v>
      </c>
      <c r="EA83">
        <v>2</v>
      </c>
      <c r="EB83">
        <v>14</v>
      </c>
      <c r="EC83">
        <v>4</v>
      </c>
      <c r="ED83">
        <v>0</v>
      </c>
      <c r="EE83">
        <v>0</v>
      </c>
      <c r="EF83">
        <v>20</v>
      </c>
      <c r="EG83">
        <v>2010</v>
      </c>
      <c r="EI83" s="1"/>
      <c r="EJ83" s="1" t="s">
        <v>313</v>
      </c>
      <c r="EK83" s="1" t="s">
        <v>314</v>
      </c>
      <c r="EL83">
        <v>51</v>
      </c>
      <c r="EM83">
        <v>45</v>
      </c>
      <c r="EN83">
        <v>18</v>
      </c>
      <c r="EO83" s="1" t="s">
        <v>315</v>
      </c>
      <c r="EP83">
        <v>32</v>
      </c>
      <c r="EQ83">
        <v>129.00448124979795</v>
      </c>
      <c r="ER83" s="1" t="s">
        <v>480</v>
      </c>
      <c r="ES83">
        <v>6.4659947814690897</v>
      </c>
      <c r="ET83">
        <v>0</v>
      </c>
      <c r="EU83" s="1"/>
      <c r="EV83">
        <v>197.21284083480725</v>
      </c>
      <c r="EW83">
        <v>0</v>
      </c>
      <c r="EX83" t="s">
        <v>316</v>
      </c>
      <c r="EY83">
        <v>0</v>
      </c>
      <c r="EZ83" s="1" t="s">
        <v>412</v>
      </c>
      <c r="FA83" s="2">
        <v>43983</v>
      </c>
      <c r="FB83" s="1" t="s">
        <v>818</v>
      </c>
      <c r="FC83">
        <v>1</v>
      </c>
      <c r="FD83" s="1"/>
      <c r="FE83" s="2">
        <v>42005</v>
      </c>
      <c r="FF83" s="1"/>
      <c r="FG83" s="1" t="s">
        <v>319</v>
      </c>
      <c r="FH83" s="1" t="s">
        <v>319</v>
      </c>
      <c r="FI83" s="1" t="s">
        <v>319</v>
      </c>
      <c r="FJ83" s="1" t="s">
        <v>319</v>
      </c>
      <c r="FK83" s="1" t="s">
        <v>373</v>
      </c>
      <c r="FL83">
        <v>18.59</v>
      </c>
      <c r="FM83">
        <v>8329.9020257826869</v>
      </c>
      <c r="FN83" s="1" t="s">
        <v>819</v>
      </c>
      <c r="FO83" s="1" t="s">
        <v>322</v>
      </c>
      <c r="FP83" s="1" t="s">
        <v>323</v>
      </c>
      <c r="FQ83" s="1" t="s">
        <v>820</v>
      </c>
      <c r="FR83" s="1" t="s">
        <v>821</v>
      </c>
      <c r="FS83" s="1"/>
      <c r="FT83" s="1" t="s">
        <v>822</v>
      </c>
      <c r="FV83" s="1" t="s">
        <v>322</v>
      </c>
      <c r="FW83" s="1" t="s">
        <v>322</v>
      </c>
      <c r="FX83" s="1" t="s">
        <v>322</v>
      </c>
      <c r="FY83" s="1" t="s">
        <v>322</v>
      </c>
      <c r="FZ83" s="1" t="s">
        <v>322</v>
      </c>
      <c r="GA83" s="1" t="s">
        <v>319</v>
      </c>
      <c r="GB83" s="1" t="s">
        <v>322</v>
      </c>
      <c r="GC83" s="1"/>
      <c r="GD83" s="1" t="s">
        <v>319</v>
      </c>
      <c r="GE83" s="1" t="s">
        <v>319</v>
      </c>
      <c r="GF83" s="1" t="s">
        <v>327</v>
      </c>
      <c r="GG83" s="1"/>
      <c r="GH83" s="1" t="s">
        <v>322</v>
      </c>
      <c r="GI83" s="1"/>
      <c r="GJ83" s="1" t="s">
        <v>322</v>
      </c>
      <c r="GK83" s="2">
        <v>42005</v>
      </c>
      <c r="GL83" s="1" t="s">
        <v>322</v>
      </c>
      <c r="GM83" s="1" t="s">
        <v>322</v>
      </c>
      <c r="GN83">
        <v>42989</v>
      </c>
      <c r="GO83" s="1" t="s">
        <v>322</v>
      </c>
      <c r="GP83">
        <v>42948</v>
      </c>
      <c r="GQ83" s="1" t="s">
        <v>823</v>
      </c>
      <c r="GR83" s="1" t="s">
        <v>322</v>
      </c>
      <c r="GS83" s="1" t="s">
        <v>448</v>
      </c>
      <c r="GT83" s="1" t="s">
        <v>322</v>
      </c>
      <c r="GU83" s="1" t="s">
        <v>824</v>
      </c>
      <c r="GV83" s="1" t="s">
        <v>322</v>
      </c>
      <c r="GW83" s="1" t="s">
        <v>825</v>
      </c>
      <c r="GX83" s="1" t="s">
        <v>322</v>
      </c>
      <c r="GY83" s="1" t="s">
        <v>319</v>
      </c>
      <c r="GZ83" s="1" t="s">
        <v>319</v>
      </c>
      <c r="HA83" s="2">
        <v>44063</v>
      </c>
      <c r="HB83" s="2">
        <v>42625</v>
      </c>
      <c r="HC83" s="1" t="s">
        <v>322</v>
      </c>
      <c r="HD83" s="1" t="s">
        <v>322</v>
      </c>
      <c r="HE83" s="1"/>
      <c r="HF83" s="1"/>
      <c r="HG83" s="1"/>
      <c r="HH83" s="1"/>
      <c r="HI83" s="1" t="s">
        <v>319</v>
      </c>
      <c r="HJ83" s="1" t="s">
        <v>794</v>
      </c>
      <c r="HK83" s="2">
        <v>42736</v>
      </c>
      <c r="HL83" s="1"/>
      <c r="HM83" s="1" t="s">
        <v>322</v>
      </c>
      <c r="HN83" s="1" t="s">
        <v>322</v>
      </c>
      <c r="HO83" s="1"/>
      <c r="HP83" s="1"/>
      <c r="HQ83" s="1"/>
      <c r="HR83" s="1"/>
      <c r="HS83" s="1"/>
      <c r="HT83" s="1"/>
      <c r="HU83" s="1" t="s">
        <v>331</v>
      </c>
      <c r="HV83">
        <v>4621955010</v>
      </c>
      <c r="HW83">
        <v>40638037</v>
      </c>
      <c r="HX83">
        <v>99102564236</v>
      </c>
      <c r="HY83" s="1" t="s">
        <v>826</v>
      </c>
      <c r="HZ83">
        <v>4313986</v>
      </c>
      <c r="IA83">
        <v>4321884</v>
      </c>
      <c r="IB83" s="1" t="s">
        <v>827</v>
      </c>
      <c r="IC83">
        <v>830083</v>
      </c>
      <c r="ID83" s="1" t="s">
        <v>828</v>
      </c>
      <c r="IE83">
        <v>2.59</v>
      </c>
      <c r="IF83">
        <v>2.29</v>
      </c>
      <c r="IG83">
        <v>3.29</v>
      </c>
      <c r="IH83">
        <v>3.38</v>
      </c>
      <c r="II83">
        <v>3.05</v>
      </c>
      <c r="IJ83">
        <v>1.93</v>
      </c>
      <c r="IK83">
        <v>1.93</v>
      </c>
    </row>
    <row r="84" spans="1:245" x14ac:dyDescent="0.3">
      <c r="A84">
        <v>1706</v>
      </c>
      <c r="B84">
        <v>2334</v>
      </c>
      <c r="C84" s="1" t="s">
        <v>1179</v>
      </c>
      <c r="D84" s="1" t="s">
        <v>926</v>
      </c>
      <c r="E84" t="s">
        <v>3275</v>
      </c>
      <c r="F84" s="1" t="s">
        <v>927</v>
      </c>
      <c r="G84" s="1" t="s">
        <v>928</v>
      </c>
      <c r="H84">
        <v>603611633</v>
      </c>
      <c r="I84" s="1" t="s">
        <v>1180</v>
      </c>
      <c r="J84" s="1" t="s">
        <v>1181</v>
      </c>
      <c r="K84">
        <v>672228852</v>
      </c>
      <c r="L84">
        <v>44228</v>
      </c>
      <c r="M84" s="1" t="s">
        <v>1182</v>
      </c>
      <c r="N84" s="1" t="s">
        <v>1183</v>
      </c>
      <c r="O84">
        <v>386719556</v>
      </c>
      <c r="P84" s="1" t="s">
        <v>273</v>
      </c>
      <c r="Q84" s="1" t="s">
        <v>929</v>
      </c>
      <c r="R84" s="1" t="s">
        <v>931</v>
      </c>
      <c r="S84" s="1" t="s">
        <v>1184</v>
      </c>
      <c r="T84" s="1" t="s">
        <v>1185</v>
      </c>
      <c r="U84">
        <v>386719553</v>
      </c>
      <c r="V84" s="1" t="s">
        <v>276</v>
      </c>
      <c r="W84" s="1" t="s">
        <v>1180</v>
      </c>
      <c r="X84" s="1" t="s">
        <v>1007</v>
      </c>
      <c r="Y84" s="1" t="s">
        <v>1186</v>
      </c>
      <c r="Z84" s="1" t="s">
        <v>1187</v>
      </c>
      <c r="AA84">
        <v>386719555</v>
      </c>
      <c r="AB84" s="1" t="s">
        <v>1104</v>
      </c>
      <c r="AC84" s="1" t="s">
        <v>1058</v>
      </c>
      <c r="AD84" s="1" t="s">
        <v>1188</v>
      </c>
      <c r="AE84" s="1" t="s">
        <v>1189</v>
      </c>
      <c r="AF84">
        <v>386719557</v>
      </c>
      <c r="AG84" s="1" t="s">
        <v>956</v>
      </c>
      <c r="AH84" s="1" t="s">
        <v>937</v>
      </c>
      <c r="AI84" s="1" t="s">
        <v>1190</v>
      </c>
      <c r="AJ84" s="1" t="s">
        <v>1191</v>
      </c>
      <c r="AK84">
        <v>386719554</v>
      </c>
      <c r="AL84" s="1" t="s">
        <v>1003</v>
      </c>
      <c r="AM84" s="1" t="s">
        <v>1190</v>
      </c>
      <c r="AN84" s="1" t="s">
        <v>1192</v>
      </c>
      <c r="AO84" s="1" t="s">
        <v>1193</v>
      </c>
      <c r="AP84">
        <v>386719552</v>
      </c>
      <c r="AQ84" s="1" t="s">
        <v>992</v>
      </c>
      <c r="AR84" s="1" t="s">
        <v>1087</v>
      </c>
      <c r="AS84" s="1" t="s">
        <v>1194</v>
      </c>
      <c r="AT84" s="1" t="s">
        <v>1195</v>
      </c>
      <c r="AU84">
        <v>386719558</v>
      </c>
      <c r="AV84" s="1" t="s">
        <v>1204</v>
      </c>
      <c r="AW84" s="1" t="s">
        <v>1216</v>
      </c>
      <c r="AX84" s="1" t="s">
        <v>945</v>
      </c>
      <c r="AY84">
        <v>770016945</v>
      </c>
      <c r="AZ84" s="1" t="s">
        <v>946</v>
      </c>
      <c r="BA84">
        <v>629385390</v>
      </c>
      <c r="BB84" s="1" t="s">
        <v>1196</v>
      </c>
      <c r="BC84" s="1" t="s">
        <v>1197</v>
      </c>
      <c r="BD84">
        <v>58</v>
      </c>
      <c r="BE84">
        <v>386719550</v>
      </c>
      <c r="BF84">
        <v>47.0164794921875</v>
      </c>
      <c r="BG84">
        <v>3.14933776855468</v>
      </c>
      <c r="BH84">
        <v>451647903</v>
      </c>
      <c r="BI84">
        <v>90</v>
      </c>
      <c r="BJ84" s="2">
        <v>35004</v>
      </c>
      <c r="BK84" s="1" t="s">
        <v>3297</v>
      </c>
      <c r="BL84" s="1" t="s">
        <v>290</v>
      </c>
      <c r="BM84" s="1" t="s">
        <v>291</v>
      </c>
      <c r="BN84" s="1" t="s">
        <v>292</v>
      </c>
      <c r="BO84" s="1" t="s">
        <v>291</v>
      </c>
      <c r="BP84" s="1" t="s">
        <v>293</v>
      </c>
      <c r="BQ84" s="1" t="s">
        <v>294</v>
      </c>
      <c r="BR84">
        <v>80</v>
      </c>
      <c r="BS84">
        <v>32154143.359999999</v>
      </c>
      <c r="BT84" s="1" t="s">
        <v>295</v>
      </c>
      <c r="BU84" s="1" t="s">
        <v>401</v>
      </c>
      <c r="BV84">
        <v>515102</v>
      </c>
      <c r="BW84">
        <v>8.044864778364972E-3</v>
      </c>
      <c r="BX84">
        <v>66.771609415177707</v>
      </c>
      <c r="BY84">
        <v>4.5429221335794816</v>
      </c>
      <c r="BZ84">
        <v>5.7852673567613913</v>
      </c>
      <c r="CA84">
        <v>77.099798905518583</v>
      </c>
      <c r="CB84" s="1" t="s">
        <v>297</v>
      </c>
      <c r="CC84">
        <v>1</v>
      </c>
      <c r="CD84" s="1" t="s">
        <v>402</v>
      </c>
      <c r="CE84" s="1" t="s">
        <v>504</v>
      </c>
      <c r="CF84">
        <v>1106</v>
      </c>
      <c r="CG84" s="1" t="s">
        <v>362</v>
      </c>
      <c r="CH84" s="1" t="s">
        <v>972</v>
      </c>
      <c r="CI84" s="1" t="s">
        <v>973</v>
      </c>
      <c r="CJ84" s="1" t="s">
        <v>972</v>
      </c>
      <c r="CK84" s="1" t="s">
        <v>302</v>
      </c>
      <c r="CL84" s="1" t="s">
        <v>974</v>
      </c>
      <c r="CM84">
        <v>3020409000020</v>
      </c>
      <c r="CO84" s="1"/>
      <c r="CP84" s="1" t="s">
        <v>716</v>
      </c>
      <c r="CQ84" s="1" t="s">
        <v>406</v>
      </c>
      <c r="CR84" s="1" t="s">
        <v>306</v>
      </c>
      <c r="CS84">
        <v>8100</v>
      </c>
      <c r="CT84">
        <v>4600</v>
      </c>
      <c r="CU84" t="s">
        <v>693</v>
      </c>
      <c r="CV84" s="1" t="s">
        <v>478</v>
      </c>
      <c r="CW84" s="1" t="s">
        <v>308</v>
      </c>
      <c r="CY84">
        <v>3500</v>
      </c>
      <c r="CZ84">
        <v>3500</v>
      </c>
      <c r="DA84" s="1" t="s">
        <v>307</v>
      </c>
      <c r="DB84">
        <v>3500</v>
      </c>
      <c r="DC84">
        <v>3500</v>
      </c>
      <c r="DD84">
        <v>0</v>
      </c>
      <c r="DE84">
        <v>0</v>
      </c>
      <c r="DF84">
        <v>1400</v>
      </c>
      <c r="DG84">
        <v>2100</v>
      </c>
      <c r="DH84">
        <v>0</v>
      </c>
      <c r="DI84">
        <v>0</v>
      </c>
      <c r="DJ84">
        <v>0</v>
      </c>
      <c r="DK84" s="1" t="s">
        <v>409</v>
      </c>
      <c r="DL84" s="1" t="s">
        <v>741</v>
      </c>
      <c r="DN84" s="1"/>
      <c r="DO84">
        <v>850</v>
      </c>
      <c r="DP84">
        <v>0</v>
      </c>
      <c r="DQ84">
        <v>850</v>
      </c>
      <c r="DR84" s="1" t="s">
        <v>790</v>
      </c>
      <c r="DS84">
        <v>700</v>
      </c>
      <c r="DT84">
        <v>56</v>
      </c>
      <c r="DU84">
        <v>298</v>
      </c>
      <c r="DV84">
        <v>304</v>
      </c>
      <c r="DW84" s="1" t="s">
        <v>312</v>
      </c>
      <c r="DX84">
        <v>20</v>
      </c>
      <c r="DZ84">
        <v>2</v>
      </c>
      <c r="EA84">
        <v>2</v>
      </c>
      <c r="EB84">
        <v>9</v>
      </c>
      <c r="EC84">
        <v>3</v>
      </c>
      <c r="ED84">
        <v>0</v>
      </c>
      <c r="EE84">
        <v>0</v>
      </c>
      <c r="EF84">
        <v>14</v>
      </c>
      <c r="EG84">
        <v>2010</v>
      </c>
      <c r="EI84" s="1"/>
      <c r="EJ84" s="1" t="s">
        <v>313</v>
      </c>
      <c r="EK84" s="1" t="s">
        <v>314</v>
      </c>
      <c r="EL84">
        <v>36</v>
      </c>
      <c r="EM84">
        <v>34</v>
      </c>
      <c r="EN84">
        <v>12</v>
      </c>
      <c r="EO84" s="1" t="s">
        <v>315</v>
      </c>
      <c r="EP84">
        <v>34</v>
      </c>
      <c r="EQ84">
        <v>64.424575363694132</v>
      </c>
      <c r="ER84" s="1" t="s">
        <v>316</v>
      </c>
      <c r="ES84">
        <v>0.87060236977965044</v>
      </c>
      <c r="ET84">
        <v>0</v>
      </c>
      <c r="EU84" s="1"/>
      <c r="EV84">
        <v>129.28445191227812</v>
      </c>
      <c r="EW84">
        <v>0</v>
      </c>
      <c r="EX84" t="s">
        <v>316</v>
      </c>
      <c r="EY84">
        <v>0</v>
      </c>
      <c r="EZ84" s="1" t="s">
        <v>412</v>
      </c>
      <c r="FA84" s="2">
        <v>44105</v>
      </c>
      <c r="FB84" s="1" t="s">
        <v>818</v>
      </c>
      <c r="FC84">
        <v>1</v>
      </c>
      <c r="FD84" s="1"/>
      <c r="FE84" s="2"/>
      <c r="FF84" s="1"/>
      <c r="FG84" s="1" t="s">
        <v>319</v>
      </c>
      <c r="FH84" s="1" t="s">
        <v>319</v>
      </c>
      <c r="FI84" s="1" t="s">
        <v>319</v>
      </c>
      <c r="FJ84" s="1" t="s">
        <v>319</v>
      </c>
      <c r="FK84" s="1" t="s">
        <v>320</v>
      </c>
      <c r="FL84">
        <v>18.920000000000002</v>
      </c>
      <c r="FM84">
        <v>4058.0935577271075</v>
      </c>
      <c r="FN84" s="1" t="s">
        <v>321</v>
      </c>
      <c r="FO84" s="1" t="s">
        <v>322</v>
      </c>
      <c r="FP84" s="1" t="s">
        <v>323</v>
      </c>
      <c r="FQ84" s="1" t="s">
        <v>1198</v>
      </c>
      <c r="FR84" s="1" t="s">
        <v>325</v>
      </c>
      <c r="FS84" s="1"/>
      <c r="FT84" s="1" t="s">
        <v>326</v>
      </c>
      <c r="FU84">
        <v>494198191</v>
      </c>
      <c r="FV84" s="1" t="s">
        <v>319</v>
      </c>
      <c r="FW84" s="1" t="s">
        <v>322</v>
      </c>
      <c r="FX84" s="1" t="s">
        <v>322</v>
      </c>
      <c r="FY84" s="1" t="s">
        <v>322</v>
      </c>
      <c r="FZ84" s="1" t="s">
        <v>322</v>
      </c>
      <c r="GA84" s="1" t="s">
        <v>322</v>
      </c>
      <c r="GB84" s="1" t="s">
        <v>322</v>
      </c>
      <c r="GC84" s="1" t="s">
        <v>319</v>
      </c>
      <c r="GD84" s="1" t="s">
        <v>322</v>
      </c>
      <c r="GE84" s="1" t="s">
        <v>319</v>
      </c>
      <c r="GF84" s="1" t="s">
        <v>327</v>
      </c>
      <c r="GG84" s="1"/>
      <c r="GH84" s="1" t="s">
        <v>322</v>
      </c>
      <c r="GI84" s="1" t="s">
        <v>375</v>
      </c>
      <c r="GJ84" s="1" t="s">
        <v>322</v>
      </c>
      <c r="GK84" s="2">
        <v>42005</v>
      </c>
      <c r="GL84" s="1" t="s">
        <v>322</v>
      </c>
      <c r="GM84" s="1" t="s">
        <v>322</v>
      </c>
      <c r="GN84">
        <v>42989</v>
      </c>
      <c r="GO84" s="1" t="s">
        <v>319</v>
      </c>
      <c r="GQ84" s="1"/>
      <c r="GR84" s="1"/>
      <c r="GS84" s="1"/>
      <c r="GT84" s="1" t="s">
        <v>322</v>
      </c>
      <c r="GU84" s="1" t="s">
        <v>1199</v>
      </c>
      <c r="GV84" s="1" t="s">
        <v>322</v>
      </c>
      <c r="GW84" s="1" t="s">
        <v>322</v>
      </c>
      <c r="GX84" s="1" t="s">
        <v>319</v>
      </c>
      <c r="GY84" s="1" t="s">
        <v>319</v>
      </c>
      <c r="GZ84" s="1" t="s">
        <v>319</v>
      </c>
      <c r="HA84" s="2">
        <v>44067</v>
      </c>
      <c r="HB84" s="2">
        <v>42653</v>
      </c>
      <c r="HC84" s="1"/>
      <c r="HD84" s="1"/>
      <c r="HE84" s="1"/>
      <c r="HF84" s="1"/>
      <c r="HG84" s="1"/>
      <c r="HH84" s="1"/>
      <c r="HI84" s="1" t="s">
        <v>322</v>
      </c>
      <c r="HJ84" s="1" t="s">
        <v>794</v>
      </c>
      <c r="HK84" s="2">
        <v>42736</v>
      </c>
      <c r="HL84" s="1"/>
      <c r="HM84" s="1" t="s">
        <v>322</v>
      </c>
      <c r="HN84" s="1" t="s">
        <v>322</v>
      </c>
      <c r="HO84" s="1"/>
      <c r="HP84" s="1"/>
      <c r="HQ84" s="1"/>
      <c r="HR84" s="1"/>
      <c r="HS84" s="1"/>
      <c r="HT84" s="1"/>
      <c r="HU84" s="1" t="s">
        <v>331</v>
      </c>
      <c r="HV84">
        <v>4621958015</v>
      </c>
      <c r="HW84">
        <v>40638103</v>
      </c>
      <c r="HX84">
        <v>99102519566</v>
      </c>
      <c r="HY84" s="1" t="s">
        <v>1200</v>
      </c>
      <c r="HZ84">
        <v>4318797</v>
      </c>
      <c r="IA84">
        <v>4321516</v>
      </c>
      <c r="IB84" s="1" t="s">
        <v>1201</v>
      </c>
      <c r="IC84">
        <v>830248</v>
      </c>
      <c r="ID84" s="1" t="s">
        <v>1202</v>
      </c>
      <c r="IE84">
        <v>3.59</v>
      </c>
      <c r="IF84">
        <v>4.59</v>
      </c>
      <c r="IG84">
        <v>4.62</v>
      </c>
      <c r="IH84">
        <v>4.34</v>
      </c>
      <c r="II84">
        <v>4.04</v>
      </c>
      <c r="IJ84">
        <v>2.54</v>
      </c>
      <c r="IK84">
        <v>2.54</v>
      </c>
    </row>
    <row r="85" spans="1:245" x14ac:dyDescent="0.3">
      <c r="A85">
        <v>1944</v>
      </c>
      <c r="B85">
        <v>2445</v>
      </c>
      <c r="C85" s="1" t="s">
        <v>2983</v>
      </c>
      <c r="D85" s="1" t="s">
        <v>2861</v>
      </c>
      <c r="E85" t="s">
        <v>3275</v>
      </c>
      <c r="F85" s="1" t="s">
        <v>2862</v>
      </c>
      <c r="G85" s="1" t="s">
        <v>2863</v>
      </c>
      <c r="H85">
        <v>610902271</v>
      </c>
      <c r="I85" s="1" t="s">
        <v>2984</v>
      </c>
      <c r="J85" s="1" t="s">
        <v>2985</v>
      </c>
      <c r="L85">
        <v>43192</v>
      </c>
      <c r="M85" s="1" t="s">
        <v>2986</v>
      </c>
      <c r="N85" s="1" t="s">
        <v>2987</v>
      </c>
      <c r="O85">
        <v>492030788</v>
      </c>
      <c r="P85" s="1" t="s">
        <v>273</v>
      </c>
      <c r="Q85" s="1" t="s">
        <v>2864</v>
      </c>
      <c r="R85" s="1" t="s">
        <v>2866</v>
      </c>
      <c r="S85" s="1" t="s">
        <v>2988</v>
      </c>
      <c r="T85" s="1" t="s">
        <v>2989</v>
      </c>
      <c r="U85">
        <v>492030789</v>
      </c>
      <c r="V85" s="1" t="s">
        <v>276</v>
      </c>
      <c r="W85" s="1" t="s">
        <v>1730</v>
      </c>
      <c r="X85" s="1" t="s">
        <v>2965</v>
      </c>
      <c r="Y85" s="1" t="s">
        <v>2990</v>
      </c>
      <c r="Z85" s="1" t="s">
        <v>2991</v>
      </c>
      <c r="AA85">
        <v>492030785</v>
      </c>
      <c r="AB85" s="1" t="s">
        <v>2984</v>
      </c>
      <c r="AC85" s="1" t="s">
        <v>2990</v>
      </c>
      <c r="AD85" s="1" t="s">
        <v>2992</v>
      </c>
      <c r="AE85" s="1" t="s">
        <v>2993</v>
      </c>
      <c r="AF85">
        <v>492030786</v>
      </c>
      <c r="AG85" s="1" t="s">
        <v>2940</v>
      </c>
      <c r="AH85" s="1" t="s">
        <v>2874</v>
      </c>
      <c r="AI85" s="1" t="s">
        <v>2994</v>
      </c>
      <c r="AJ85" s="1" t="s">
        <v>2995</v>
      </c>
      <c r="AK85">
        <v>492030784</v>
      </c>
      <c r="AL85" s="1" t="s">
        <v>3030</v>
      </c>
      <c r="AM85" s="1" t="s">
        <v>2971</v>
      </c>
      <c r="AN85" s="1" t="s">
        <v>2996</v>
      </c>
      <c r="AO85" s="1" t="s">
        <v>2997</v>
      </c>
      <c r="AP85">
        <v>492030782</v>
      </c>
      <c r="AQ85" s="1" t="s">
        <v>2961</v>
      </c>
      <c r="AR85" s="1" t="s">
        <v>2877</v>
      </c>
      <c r="AS85" s="1" t="s">
        <v>2998</v>
      </c>
      <c r="AT85" s="1" t="s">
        <v>2999</v>
      </c>
      <c r="AU85">
        <v>492030780</v>
      </c>
      <c r="AV85" s="1" t="s">
        <v>2917</v>
      </c>
      <c r="AW85" s="1" t="s">
        <v>2998</v>
      </c>
      <c r="AX85" s="1" t="s">
        <v>2881</v>
      </c>
      <c r="AY85">
        <v>621287383</v>
      </c>
      <c r="AZ85" s="1" t="s">
        <v>2882</v>
      </c>
      <c r="BA85">
        <v>784179655</v>
      </c>
      <c r="BB85" s="1" t="s">
        <v>3000</v>
      </c>
      <c r="BC85" s="1" t="s">
        <v>3001</v>
      </c>
      <c r="BD85">
        <v>6</v>
      </c>
      <c r="BE85">
        <v>492030780</v>
      </c>
      <c r="BF85">
        <v>43.725638099846499</v>
      </c>
      <c r="BG85">
        <v>7.1908682584762502</v>
      </c>
      <c r="BH85">
        <v>451647903</v>
      </c>
      <c r="BI85">
        <v>1338</v>
      </c>
      <c r="BJ85" s="2">
        <v>42300</v>
      </c>
      <c r="BK85" s="1" t="s">
        <v>3325</v>
      </c>
      <c r="BL85" s="1" t="s">
        <v>290</v>
      </c>
      <c r="BM85" s="1" t="s">
        <v>291</v>
      </c>
      <c r="BN85" s="1" t="s">
        <v>292</v>
      </c>
      <c r="BO85" s="1" t="s">
        <v>3002</v>
      </c>
      <c r="BP85" s="1" t="s">
        <v>293</v>
      </c>
      <c r="BQ85" s="1" t="s">
        <v>474</v>
      </c>
      <c r="BR85">
        <v>86</v>
      </c>
      <c r="BS85">
        <v>40596534.390000001</v>
      </c>
      <c r="BT85" s="1" t="s">
        <v>295</v>
      </c>
      <c r="BU85" s="1" t="s">
        <v>817</v>
      </c>
      <c r="BV85">
        <v>465741</v>
      </c>
      <c r="BW85">
        <v>1.5130560976788845E-2</v>
      </c>
      <c r="BX85">
        <v>78.256873475308197</v>
      </c>
      <c r="BY85">
        <v>1.6952209841541943</v>
      </c>
      <c r="BZ85">
        <v>10.747150612074458</v>
      </c>
      <c r="CA85">
        <v>90.699245071536851</v>
      </c>
      <c r="CB85" s="1" t="s">
        <v>443</v>
      </c>
      <c r="CC85">
        <v>1</v>
      </c>
      <c r="CD85" s="1" t="s">
        <v>298</v>
      </c>
      <c r="CE85" s="1" t="s">
        <v>402</v>
      </c>
      <c r="CF85">
        <v>1106</v>
      </c>
      <c r="CG85" s="1" t="s">
        <v>362</v>
      </c>
      <c r="CH85" s="1" t="s">
        <v>363</v>
      </c>
      <c r="CI85" s="1" t="s">
        <v>364</v>
      </c>
      <c r="CJ85" s="1" t="s">
        <v>363</v>
      </c>
      <c r="CK85" s="1" t="s">
        <v>364</v>
      </c>
      <c r="CL85" s="1" t="s">
        <v>2673</v>
      </c>
      <c r="CM85">
        <v>3601651111007</v>
      </c>
      <c r="CO85" s="1"/>
      <c r="CP85" s="1" t="s">
        <v>304</v>
      </c>
      <c r="CQ85" s="1" t="s">
        <v>406</v>
      </c>
      <c r="CR85" s="1" t="s">
        <v>1701</v>
      </c>
      <c r="CS85">
        <v>7578</v>
      </c>
      <c r="CT85">
        <v>4600</v>
      </c>
      <c r="CU85">
        <v>3700</v>
      </c>
      <c r="CV85" s="1" t="s">
        <v>307</v>
      </c>
      <c r="CW85" s="1" t="s">
        <v>717</v>
      </c>
      <c r="CY85">
        <v>3000</v>
      </c>
      <c r="CZ85">
        <v>3000</v>
      </c>
      <c r="DA85" s="1" t="s">
        <v>309</v>
      </c>
      <c r="DB85">
        <v>0</v>
      </c>
      <c r="DC85">
        <v>86</v>
      </c>
      <c r="DD85">
        <v>84</v>
      </c>
      <c r="DE85">
        <v>0</v>
      </c>
      <c r="DF85">
        <v>0</v>
      </c>
      <c r="DG85">
        <v>86</v>
      </c>
      <c r="DH85">
        <v>2892</v>
      </c>
      <c r="DI85">
        <v>919</v>
      </c>
      <c r="DJ85">
        <v>1973</v>
      </c>
      <c r="DK85" s="1" t="s">
        <v>310</v>
      </c>
      <c r="DL85" s="1" t="s">
        <v>311</v>
      </c>
      <c r="DN85" s="1"/>
      <c r="DO85">
        <v>1000</v>
      </c>
      <c r="DP85">
        <v>1000</v>
      </c>
      <c r="DQ85">
        <v>0</v>
      </c>
      <c r="DR85" s="1"/>
      <c r="DS85">
        <v>1049</v>
      </c>
      <c r="DT85">
        <v>100</v>
      </c>
      <c r="DU85">
        <v>350</v>
      </c>
      <c r="DV85">
        <v>320</v>
      </c>
      <c r="DW85" s="1" t="s">
        <v>371</v>
      </c>
      <c r="DX85">
        <v>20</v>
      </c>
      <c r="EA85">
        <v>2</v>
      </c>
      <c r="EB85">
        <v>12</v>
      </c>
      <c r="EC85">
        <v>2</v>
      </c>
      <c r="ED85">
        <v>0</v>
      </c>
      <c r="EE85">
        <v>0</v>
      </c>
      <c r="EF85">
        <v>16</v>
      </c>
      <c r="EG85">
        <v>2015</v>
      </c>
      <c r="EI85" s="1"/>
      <c r="EJ85" s="1" t="s">
        <v>313</v>
      </c>
      <c r="EK85" s="1" t="s">
        <v>314</v>
      </c>
      <c r="EL85">
        <v>28</v>
      </c>
      <c r="EM85">
        <v>25</v>
      </c>
      <c r="EN85">
        <v>12</v>
      </c>
      <c r="EO85" s="1" t="s">
        <v>315</v>
      </c>
      <c r="EP85">
        <v>18</v>
      </c>
      <c r="EQ85">
        <v>81.995618933634105</v>
      </c>
      <c r="ER85" s="1" t="s">
        <v>316</v>
      </c>
      <c r="ES85">
        <v>4.4123203013614765</v>
      </c>
      <c r="ET85">
        <v>0</v>
      </c>
      <c r="EU85" s="1"/>
      <c r="EV85">
        <v>56.257083842358824</v>
      </c>
      <c r="EW85">
        <v>0</v>
      </c>
      <c r="EX85" t="s">
        <v>316</v>
      </c>
      <c r="EY85">
        <v>0</v>
      </c>
      <c r="EZ85" s="1" t="s">
        <v>412</v>
      </c>
      <c r="FA85" s="2">
        <v>44197</v>
      </c>
      <c r="FB85" s="1" t="s">
        <v>507</v>
      </c>
      <c r="FC85">
        <v>1</v>
      </c>
      <c r="FD85" s="1"/>
      <c r="FE85" s="2">
        <v>42005</v>
      </c>
      <c r="FF85" s="1"/>
      <c r="FG85" s="1" t="s">
        <v>322</v>
      </c>
      <c r="FH85" s="1" t="s">
        <v>319</v>
      </c>
      <c r="FI85" s="1" t="s">
        <v>319</v>
      </c>
      <c r="FJ85" s="1" t="s">
        <v>319</v>
      </c>
      <c r="FK85" s="1" t="s">
        <v>1143</v>
      </c>
      <c r="FL85">
        <v>18.97</v>
      </c>
      <c r="FM85">
        <v>10068.317934782608</v>
      </c>
      <c r="FN85" s="1" t="s">
        <v>321</v>
      </c>
      <c r="FO85" s="1" t="s">
        <v>322</v>
      </c>
      <c r="FP85" s="1" t="s">
        <v>323</v>
      </c>
      <c r="FQ85" s="1" t="s">
        <v>324</v>
      </c>
      <c r="FR85" s="1" t="s">
        <v>325</v>
      </c>
      <c r="FS85" s="1"/>
      <c r="FT85" s="1" t="s">
        <v>666</v>
      </c>
      <c r="FV85" s="1" t="s">
        <v>322</v>
      </c>
      <c r="FW85" s="1" t="s">
        <v>322</v>
      </c>
      <c r="FX85" s="1" t="s">
        <v>322</v>
      </c>
      <c r="FY85" s="1"/>
      <c r="FZ85" s="1" t="s">
        <v>319</v>
      </c>
      <c r="GA85" s="1" t="s">
        <v>322</v>
      </c>
      <c r="GB85" s="1" t="s">
        <v>322</v>
      </c>
      <c r="GC85" s="1" t="s">
        <v>319</v>
      </c>
      <c r="GD85" s="1" t="s">
        <v>322</v>
      </c>
      <c r="GE85" s="1" t="s">
        <v>322</v>
      </c>
      <c r="GF85" s="1" t="s">
        <v>667</v>
      </c>
      <c r="GG85" s="1" t="s">
        <v>322</v>
      </c>
      <c r="GH85" s="1" t="s">
        <v>322</v>
      </c>
      <c r="GI85" s="1"/>
      <c r="GJ85" s="1" t="s">
        <v>322</v>
      </c>
      <c r="GK85" s="2">
        <v>42005</v>
      </c>
      <c r="GL85" s="1" t="s">
        <v>322</v>
      </c>
      <c r="GM85" s="1" t="s">
        <v>322</v>
      </c>
      <c r="GN85">
        <v>42989</v>
      </c>
      <c r="GO85" s="1" t="s">
        <v>319</v>
      </c>
      <c r="GQ85" s="1"/>
      <c r="GR85" s="1"/>
      <c r="GS85" s="1"/>
      <c r="GT85" s="1" t="s">
        <v>319</v>
      </c>
      <c r="GU85" s="1" t="s">
        <v>319</v>
      </c>
      <c r="GV85" s="1" t="s">
        <v>319</v>
      </c>
      <c r="GW85" s="1" t="s">
        <v>319</v>
      </c>
      <c r="GX85" s="1" t="s">
        <v>319</v>
      </c>
      <c r="GY85" s="1" t="s">
        <v>319</v>
      </c>
      <c r="GZ85" s="1" t="s">
        <v>319</v>
      </c>
      <c r="HA85" s="2">
        <v>44063</v>
      </c>
      <c r="HB85" s="2">
        <v>42674</v>
      </c>
      <c r="HC85" s="1" t="s">
        <v>322</v>
      </c>
      <c r="HD85" s="1"/>
      <c r="HE85" s="1" t="s">
        <v>322</v>
      </c>
      <c r="HF85" s="1" t="s">
        <v>322</v>
      </c>
      <c r="HG85" s="1"/>
      <c r="HH85" s="1"/>
      <c r="HI85" s="1" t="s">
        <v>322</v>
      </c>
      <c r="HJ85" s="1" t="s">
        <v>330</v>
      </c>
      <c r="HK85" s="2"/>
      <c r="HL85" s="1"/>
      <c r="HM85" s="1" t="s">
        <v>322</v>
      </c>
      <c r="HN85" s="1" t="s">
        <v>322</v>
      </c>
      <c r="HO85" s="1"/>
      <c r="HP85" s="1"/>
      <c r="HQ85" s="1"/>
      <c r="HR85" s="1"/>
      <c r="HS85" s="1"/>
      <c r="HT85" s="1"/>
      <c r="HU85" s="1" t="s">
        <v>331</v>
      </c>
      <c r="HV85">
        <v>4326860013</v>
      </c>
      <c r="HW85">
        <v>40639060</v>
      </c>
      <c r="HX85">
        <v>99102570912</v>
      </c>
      <c r="HY85" s="1" t="s">
        <v>3003</v>
      </c>
      <c r="HZ85">
        <v>4326866</v>
      </c>
      <c r="IA85">
        <v>4326863</v>
      </c>
      <c r="IB85" s="1" t="s">
        <v>3004</v>
      </c>
      <c r="IC85">
        <v>830167</v>
      </c>
      <c r="ID85" s="1" t="s">
        <v>3005</v>
      </c>
      <c r="IE85">
        <v>3.1</v>
      </c>
      <c r="IF85">
        <v>3</v>
      </c>
      <c r="IG85">
        <v>2.9</v>
      </c>
      <c r="IH85">
        <v>2.1</v>
      </c>
      <c r="II85">
        <v>3.09</v>
      </c>
      <c r="IJ85">
        <v>4.13</v>
      </c>
      <c r="IK85">
        <v>4.13</v>
      </c>
    </row>
    <row r="86" spans="1:245" x14ac:dyDescent="0.3">
      <c r="A86">
        <v>1767</v>
      </c>
      <c r="B86">
        <v>2381</v>
      </c>
      <c r="C86" s="1" t="s">
        <v>3006</v>
      </c>
      <c r="D86" s="1" t="s">
        <v>336</v>
      </c>
      <c r="E86" t="s">
        <v>3275</v>
      </c>
      <c r="F86" s="1" t="s">
        <v>2862</v>
      </c>
      <c r="G86" s="1" t="s">
        <v>2863</v>
      </c>
      <c r="H86">
        <v>610902271</v>
      </c>
      <c r="I86" s="1" t="s">
        <v>1730</v>
      </c>
      <c r="J86" s="1" t="s">
        <v>3007</v>
      </c>
      <c r="L86">
        <v>42544</v>
      </c>
      <c r="M86" s="1" t="s">
        <v>3008</v>
      </c>
      <c r="N86" s="1" t="s">
        <v>3009</v>
      </c>
      <c r="O86">
        <v>466932069</v>
      </c>
      <c r="P86" s="1" t="s">
        <v>273</v>
      </c>
      <c r="Q86" s="1" t="s">
        <v>2864</v>
      </c>
      <c r="R86" s="1" t="s">
        <v>2866</v>
      </c>
      <c r="S86" s="1" t="s">
        <v>3010</v>
      </c>
      <c r="T86" s="1" t="s">
        <v>3011</v>
      </c>
      <c r="U86">
        <v>787674002</v>
      </c>
      <c r="V86" s="1" t="s">
        <v>276</v>
      </c>
      <c r="W86" s="1" t="s">
        <v>1730</v>
      </c>
      <c r="X86" s="1" t="s">
        <v>2965</v>
      </c>
      <c r="Y86" s="1" t="s">
        <v>3012</v>
      </c>
      <c r="Z86" s="1" t="s">
        <v>3013</v>
      </c>
      <c r="AA86">
        <v>466932065</v>
      </c>
      <c r="AB86" s="1" t="s">
        <v>2984</v>
      </c>
      <c r="AC86" s="1" t="s">
        <v>2990</v>
      </c>
      <c r="AD86" s="1" t="s">
        <v>3014</v>
      </c>
      <c r="AE86" s="1"/>
      <c r="AF86" t="s">
        <v>3015</v>
      </c>
      <c r="AG86" s="1" t="s">
        <v>2940</v>
      </c>
      <c r="AH86" s="1" t="s">
        <v>2874</v>
      </c>
      <c r="AI86" s="1" t="s">
        <v>3016</v>
      </c>
      <c r="AJ86" s="1" t="s">
        <v>3017</v>
      </c>
      <c r="AK86">
        <v>466932064</v>
      </c>
      <c r="AL86" s="1" t="s">
        <v>3030</v>
      </c>
      <c r="AM86" s="1" t="s">
        <v>2971</v>
      </c>
      <c r="AN86" s="1" t="s">
        <v>3018</v>
      </c>
      <c r="AO86" s="1" t="s">
        <v>3019</v>
      </c>
      <c r="AP86">
        <v>466932062</v>
      </c>
      <c r="AQ86" s="1" t="s">
        <v>2961</v>
      </c>
      <c r="AR86" s="1" t="s">
        <v>2877</v>
      </c>
      <c r="AS86" s="1" t="s">
        <v>3020</v>
      </c>
      <c r="AT86" s="1" t="s">
        <v>3021</v>
      </c>
      <c r="AU86">
        <v>466932063</v>
      </c>
      <c r="AV86" s="1" t="s">
        <v>2917</v>
      </c>
      <c r="AW86" s="1" t="s">
        <v>2998</v>
      </c>
      <c r="AX86" s="1" t="s">
        <v>2881</v>
      </c>
      <c r="AY86">
        <v>621287384</v>
      </c>
      <c r="AZ86" s="1" t="s">
        <v>2882</v>
      </c>
      <c r="BA86">
        <v>784179656</v>
      </c>
      <c r="BB86" s="1" t="s">
        <v>3022</v>
      </c>
      <c r="BC86" s="1" t="s">
        <v>3023</v>
      </c>
      <c r="BD86">
        <v>30</v>
      </c>
      <c r="BE86">
        <v>466932060</v>
      </c>
      <c r="BF86">
        <v>43.7073974609375</v>
      </c>
      <c r="BG86">
        <v>4.1982879638671804</v>
      </c>
      <c r="BH86">
        <v>451647903</v>
      </c>
      <c r="BI86">
        <v>611</v>
      </c>
      <c r="BJ86" s="2">
        <v>38169</v>
      </c>
      <c r="BK86" s="1" t="s">
        <v>3314</v>
      </c>
      <c r="BL86" s="1" t="s">
        <v>290</v>
      </c>
      <c r="BM86" s="1" t="s">
        <v>291</v>
      </c>
      <c r="BN86" s="1" t="s">
        <v>292</v>
      </c>
      <c r="BO86" s="1" t="s">
        <v>291</v>
      </c>
      <c r="BP86" s="1" t="s">
        <v>293</v>
      </c>
      <c r="BQ86" s="1" t="s">
        <v>294</v>
      </c>
      <c r="BR86">
        <v>80</v>
      </c>
      <c r="BS86">
        <v>47041980.770000003</v>
      </c>
      <c r="BT86" s="1" t="s">
        <v>295</v>
      </c>
      <c r="BU86" s="1" t="s">
        <v>475</v>
      </c>
      <c r="BV86">
        <v>654531</v>
      </c>
      <c r="BW86">
        <v>8.2911850885083824E-3</v>
      </c>
      <c r="BX86">
        <v>76.856794356167995</v>
      </c>
      <c r="BY86">
        <v>9.7047867079844288</v>
      </c>
      <c r="BZ86">
        <v>12.902511483264105</v>
      </c>
      <c r="CA86">
        <v>99.464092547416527</v>
      </c>
      <c r="CB86" s="1" t="s">
        <v>476</v>
      </c>
      <c r="CC86">
        <v>1</v>
      </c>
      <c r="CD86" s="1" t="s">
        <v>361</v>
      </c>
      <c r="CE86" s="1" t="s">
        <v>299</v>
      </c>
      <c r="CF86">
        <v>1106</v>
      </c>
      <c r="CG86" s="1" t="s">
        <v>362</v>
      </c>
      <c r="CH86" s="1" t="s">
        <v>363</v>
      </c>
      <c r="CI86" s="1" t="s">
        <v>364</v>
      </c>
      <c r="CJ86" s="1" t="s">
        <v>363</v>
      </c>
      <c r="CK86" s="1" t="s">
        <v>364</v>
      </c>
      <c r="CL86" s="1" t="s">
        <v>2673</v>
      </c>
      <c r="CM86">
        <v>3601651111007</v>
      </c>
      <c r="CO86" s="1"/>
      <c r="CP86" s="1" t="s">
        <v>3024</v>
      </c>
      <c r="CQ86" s="1" t="s">
        <v>305</v>
      </c>
      <c r="CR86" s="1" t="s">
        <v>306</v>
      </c>
      <c r="CS86">
        <v>8600</v>
      </c>
      <c r="CT86">
        <v>5500</v>
      </c>
      <c r="CU86" t="s">
        <v>477</v>
      </c>
      <c r="CV86" s="1" t="s">
        <v>478</v>
      </c>
      <c r="CW86" s="1" t="s">
        <v>308</v>
      </c>
      <c r="CY86">
        <v>3100</v>
      </c>
      <c r="CZ86">
        <v>3000</v>
      </c>
      <c r="DA86" s="1" t="s">
        <v>309</v>
      </c>
      <c r="DB86">
        <v>3950</v>
      </c>
      <c r="DC86">
        <v>3100</v>
      </c>
      <c r="DD86">
        <v>50</v>
      </c>
      <c r="DE86">
        <v>892</v>
      </c>
      <c r="DF86">
        <v>800</v>
      </c>
      <c r="DG86">
        <v>2300</v>
      </c>
      <c r="DH86">
        <v>0</v>
      </c>
      <c r="DI86">
        <v>0</v>
      </c>
      <c r="DJ86">
        <v>0</v>
      </c>
      <c r="DK86" s="1" t="s">
        <v>409</v>
      </c>
      <c r="DL86" s="1" t="s">
        <v>370</v>
      </c>
      <c r="DN86" s="1"/>
      <c r="DO86">
        <v>1064</v>
      </c>
      <c r="DP86">
        <v>0</v>
      </c>
      <c r="DQ86">
        <v>1064</v>
      </c>
      <c r="DR86" s="1" t="s">
        <v>479</v>
      </c>
      <c r="DS86">
        <v>1380</v>
      </c>
      <c r="DT86">
        <v>160</v>
      </c>
      <c r="DU86">
        <v>380</v>
      </c>
      <c r="DV86">
        <v>453</v>
      </c>
      <c r="DW86" s="1" t="s">
        <v>371</v>
      </c>
      <c r="DX86">
        <v>20</v>
      </c>
      <c r="DZ86">
        <v>2</v>
      </c>
      <c r="EA86">
        <v>2</v>
      </c>
      <c r="EB86">
        <v>11</v>
      </c>
      <c r="EC86">
        <v>2</v>
      </c>
      <c r="ED86">
        <v>1</v>
      </c>
      <c r="EE86">
        <v>0</v>
      </c>
      <c r="EF86">
        <v>16</v>
      </c>
      <c r="EG86">
        <v>2010</v>
      </c>
      <c r="EI86" s="1"/>
      <c r="EJ86" s="1" t="s">
        <v>313</v>
      </c>
      <c r="EK86" s="1" t="s">
        <v>314</v>
      </c>
      <c r="EL86">
        <v>38</v>
      </c>
      <c r="EM86">
        <v>39</v>
      </c>
      <c r="EN86">
        <v>18</v>
      </c>
      <c r="EO86" s="1" t="s">
        <v>315</v>
      </c>
      <c r="EP86">
        <v>35</v>
      </c>
      <c r="EQ86">
        <v>62.258658247196927</v>
      </c>
      <c r="ER86" s="1" t="s">
        <v>316</v>
      </c>
      <c r="ES86">
        <v>5.2955640348190496</v>
      </c>
      <c r="ET86">
        <v>1</v>
      </c>
      <c r="EU86" s="1" t="s">
        <v>249</v>
      </c>
      <c r="EV86">
        <v>83.440914386473125</v>
      </c>
      <c r="EW86">
        <v>4</v>
      </c>
      <c r="EX86" t="s">
        <v>3025</v>
      </c>
      <c r="EY86">
        <v>5</v>
      </c>
      <c r="EZ86" s="1" t="s">
        <v>412</v>
      </c>
      <c r="FA86" s="2">
        <v>43285</v>
      </c>
      <c r="FB86" s="1" t="s">
        <v>1892</v>
      </c>
      <c r="FC86">
        <v>1</v>
      </c>
      <c r="FD86" s="1"/>
      <c r="FE86" s="2">
        <v>42005</v>
      </c>
      <c r="FF86" s="1" t="s">
        <v>1022</v>
      </c>
      <c r="FG86" s="1" t="s">
        <v>319</v>
      </c>
      <c r="FH86" s="1" t="s">
        <v>322</v>
      </c>
      <c r="FI86" s="1" t="s">
        <v>319</v>
      </c>
      <c r="FJ86" s="1" t="s">
        <v>319</v>
      </c>
      <c r="FK86" s="1" t="s">
        <v>1143</v>
      </c>
      <c r="FL86">
        <v>18.97</v>
      </c>
      <c r="FM86">
        <v>8018.704710144928</v>
      </c>
      <c r="FN86" s="1" t="s">
        <v>321</v>
      </c>
      <c r="FO86" s="1" t="s">
        <v>322</v>
      </c>
      <c r="FP86" s="1" t="s">
        <v>323</v>
      </c>
      <c r="FQ86" s="1" t="s">
        <v>559</v>
      </c>
      <c r="FR86" s="1" t="s">
        <v>325</v>
      </c>
      <c r="FS86" s="1"/>
      <c r="FT86" s="1" t="s">
        <v>666</v>
      </c>
      <c r="FV86" s="1" t="s">
        <v>319</v>
      </c>
      <c r="FW86" s="1" t="s">
        <v>322</v>
      </c>
      <c r="FX86" s="1" t="s">
        <v>322</v>
      </c>
      <c r="FY86" s="1" t="s">
        <v>322</v>
      </c>
      <c r="FZ86" s="1" t="s">
        <v>322</v>
      </c>
      <c r="GA86" s="1" t="s">
        <v>322</v>
      </c>
      <c r="GB86" s="1" t="s">
        <v>322</v>
      </c>
      <c r="GC86" s="1" t="s">
        <v>322</v>
      </c>
      <c r="GD86" s="1" t="s">
        <v>322</v>
      </c>
      <c r="GE86" s="1" t="s">
        <v>319</v>
      </c>
      <c r="GF86" s="1" t="s">
        <v>415</v>
      </c>
      <c r="GG86" s="1"/>
      <c r="GH86" s="1" t="s">
        <v>322</v>
      </c>
      <c r="GI86" s="1"/>
      <c r="GJ86" s="1" t="s">
        <v>322</v>
      </c>
      <c r="GK86" s="2">
        <v>41640</v>
      </c>
      <c r="GL86" s="1" t="s">
        <v>322</v>
      </c>
      <c r="GM86" s="1" t="s">
        <v>322</v>
      </c>
      <c r="GN86">
        <v>42989</v>
      </c>
      <c r="GO86" s="1" t="s">
        <v>319</v>
      </c>
      <c r="GQ86" s="1"/>
      <c r="GR86" s="1"/>
      <c r="GS86" s="1"/>
      <c r="GT86" s="1" t="s">
        <v>322</v>
      </c>
      <c r="GU86" s="1" t="s">
        <v>2979</v>
      </c>
      <c r="GV86" s="1" t="s">
        <v>322</v>
      </c>
      <c r="GW86" s="1" t="s">
        <v>322</v>
      </c>
      <c r="GX86" s="1" t="s">
        <v>319</v>
      </c>
      <c r="GY86" s="1" t="s">
        <v>319</v>
      </c>
      <c r="GZ86" s="1" t="s">
        <v>319</v>
      </c>
      <c r="HA86" s="2">
        <v>44065</v>
      </c>
      <c r="HB86" s="2">
        <v>42625</v>
      </c>
      <c r="HC86" s="1"/>
      <c r="HD86" s="1"/>
      <c r="HE86" s="1"/>
      <c r="HF86" s="1"/>
      <c r="HG86" s="1"/>
      <c r="HH86" s="1"/>
      <c r="HI86" s="1" t="s">
        <v>322</v>
      </c>
      <c r="HJ86" s="1" t="s">
        <v>485</v>
      </c>
      <c r="HK86" s="2">
        <v>42736</v>
      </c>
      <c r="HL86" s="1"/>
      <c r="HM86" s="1" t="s">
        <v>322</v>
      </c>
      <c r="HN86" s="1" t="s">
        <v>322</v>
      </c>
      <c r="HO86" s="1" t="s">
        <v>322</v>
      </c>
      <c r="HP86" s="1"/>
      <c r="HQ86" s="1"/>
      <c r="HR86" s="1"/>
      <c r="HS86" s="1"/>
      <c r="HT86" s="1"/>
      <c r="HU86" s="1" t="s">
        <v>331</v>
      </c>
      <c r="HV86">
        <v>4621982013</v>
      </c>
      <c r="HW86">
        <v>40639077</v>
      </c>
      <c r="HX86">
        <v>99102570924</v>
      </c>
      <c r="HY86" s="1" t="s">
        <v>3026</v>
      </c>
      <c r="HZ86">
        <v>4204709</v>
      </c>
      <c r="IA86">
        <v>4321275</v>
      </c>
      <c r="IB86" s="1" t="s">
        <v>3027</v>
      </c>
      <c r="IC86">
        <v>830172</v>
      </c>
      <c r="ID86" s="1" t="s">
        <v>3028</v>
      </c>
      <c r="IE86">
        <v>3.7</v>
      </c>
      <c r="IF86">
        <v>4.7</v>
      </c>
      <c r="IG86">
        <v>5.87</v>
      </c>
      <c r="IH86">
        <v>7.33</v>
      </c>
      <c r="II86">
        <v>7.26</v>
      </c>
      <c r="IJ86">
        <v>4</v>
      </c>
      <c r="IK86">
        <v>4</v>
      </c>
    </row>
    <row r="87" spans="1:245" x14ac:dyDescent="0.3">
      <c r="A87">
        <v>1752</v>
      </c>
      <c r="B87">
        <v>2367</v>
      </c>
      <c r="C87" s="1" t="s">
        <v>829</v>
      </c>
      <c r="D87" s="1" t="s">
        <v>700</v>
      </c>
      <c r="E87" t="s">
        <v>3275</v>
      </c>
      <c r="F87" s="1" t="s">
        <v>643</v>
      </c>
      <c r="G87" s="1" t="s">
        <v>644</v>
      </c>
      <c r="H87">
        <v>610920310</v>
      </c>
      <c r="I87" s="1" t="s">
        <v>830</v>
      </c>
      <c r="J87" s="1" t="s">
        <v>831</v>
      </c>
      <c r="K87">
        <v>614540310</v>
      </c>
      <c r="L87">
        <v>43878</v>
      </c>
      <c r="M87" s="1" t="s">
        <v>832</v>
      </c>
      <c r="N87" s="1" t="s">
        <v>833</v>
      </c>
      <c r="O87">
        <v>238790606</v>
      </c>
      <c r="P87" s="1" t="s">
        <v>273</v>
      </c>
      <c r="Q87" s="1" t="s">
        <v>723</v>
      </c>
      <c r="R87" s="1" t="s">
        <v>647</v>
      </c>
      <c r="S87" s="1" t="s">
        <v>834</v>
      </c>
      <c r="T87" s="1" t="s">
        <v>835</v>
      </c>
      <c r="U87">
        <v>238790613</v>
      </c>
      <c r="V87" s="1" t="s">
        <v>276</v>
      </c>
      <c r="W87" s="1" t="s">
        <v>645</v>
      </c>
      <c r="X87" s="1" t="s">
        <v>857</v>
      </c>
      <c r="Y87" s="1" t="s">
        <v>836</v>
      </c>
      <c r="Z87" s="1" t="s">
        <v>837</v>
      </c>
      <c r="AA87">
        <v>663239712</v>
      </c>
      <c r="AB87" s="1" t="s">
        <v>853</v>
      </c>
      <c r="AC87" s="1" t="s">
        <v>777</v>
      </c>
      <c r="AD87" s="1" t="s">
        <v>838</v>
      </c>
      <c r="AE87" s="1" t="s">
        <v>839</v>
      </c>
      <c r="AF87">
        <v>238790610</v>
      </c>
      <c r="AG87" s="1" t="s">
        <v>645</v>
      </c>
      <c r="AH87" s="1" t="s">
        <v>838</v>
      </c>
      <c r="AI87" s="1" t="s">
        <v>840</v>
      </c>
      <c r="AJ87" s="1" t="s">
        <v>841</v>
      </c>
      <c r="AK87">
        <v>238790606</v>
      </c>
      <c r="AL87" s="1" t="s">
        <v>748</v>
      </c>
      <c r="AM87" s="1" t="s">
        <v>685</v>
      </c>
      <c r="AN87" s="1" t="s">
        <v>842</v>
      </c>
      <c r="AO87" s="1" t="s">
        <v>843</v>
      </c>
      <c r="AQ87" s="1" t="s">
        <v>830</v>
      </c>
      <c r="AR87" s="1" t="s">
        <v>734</v>
      </c>
      <c r="AS87" s="1" t="s">
        <v>844</v>
      </c>
      <c r="AT87" s="1" t="s">
        <v>845</v>
      </c>
      <c r="AU87">
        <v>238790606</v>
      </c>
      <c r="AV87" s="1" t="s">
        <v>787</v>
      </c>
      <c r="AW87" s="1"/>
      <c r="AX87" s="1" t="s">
        <v>659</v>
      </c>
      <c r="AY87">
        <v>617425668</v>
      </c>
      <c r="AZ87" s="1" t="s">
        <v>660</v>
      </c>
      <c r="BA87">
        <v>678409252</v>
      </c>
      <c r="BB87" s="1" t="s">
        <v>846</v>
      </c>
      <c r="BC87" s="1" t="s">
        <v>847</v>
      </c>
      <c r="BD87">
        <v>45</v>
      </c>
      <c r="BE87">
        <v>238790606</v>
      </c>
      <c r="BF87">
        <v>47.9637451171875</v>
      </c>
      <c r="BG87">
        <v>1.8857841491699201</v>
      </c>
      <c r="BH87">
        <v>451647903</v>
      </c>
      <c r="BI87">
        <v>413</v>
      </c>
      <c r="BJ87" s="2">
        <v>37092</v>
      </c>
      <c r="BK87" s="1" t="s">
        <v>2000</v>
      </c>
      <c r="BL87" s="1" t="s">
        <v>290</v>
      </c>
      <c r="BM87" s="1" t="s">
        <v>291</v>
      </c>
      <c r="BN87" s="1" t="s">
        <v>292</v>
      </c>
      <c r="BO87" s="1" t="s">
        <v>291</v>
      </c>
      <c r="BP87" s="1" t="s">
        <v>293</v>
      </c>
      <c r="BQ87" s="1" t="s">
        <v>294</v>
      </c>
      <c r="BR87">
        <v>80</v>
      </c>
      <c r="BS87">
        <v>28219288.91</v>
      </c>
      <c r="BT87" s="1" t="s">
        <v>295</v>
      </c>
      <c r="BU87" s="1" t="s">
        <v>401</v>
      </c>
      <c r="BV87">
        <v>447343</v>
      </c>
      <c r="BW87">
        <v>1.597568175762791E-2</v>
      </c>
      <c r="BX87">
        <v>67.771609415177707</v>
      </c>
      <c r="BY87">
        <v>3.3576899408804213</v>
      </c>
      <c r="BZ87">
        <v>3.1105975692841921</v>
      </c>
      <c r="CA87">
        <v>74.239896925342322</v>
      </c>
      <c r="CB87" s="1" t="s">
        <v>476</v>
      </c>
      <c r="CC87">
        <v>1</v>
      </c>
      <c r="CD87" s="1" t="s">
        <v>298</v>
      </c>
      <c r="CE87" s="1" t="s">
        <v>299</v>
      </c>
      <c r="CF87">
        <v>1101</v>
      </c>
      <c r="CG87" s="1" t="s">
        <v>300</v>
      </c>
      <c r="CH87" s="1" t="s">
        <v>301</v>
      </c>
      <c r="CI87" s="1" t="s">
        <v>302</v>
      </c>
      <c r="CJ87" s="1" t="s">
        <v>301</v>
      </c>
      <c r="CK87" s="1" t="s">
        <v>302</v>
      </c>
      <c r="CL87" s="1" t="s">
        <v>303</v>
      </c>
      <c r="CM87">
        <v>3601651117009</v>
      </c>
      <c r="CO87" s="1"/>
      <c r="CP87" s="1" t="s">
        <v>304</v>
      </c>
      <c r="CQ87" s="1" t="s">
        <v>556</v>
      </c>
      <c r="CR87" s="1" t="s">
        <v>407</v>
      </c>
      <c r="CS87">
        <v>6515</v>
      </c>
      <c r="CT87">
        <v>5464</v>
      </c>
      <c r="CU87" t="s">
        <v>477</v>
      </c>
      <c r="CV87" s="1" t="s">
        <v>478</v>
      </c>
      <c r="CW87" s="1" t="s">
        <v>308</v>
      </c>
      <c r="CY87">
        <v>1136</v>
      </c>
      <c r="CZ87" t="s">
        <v>368</v>
      </c>
      <c r="DA87" s="1" t="s">
        <v>309</v>
      </c>
      <c r="DB87">
        <v>1968</v>
      </c>
      <c r="DC87">
        <v>1051</v>
      </c>
      <c r="DD87">
        <v>0</v>
      </c>
      <c r="DE87">
        <v>950</v>
      </c>
      <c r="DF87">
        <v>1051</v>
      </c>
      <c r="DG87">
        <v>0</v>
      </c>
      <c r="DH87">
        <v>0</v>
      </c>
      <c r="DI87">
        <v>0</v>
      </c>
      <c r="DJ87">
        <v>0</v>
      </c>
      <c r="DK87" s="1" t="s">
        <v>369</v>
      </c>
      <c r="DL87" s="1" t="s">
        <v>370</v>
      </c>
      <c r="DN87" s="1"/>
      <c r="DO87">
        <v>832</v>
      </c>
      <c r="DP87">
        <v>220</v>
      </c>
      <c r="DQ87">
        <v>612</v>
      </c>
      <c r="DR87" s="1" t="s">
        <v>479</v>
      </c>
      <c r="DS87">
        <v>489</v>
      </c>
      <c r="DT87">
        <v>105</v>
      </c>
      <c r="DU87">
        <v>435</v>
      </c>
      <c r="DV87">
        <v>184</v>
      </c>
      <c r="DW87" s="1" t="s">
        <v>371</v>
      </c>
      <c r="DX87">
        <v>23</v>
      </c>
      <c r="DZ87">
        <v>2</v>
      </c>
      <c r="EA87">
        <v>2</v>
      </c>
      <c r="EB87">
        <v>10</v>
      </c>
      <c r="EC87">
        <v>2</v>
      </c>
      <c r="ED87">
        <v>1</v>
      </c>
      <c r="EE87">
        <v>0</v>
      </c>
      <c r="EF87">
        <v>15</v>
      </c>
      <c r="EG87">
        <v>2010</v>
      </c>
      <c r="EI87" s="1"/>
      <c r="EJ87" s="1" t="s">
        <v>313</v>
      </c>
      <c r="EK87" s="1" t="s">
        <v>314</v>
      </c>
      <c r="EL87">
        <v>33</v>
      </c>
      <c r="EM87">
        <v>30</v>
      </c>
      <c r="EN87">
        <v>13</v>
      </c>
      <c r="EO87" s="1" t="s">
        <v>315</v>
      </c>
      <c r="EP87">
        <v>26</v>
      </c>
      <c r="EQ87">
        <v>67.398551609649303</v>
      </c>
      <c r="ER87" s="1" t="s">
        <v>411</v>
      </c>
      <c r="ES87">
        <v>5.880410543123765</v>
      </c>
      <c r="ET87">
        <v>0</v>
      </c>
      <c r="EU87" s="1"/>
      <c r="EV87">
        <v>96.197485295204146</v>
      </c>
      <c r="EW87">
        <v>0</v>
      </c>
      <c r="EX87" t="s">
        <v>316</v>
      </c>
      <c r="EY87">
        <v>0</v>
      </c>
      <c r="EZ87" s="1" t="s">
        <v>412</v>
      </c>
      <c r="FA87" s="2">
        <v>44197</v>
      </c>
      <c r="FB87" s="1" t="s">
        <v>507</v>
      </c>
      <c r="FC87">
        <v>1</v>
      </c>
      <c r="FD87" s="1"/>
      <c r="FE87" s="2">
        <v>43101</v>
      </c>
      <c r="FF87" s="1"/>
      <c r="FG87" s="1" t="s">
        <v>319</v>
      </c>
      <c r="FH87" s="1" t="s">
        <v>319</v>
      </c>
      <c r="FI87" s="1" t="s">
        <v>319</v>
      </c>
      <c r="FJ87" s="1" t="s">
        <v>319</v>
      </c>
      <c r="FK87" s="1" t="s">
        <v>320</v>
      </c>
      <c r="FL87">
        <v>18.920000000000002</v>
      </c>
      <c r="FM87">
        <v>4172.192363373144</v>
      </c>
      <c r="FN87" s="1" t="s">
        <v>321</v>
      </c>
      <c r="FO87" s="1" t="s">
        <v>322</v>
      </c>
      <c r="FP87" s="1" t="s">
        <v>323</v>
      </c>
      <c r="FQ87" s="1" t="s">
        <v>324</v>
      </c>
      <c r="FR87" s="1" t="s">
        <v>325</v>
      </c>
      <c r="FS87" s="1" t="s">
        <v>374</v>
      </c>
      <c r="FT87" s="1" t="s">
        <v>326</v>
      </c>
      <c r="FU87">
        <v>494198191</v>
      </c>
      <c r="FV87" s="1" t="s">
        <v>322</v>
      </c>
      <c r="FW87" s="1" t="s">
        <v>322</v>
      </c>
      <c r="FX87" s="1" t="s">
        <v>322</v>
      </c>
      <c r="FY87" s="1" t="s">
        <v>322</v>
      </c>
      <c r="FZ87" s="1" t="s">
        <v>322</v>
      </c>
      <c r="GA87" s="1" t="s">
        <v>322</v>
      </c>
      <c r="GB87" s="1" t="s">
        <v>319</v>
      </c>
      <c r="GC87" s="1" t="s">
        <v>322</v>
      </c>
      <c r="GD87" s="1" t="s">
        <v>319</v>
      </c>
      <c r="GE87" s="1" t="s">
        <v>319</v>
      </c>
      <c r="GF87" s="1" t="s">
        <v>415</v>
      </c>
      <c r="GG87" s="1"/>
      <c r="GH87" s="1" t="s">
        <v>319</v>
      </c>
      <c r="GI87" s="1"/>
      <c r="GJ87" s="1" t="s">
        <v>322</v>
      </c>
      <c r="GK87" s="2">
        <v>42005</v>
      </c>
      <c r="GL87" s="1" t="s">
        <v>322</v>
      </c>
      <c r="GM87" s="1" t="s">
        <v>322</v>
      </c>
      <c r="GN87">
        <v>42989</v>
      </c>
      <c r="GO87" s="1" t="s">
        <v>319</v>
      </c>
      <c r="GQ87" s="1"/>
      <c r="GR87" s="1"/>
      <c r="GS87" s="1"/>
      <c r="GT87" s="1" t="s">
        <v>319</v>
      </c>
      <c r="GU87" s="1" t="s">
        <v>319</v>
      </c>
      <c r="GV87" s="1" t="s">
        <v>319</v>
      </c>
      <c r="GW87" s="1" t="s">
        <v>319</v>
      </c>
      <c r="GX87" s="1" t="s">
        <v>319</v>
      </c>
      <c r="GY87" s="1" t="s">
        <v>319</v>
      </c>
      <c r="GZ87" s="1" t="s">
        <v>319</v>
      </c>
      <c r="HA87" s="2">
        <v>44082</v>
      </c>
      <c r="HB87" s="2">
        <v>42653</v>
      </c>
      <c r="HC87" s="1"/>
      <c r="HD87" s="1"/>
      <c r="HE87" s="1"/>
      <c r="HF87" s="1"/>
      <c r="HG87" s="1"/>
      <c r="HH87" s="1" t="s">
        <v>322</v>
      </c>
      <c r="HI87" s="1" t="s">
        <v>322</v>
      </c>
      <c r="HJ87" s="1" t="s">
        <v>485</v>
      </c>
      <c r="HK87" s="2">
        <v>42736</v>
      </c>
      <c r="HL87" s="1"/>
      <c r="HM87" s="1" t="s">
        <v>322</v>
      </c>
      <c r="HN87" s="1" t="s">
        <v>322</v>
      </c>
      <c r="HO87" s="1"/>
      <c r="HP87" s="1"/>
      <c r="HQ87" s="1"/>
      <c r="HR87" s="1"/>
      <c r="HS87" s="1"/>
      <c r="HT87" s="1"/>
      <c r="HU87" s="1" t="s">
        <v>331</v>
      </c>
      <c r="HV87">
        <v>4622021010</v>
      </c>
      <c r="HW87">
        <v>40638110</v>
      </c>
      <c r="HX87">
        <v>99102519592</v>
      </c>
      <c r="HY87" s="1" t="s">
        <v>849</v>
      </c>
      <c r="HZ87">
        <v>4304168</v>
      </c>
      <c r="IA87">
        <v>4321261</v>
      </c>
      <c r="IB87" s="1" t="s">
        <v>850</v>
      </c>
      <c r="IC87">
        <v>830244</v>
      </c>
      <c r="ID87" s="1" t="s">
        <v>851</v>
      </c>
      <c r="IE87">
        <v>2.08</v>
      </c>
      <c r="IF87">
        <v>3.08</v>
      </c>
      <c r="IG87">
        <v>3.19</v>
      </c>
      <c r="IH87">
        <v>3.49</v>
      </c>
      <c r="II87">
        <v>2.75</v>
      </c>
      <c r="IJ87">
        <v>2.4662500000000001</v>
      </c>
      <c r="IK87">
        <v>2.4500000000000002</v>
      </c>
    </row>
    <row r="88" spans="1:245" x14ac:dyDescent="0.3">
      <c r="A88">
        <v>1922</v>
      </c>
      <c r="B88">
        <v>2427</v>
      </c>
      <c r="C88" s="1" t="s">
        <v>3227</v>
      </c>
      <c r="D88" s="1" t="s">
        <v>336</v>
      </c>
      <c r="E88" t="s">
        <v>3275</v>
      </c>
      <c r="F88" s="1" t="s">
        <v>1149</v>
      </c>
      <c r="G88" s="1" t="s">
        <v>1150</v>
      </c>
      <c r="H88">
        <v>617425644</v>
      </c>
      <c r="I88" s="1" t="s">
        <v>3228</v>
      </c>
      <c r="J88" s="1" t="s">
        <v>3229</v>
      </c>
      <c r="L88">
        <v>41988</v>
      </c>
      <c r="M88" s="1" t="s">
        <v>3230</v>
      </c>
      <c r="N88" s="1" t="s">
        <v>3231</v>
      </c>
      <c r="O88">
        <v>534010568</v>
      </c>
      <c r="P88" s="1" t="s">
        <v>273</v>
      </c>
      <c r="Q88" s="1" t="s">
        <v>1151</v>
      </c>
      <c r="R88" s="1" t="s">
        <v>3117</v>
      </c>
      <c r="S88" s="1" t="s">
        <v>3232</v>
      </c>
      <c r="T88" s="1" t="s">
        <v>3233</v>
      </c>
      <c r="U88">
        <v>534010569</v>
      </c>
      <c r="V88" s="1" t="s">
        <v>276</v>
      </c>
      <c r="W88" s="1" t="s">
        <v>3159</v>
      </c>
      <c r="X88" s="1" t="s">
        <v>3232</v>
      </c>
      <c r="Y88" s="1" t="s">
        <v>3234</v>
      </c>
      <c r="Z88" s="1" t="s">
        <v>3235</v>
      </c>
      <c r="AB88" s="1" t="s">
        <v>3248</v>
      </c>
      <c r="AC88" s="1" t="s">
        <v>1157</v>
      </c>
      <c r="AD88" s="1" t="s">
        <v>3236</v>
      </c>
      <c r="AE88" s="1" t="s">
        <v>3237</v>
      </c>
      <c r="AF88">
        <v>534010566</v>
      </c>
      <c r="AG88" s="1" t="s">
        <v>3204</v>
      </c>
      <c r="AH88" s="1" t="s">
        <v>3236</v>
      </c>
      <c r="AI88" s="1" t="s">
        <v>3238</v>
      </c>
      <c r="AJ88" s="1" t="s">
        <v>3239</v>
      </c>
      <c r="AK88">
        <v>637760133</v>
      </c>
      <c r="AL88" s="1" t="s">
        <v>3090</v>
      </c>
      <c r="AM88" s="1" t="s">
        <v>3124</v>
      </c>
      <c r="AN88" s="1" t="s">
        <v>3240</v>
      </c>
      <c r="AO88" s="1" t="s">
        <v>3241</v>
      </c>
      <c r="AP88">
        <v>534010562</v>
      </c>
      <c r="AQ88" s="1" t="s">
        <v>3228</v>
      </c>
      <c r="AR88" s="1" t="s">
        <v>1165</v>
      </c>
      <c r="AS88" s="1" t="s">
        <v>3240</v>
      </c>
      <c r="AT88" s="1" t="s">
        <v>3241</v>
      </c>
      <c r="AU88">
        <v>534010562</v>
      </c>
      <c r="AV88" s="1" t="s">
        <v>3138</v>
      </c>
      <c r="AW88" s="1" t="s">
        <v>1168</v>
      </c>
      <c r="AX88" s="1" t="s">
        <v>1169</v>
      </c>
      <c r="AY88">
        <v>628020688</v>
      </c>
      <c r="AZ88" s="1" t="s">
        <v>946</v>
      </c>
      <c r="BA88">
        <v>629385386</v>
      </c>
      <c r="BB88" s="1" t="s">
        <v>3242</v>
      </c>
      <c r="BC88" s="1" t="s">
        <v>3243</v>
      </c>
      <c r="BD88">
        <v>9</v>
      </c>
      <c r="BE88">
        <v>534010560</v>
      </c>
      <c r="BF88">
        <v>43.0736083984375</v>
      </c>
      <c r="BG88">
        <v>1.6446189880371</v>
      </c>
      <c r="BH88">
        <v>451647903</v>
      </c>
      <c r="BI88">
        <v>1148</v>
      </c>
      <c r="BJ88" s="2">
        <v>39981</v>
      </c>
      <c r="BK88" s="1" t="s">
        <v>3328</v>
      </c>
      <c r="BL88" s="1" t="s">
        <v>290</v>
      </c>
      <c r="BM88" s="1" t="s">
        <v>291</v>
      </c>
      <c r="BN88" s="1" t="s">
        <v>292</v>
      </c>
      <c r="BO88" s="1" t="s">
        <v>291</v>
      </c>
      <c r="BP88" s="1" t="s">
        <v>293</v>
      </c>
      <c r="BQ88" s="1" t="s">
        <v>294</v>
      </c>
      <c r="BR88">
        <v>80</v>
      </c>
      <c r="BS88">
        <v>23563897.030000001</v>
      </c>
      <c r="BT88" s="1" t="s">
        <v>295</v>
      </c>
      <c r="BU88" s="1" t="s">
        <v>359</v>
      </c>
      <c r="BV88">
        <v>322300</v>
      </c>
      <c r="BW88">
        <v>1.1879872679278616E-2</v>
      </c>
      <c r="BX88">
        <v>52.185468451242798</v>
      </c>
      <c r="BY88">
        <v>6.4761323926946668</v>
      </c>
      <c r="BZ88">
        <v>5.1799037383793758</v>
      </c>
      <c r="CA88">
        <v>63.841504582316837</v>
      </c>
      <c r="CB88" s="1" t="s">
        <v>360</v>
      </c>
      <c r="CC88">
        <v>1</v>
      </c>
      <c r="CD88" s="1" t="s">
        <v>361</v>
      </c>
      <c r="CE88" s="1" t="s">
        <v>361</v>
      </c>
      <c r="CF88">
        <v>1106</v>
      </c>
      <c r="CG88" s="1" t="s">
        <v>362</v>
      </c>
      <c r="CH88" s="1" t="s">
        <v>363</v>
      </c>
      <c r="CI88" s="1" t="s">
        <v>364</v>
      </c>
      <c r="CJ88" s="1" t="s">
        <v>363</v>
      </c>
      <c r="CK88" s="1" t="s">
        <v>364</v>
      </c>
      <c r="CL88" s="1" t="s">
        <v>365</v>
      </c>
      <c r="CM88">
        <v>3601651110000</v>
      </c>
      <c r="CO88" s="1"/>
      <c r="CP88" s="1" t="s">
        <v>444</v>
      </c>
      <c r="CQ88" s="1" t="s">
        <v>367</v>
      </c>
      <c r="CR88" s="1" t="s">
        <v>306</v>
      </c>
      <c r="CS88">
        <v>5500</v>
      </c>
      <c r="CT88">
        <v>2500</v>
      </c>
      <c r="CU88">
        <v>2500</v>
      </c>
      <c r="CV88" s="1" t="s">
        <v>584</v>
      </c>
      <c r="CW88" s="1" t="s">
        <v>308</v>
      </c>
      <c r="CY88">
        <v>3000</v>
      </c>
      <c r="CZ88">
        <v>3000</v>
      </c>
      <c r="DA88" s="1" t="s">
        <v>309</v>
      </c>
      <c r="DB88">
        <v>3000</v>
      </c>
      <c r="DC88">
        <v>3000</v>
      </c>
      <c r="DD88">
        <v>84</v>
      </c>
      <c r="DE88">
        <v>0</v>
      </c>
      <c r="DF88">
        <v>1000</v>
      </c>
      <c r="DG88">
        <v>2000</v>
      </c>
      <c r="DH88">
        <v>0</v>
      </c>
      <c r="DI88">
        <v>0</v>
      </c>
      <c r="DJ88">
        <v>0</v>
      </c>
      <c r="DK88" s="1" t="s">
        <v>409</v>
      </c>
      <c r="DL88" s="1" t="s">
        <v>741</v>
      </c>
      <c r="DN88" s="1"/>
      <c r="DO88">
        <v>800</v>
      </c>
      <c r="DP88">
        <v>0</v>
      </c>
      <c r="DQ88">
        <v>800</v>
      </c>
      <c r="DR88" s="1"/>
      <c r="DS88">
        <v>400</v>
      </c>
      <c r="DT88">
        <v>80</v>
      </c>
      <c r="DU88">
        <v>244</v>
      </c>
      <c r="DV88">
        <v>202</v>
      </c>
      <c r="DW88" s="1" t="s">
        <v>371</v>
      </c>
      <c r="DX88">
        <v>13</v>
      </c>
      <c r="DZ88">
        <v>2</v>
      </c>
      <c r="EA88">
        <v>2</v>
      </c>
      <c r="EB88">
        <v>9</v>
      </c>
      <c r="EC88">
        <v>3</v>
      </c>
      <c r="ED88">
        <v>0</v>
      </c>
      <c r="EE88">
        <v>0</v>
      </c>
      <c r="EF88">
        <v>14</v>
      </c>
      <c r="EG88">
        <v>2015</v>
      </c>
      <c r="EI88" s="1"/>
      <c r="EJ88" s="1" t="s">
        <v>313</v>
      </c>
      <c r="EK88" s="1" t="s">
        <v>314</v>
      </c>
      <c r="EL88">
        <v>25</v>
      </c>
      <c r="EM88">
        <v>23</v>
      </c>
      <c r="EN88">
        <v>12</v>
      </c>
      <c r="EO88" s="1" t="s">
        <v>315</v>
      </c>
      <c r="EP88">
        <v>21</v>
      </c>
      <c r="EQ88">
        <v>44.8913036302541</v>
      </c>
      <c r="ER88" s="1" t="s">
        <v>316</v>
      </c>
      <c r="ES88">
        <v>1.3203324597133559</v>
      </c>
      <c r="ET88">
        <v>0</v>
      </c>
      <c r="EU88" s="1"/>
      <c r="EV88">
        <v>111.56809284577857</v>
      </c>
      <c r="EW88">
        <v>0</v>
      </c>
      <c r="EX88" t="s">
        <v>316</v>
      </c>
      <c r="EY88">
        <v>0</v>
      </c>
      <c r="EZ88" s="1" t="s">
        <v>317</v>
      </c>
      <c r="FA88" s="2"/>
      <c r="FB88" s="1" t="s">
        <v>607</v>
      </c>
      <c r="FC88">
        <v>1</v>
      </c>
      <c r="FD88" s="1"/>
      <c r="FE88" s="2"/>
      <c r="FF88" s="1"/>
      <c r="FG88" s="1" t="s">
        <v>322</v>
      </c>
      <c r="FH88" s="1" t="s">
        <v>319</v>
      </c>
      <c r="FI88" s="1" t="s">
        <v>319</v>
      </c>
      <c r="FJ88" s="1" t="s">
        <v>319</v>
      </c>
      <c r="FK88" s="1" t="s">
        <v>373</v>
      </c>
      <c r="FL88">
        <v>18.59</v>
      </c>
      <c r="FM88">
        <v>4134.1911602209939</v>
      </c>
      <c r="FN88" s="1" t="s">
        <v>321</v>
      </c>
      <c r="FO88" s="1" t="s">
        <v>319</v>
      </c>
      <c r="FP88" s="1" t="s">
        <v>323</v>
      </c>
      <c r="FQ88" s="1" t="s">
        <v>324</v>
      </c>
      <c r="FR88" s="1" t="s">
        <v>325</v>
      </c>
      <c r="FS88" s="1"/>
      <c r="FT88" s="1" t="s">
        <v>326</v>
      </c>
      <c r="FU88">
        <v>494198191</v>
      </c>
      <c r="FV88" s="1" t="s">
        <v>319</v>
      </c>
      <c r="FW88" s="1" t="s">
        <v>322</v>
      </c>
      <c r="FX88" s="1" t="s">
        <v>322</v>
      </c>
      <c r="FY88" s="1" t="s">
        <v>322</v>
      </c>
      <c r="FZ88" s="1" t="s">
        <v>322</v>
      </c>
      <c r="GA88" s="1" t="s">
        <v>322</v>
      </c>
      <c r="GB88" s="1" t="s">
        <v>322</v>
      </c>
      <c r="GC88" s="1" t="s">
        <v>322</v>
      </c>
      <c r="GD88" s="1" t="s">
        <v>322</v>
      </c>
      <c r="GE88" s="1" t="s">
        <v>322</v>
      </c>
      <c r="GF88" s="1" t="s">
        <v>415</v>
      </c>
      <c r="GG88" s="1"/>
      <c r="GH88" s="1" t="s">
        <v>319</v>
      </c>
      <c r="GI88" s="1"/>
      <c r="GJ88" s="1" t="s">
        <v>322</v>
      </c>
      <c r="GK88" s="2">
        <v>42005</v>
      </c>
      <c r="GL88" s="1" t="s">
        <v>322</v>
      </c>
      <c r="GM88" s="1" t="s">
        <v>322</v>
      </c>
      <c r="GN88">
        <v>43056</v>
      </c>
      <c r="GO88" s="1" t="s">
        <v>319</v>
      </c>
      <c r="GP88" t="s">
        <v>1478</v>
      </c>
      <c r="GQ88" s="1"/>
      <c r="GR88" s="1"/>
      <c r="GS88" s="1"/>
      <c r="GT88" s="1" t="s">
        <v>322</v>
      </c>
      <c r="GU88" s="1" t="s">
        <v>3199</v>
      </c>
      <c r="GV88" s="1" t="s">
        <v>319</v>
      </c>
      <c r="GW88" s="1" t="s">
        <v>322</v>
      </c>
      <c r="GX88" s="1" t="s">
        <v>322</v>
      </c>
      <c r="GY88" s="1" t="s">
        <v>319</v>
      </c>
      <c r="GZ88" s="1" t="s">
        <v>319</v>
      </c>
      <c r="HA88" s="2">
        <v>44064</v>
      </c>
      <c r="HB88" s="2">
        <v>42674</v>
      </c>
      <c r="HC88" s="1"/>
      <c r="HD88" s="1"/>
      <c r="HE88" s="1"/>
      <c r="HF88" s="1"/>
      <c r="HG88" s="1"/>
      <c r="HH88" s="1"/>
      <c r="HI88" s="1" t="s">
        <v>322</v>
      </c>
      <c r="HJ88" s="1" t="s">
        <v>330</v>
      </c>
      <c r="HK88" s="2"/>
      <c r="HL88" s="1"/>
      <c r="HM88" s="1" t="s">
        <v>322</v>
      </c>
      <c r="HN88" s="1" t="s">
        <v>322</v>
      </c>
      <c r="HO88" s="1"/>
      <c r="HP88" s="1"/>
      <c r="HQ88" s="1"/>
      <c r="HR88" s="1"/>
      <c r="HS88" s="1"/>
      <c r="HT88" s="1"/>
      <c r="HU88" s="1" t="s">
        <v>331</v>
      </c>
      <c r="HV88">
        <v>4628911016</v>
      </c>
      <c r="HW88">
        <v>40639150</v>
      </c>
      <c r="HX88">
        <v>99102571112</v>
      </c>
      <c r="HY88" s="1" t="s">
        <v>3244</v>
      </c>
      <c r="HZ88">
        <v>4319812</v>
      </c>
      <c r="IA88">
        <v>4321858</v>
      </c>
      <c r="IB88" s="1" t="s">
        <v>3245</v>
      </c>
      <c r="IC88">
        <v>830132</v>
      </c>
      <c r="ID88" s="1" t="s">
        <v>3246</v>
      </c>
      <c r="IE88">
        <v>3.51</v>
      </c>
      <c r="IF88">
        <v>3.76</v>
      </c>
      <c r="IG88">
        <v>4.76</v>
      </c>
      <c r="IH88">
        <v>5.95</v>
      </c>
      <c r="II88">
        <v>6.54</v>
      </c>
      <c r="IJ88">
        <v>4.196935483870968</v>
      </c>
      <c r="IK88">
        <v>4.18</v>
      </c>
    </row>
    <row r="89" spans="1:245" x14ac:dyDescent="0.3">
      <c r="A89">
        <v>1759</v>
      </c>
      <c r="B89">
        <v>2374</v>
      </c>
      <c r="C89" s="1" t="s">
        <v>3247</v>
      </c>
      <c r="D89" s="1" t="s">
        <v>382</v>
      </c>
      <c r="E89" t="s">
        <v>3275</v>
      </c>
      <c r="F89" s="1" t="s">
        <v>1149</v>
      </c>
      <c r="G89" s="1" t="s">
        <v>1150</v>
      </c>
      <c r="H89">
        <v>617425644</v>
      </c>
      <c r="I89" s="1" t="s">
        <v>3248</v>
      </c>
      <c r="J89" s="1" t="s">
        <v>3249</v>
      </c>
      <c r="L89">
        <v>43647</v>
      </c>
      <c r="M89" s="1" t="s">
        <v>3250</v>
      </c>
      <c r="N89" s="1" t="s">
        <v>3251</v>
      </c>
      <c r="O89">
        <v>610240437</v>
      </c>
      <c r="P89" s="1" t="s">
        <v>273</v>
      </c>
      <c r="Q89" s="1" t="s">
        <v>1151</v>
      </c>
      <c r="R89" s="1" t="s">
        <v>3117</v>
      </c>
      <c r="S89" s="1" t="s">
        <v>3252</v>
      </c>
      <c r="T89" s="1" t="s">
        <v>3253</v>
      </c>
      <c r="U89">
        <v>559350907</v>
      </c>
      <c r="V89" s="1" t="s">
        <v>276</v>
      </c>
      <c r="W89" s="1" t="s">
        <v>3159</v>
      </c>
      <c r="X89" s="1" t="s">
        <v>3232</v>
      </c>
      <c r="Y89" s="1" t="s">
        <v>3254</v>
      </c>
      <c r="Z89" s="1" t="s">
        <v>3255</v>
      </c>
      <c r="AA89">
        <v>559350905</v>
      </c>
      <c r="AB89" s="1" t="s">
        <v>3248</v>
      </c>
      <c r="AC89" s="1" t="s">
        <v>1157</v>
      </c>
      <c r="AD89" s="1" t="s">
        <v>3256</v>
      </c>
      <c r="AE89" s="1" t="s">
        <v>3257</v>
      </c>
      <c r="AF89">
        <v>559350904</v>
      </c>
      <c r="AG89" s="1" t="s">
        <v>3204</v>
      </c>
      <c r="AH89" s="1" t="s">
        <v>3236</v>
      </c>
      <c r="AI89" s="1" t="s">
        <v>3258</v>
      </c>
      <c r="AJ89" s="1" t="s">
        <v>3259</v>
      </c>
      <c r="AK89">
        <v>559350906</v>
      </c>
      <c r="AL89" s="1" t="s">
        <v>3090</v>
      </c>
      <c r="AM89" s="1" t="s">
        <v>3124</v>
      </c>
      <c r="AN89" s="1" t="s">
        <v>3260</v>
      </c>
      <c r="AO89" s="1" t="s">
        <v>3261</v>
      </c>
      <c r="AP89">
        <v>559350902</v>
      </c>
      <c r="AQ89" s="1" t="s">
        <v>3228</v>
      </c>
      <c r="AR89" s="1" t="s">
        <v>1165</v>
      </c>
      <c r="AS89" s="1" t="s">
        <v>3262</v>
      </c>
      <c r="AT89" s="1" t="s">
        <v>3263</v>
      </c>
      <c r="AV89" s="1" t="s">
        <v>3138</v>
      </c>
      <c r="AW89" s="1" t="s">
        <v>1168</v>
      </c>
      <c r="AX89" s="1" t="s">
        <v>1169</v>
      </c>
      <c r="AY89">
        <v>628020689</v>
      </c>
      <c r="AZ89" s="1" t="s">
        <v>946</v>
      </c>
      <c r="BA89">
        <v>629385387</v>
      </c>
      <c r="BB89" s="1" t="s">
        <v>3264</v>
      </c>
      <c r="BC89" s="1" t="s">
        <v>3265</v>
      </c>
      <c r="BD89">
        <v>64</v>
      </c>
      <c r="BE89">
        <v>559350900</v>
      </c>
      <c r="BF89">
        <v>43.2813720703125</v>
      </c>
      <c r="BG89">
        <v>-0.360885620117187</v>
      </c>
      <c r="BH89">
        <v>451647903</v>
      </c>
      <c r="BI89">
        <v>363</v>
      </c>
      <c r="BJ89" s="2">
        <v>37475</v>
      </c>
      <c r="BK89" s="1" t="s">
        <v>3318</v>
      </c>
      <c r="BL89" s="1" t="s">
        <v>290</v>
      </c>
      <c r="BM89" s="1" t="s">
        <v>291</v>
      </c>
      <c r="BN89" s="1" t="s">
        <v>292</v>
      </c>
      <c r="BO89" s="1" t="s">
        <v>291</v>
      </c>
      <c r="BP89" s="1" t="s">
        <v>293</v>
      </c>
      <c r="BQ89" s="1" t="s">
        <v>294</v>
      </c>
      <c r="BR89">
        <v>80</v>
      </c>
      <c r="BS89">
        <v>23418601.59</v>
      </c>
      <c r="BT89" s="1" t="s">
        <v>295</v>
      </c>
      <c r="BU89" s="1" t="s">
        <v>296</v>
      </c>
      <c r="BV89">
        <v>368260</v>
      </c>
      <c r="BW89">
        <v>1.1818024224283739E-2</v>
      </c>
      <c r="BX89">
        <v>54.514010681083903</v>
      </c>
      <c r="BY89">
        <v>10.69520999538471</v>
      </c>
      <c r="BZ89">
        <v>0.42125118129271882</v>
      </c>
      <c r="CA89">
        <v>65.630471857761336</v>
      </c>
      <c r="CB89" s="1" t="s">
        <v>297</v>
      </c>
      <c r="CC89">
        <v>1</v>
      </c>
      <c r="CD89" s="1" t="s">
        <v>402</v>
      </c>
      <c r="CE89" s="1" t="s">
        <v>504</v>
      </c>
      <c r="CF89">
        <v>1106</v>
      </c>
      <c r="CG89" s="1" t="s">
        <v>362</v>
      </c>
      <c r="CH89" s="1" t="s">
        <v>363</v>
      </c>
      <c r="CI89" s="1" t="s">
        <v>364</v>
      </c>
      <c r="CJ89" s="1" t="s">
        <v>363</v>
      </c>
      <c r="CK89" s="1" t="s">
        <v>364</v>
      </c>
      <c r="CL89" s="1" t="s">
        <v>365</v>
      </c>
      <c r="CM89">
        <v>3601651110000</v>
      </c>
      <c r="CO89" s="1"/>
      <c r="CP89" s="1" t="s">
        <v>444</v>
      </c>
      <c r="CQ89" s="1" t="s">
        <v>406</v>
      </c>
      <c r="CR89" s="1" t="s">
        <v>306</v>
      </c>
      <c r="CS89">
        <v>7861</v>
      </c>
      <c r="CT89">
        <v>3700</v>
      </c>
      <c r="CU89">
        <v>3700</v>
      </c>
      <c r="CV89" s="1" t="s">
        <v>307</v>
      </c>
      <c r="CW89" s="1" t="s">
        <v>308</v>
      </c>
      <c r="CY89">
        <v>4160</v>
      </c>
      <c r="CZ89" t="s">
        <v>873</v>
      </c>
      <c r="DA89" s="1" t="s">
        <v>874</v>
      </c>
      <c r="DB89">
        <v>4161</v>
      </c>
      <c r="DC89">
        <v>4161</v>
      </c>
      <c r="DD89">
        <v>84</v>
      </c>
      <c r="DE89">
        <v>0</v>
      </c>
      <c r="DF89">
        <v>1336</v>
      </c>
      <c r="DG89">
        <v>2825</v>
      </c>
      <c r="DH89">
        <v>0</v>
      </c>
      <c r="DI89">
        <v>0</v>
      </c>
      <c r="DJ89">
        <v>0</v>
      </c>
      <c r="DK89" s="1" t="s">
        <v>409</v>
      </c>
      <c r="DL89" s="1" t="s">
        <v>741</v>
      </c>
      <c r="DN89" s="1"/>
      <c r="DO89">
        <v>786</v>
      </c>
      <c r="DP89">
        <v>0</v>
      </c>
      <c r="DQ89">
        <v>786</v>
      </c>
      <c r="DR89" s="1"/>
      <c r="DS89">
        <v>400</v>
      </c>
      <c r="DT89">
        <v>95</v>
      </c>
      <c r="DU89">
        <v>237</v>
      </c>
      <c r="DV89">
        <v>166</v>
      </c>
      <c r="DW89" s="1" t="s">
        <v>371</v>
      </c>
      <c r="DX89">
        <v>18</v>
      </c>
      <c r="DZ89">
        <v>2</v>
      </c>
      <c r="EA89">
        <v>2</v>
      </c>
      <c r="EB89">
        <v>8</v>
      </c>
      <c r="EC89">
        <v>2</v>
      </c>
      <c r="ED89">
        <v>0</v>
      </c>
      <c r="EE89">
        <v>0</v>
      </c>
      <c r="EF89">
        <v>12</v>
      </c>
      <c r="EG89">
        <v>2010</v>
      </c>
      <c r="EI89" s="1"/>
      <c r="EJ89" s="1" t="s">
        <v>313</v>
      </c>
      <c r="EK89" s="1" t="s">
        <v>314</v>
      </c>
      <c r="EL89">
        <v>34</v>
      </c>
      <c r="EM89">
        <v>33</v>
      </c>
      <c r="EN89">
        <v>11</v>
      </c>
      <c r="EO89" s="1" t="s">
        <v>315</v>
      </c>
      <c r="EP89">
        <v>42</v>
      </c>
      <c r="EQ89">
        <v>79.674247884222979</v>
      </c>
      <c r="ER89" s="1" t="s">
        <v>316</v>
      </c>
      <c r="ES89">
        <v>3.3451020104063085</v>
      </c>
      <c r="ET89">
        <v>0</v>
      </c>
      <c r="EU89" s="1"/>
      <c r="EV89">
        <v>100.50511040357135</v>
      </c>
      <c r="EW89">
        <v>1</v>
      </c>
      <c r="EX89" t="s">
        <v>316</v>
      </c>
      <c r="EY89">
        <v>1</v>
      </c>
      <c r="EZ89" s="1" t="s">
        <v>412</v>
      </c>
      <c r="FA89" s="2">
        <v>44197</v>
      </c>
      <c r="FB89" s="1" t="s">
        <v>529</v>
      </c>
      <c r="FC89">
        <v>1</v>
      </c>
      <c r="FD89" s="1"/>
      <c r="FE89" s="2"/>
      <c r="FF89" s="1"/>
      <c r="FG89" s="1" t="s">
        <v>319</v>
      </c>
      <c r="FH89" s="1" t="s">
        <v>319</v>
      </c>
      <c r="FI89" s="1" t="s">
        <v>319</v>
      </c>
      <c r="FJ89" s="1" t="s">
        <v>319</v>
      </c>
      <c r="FK89" s="1" t="s">
        <v>373</v>
      </c>
      <c r="FL89">
        <v>18.59</v>
      </c>
      <c r="FM89">
        <v>5209.5784530386736</v>
      </c>
      <c r="FN89" s="1" t="s">
        <v>321</v>
      </c>
      <c r="FO89" s="1" t="s">
        <v>322</v>
      </c>
      <c r="FP89" s="1" t="s">
        <v>323</v>
      </c>
      <c r="FQ89" s="1" t="s">
        <v>559</v>
      </c>
      <c r="FR89" s="1" t="s">
        <v>325</v>
      </c>
      <c r="FS89" s="1"/>
      <c r="FT89" s="1" t="s">
        <v>326</v>
      </c>
      <c r="FU89">
        <v>494198191</v>
      </c>
      <c r="FV89" s="1" t="s">
        <v>322</v>
      </c>
      <c r="FW89" s="1" t="s">
        <v>319</v>
      </c>
      <c r="FX89" s="1" t="s">
        <v>322</v>
      </c>
      <c r="FY89" s="1" t="s">
        <v>322</v>
      </c>
      <c r="FZ89" s="1" t="s">
        <v>322</v>
      </c>
      <c r="GA89" s="1" t="s">
        <v>322</v>
      </c>
      <c r="GB89" s="1" t="s">
        <v>322</v>
      </c>
      <c r="GC89" s="1" t="s">
        <v>322</v>
      </c>
      <c r="GD89" s="1" t="s">
        <v>319</v>
      </c>
      <c r="GE89" s="1" t="s">
        <v>319</v>
      </c>
      <c r="GF89" s="1" t="s">
        <v>327</v>
      </c>
      <c r="GG89" s="1"/>
      <c r="GH89" s="1" t="s">
        <v>322</v>
      </c>
      <c r="GI89" s="1" t="s">
        <v>416</v>
      </c>
      <c r="GJ89" s="1" t="s">
        <v>322</v>
      </c>
      <c r="GK89" s="2">
        <v>42005</v>
      </c>
      <c r="GL89" s="1" t="s">
        <v>322</v>
      </c>
      <c r="GM89" s="1" t="s">
        <v>322</v>
      </c>
      <c r="GN89">
        <v>43178</v>
      </c>
      <c r="GO89" s="1" t="s">
        <v>322</v>
      </c>
      <c r="GP89">
        <v>43132</v>
      </c>
      <c r="GQ89" s="1" t="s">
        <v>3266</v>
      </c>
      <c r="GR89" s="1" t="s">
        <v>322</v>
      </c>
      <c r="GS89" s="1" t="s">
        <v>448</v>
      </c>
      <c r="GT89" s="1" t="s">
        <v>322</v>
      </c>
      <c r="GU89" s="1" t="s">
        <v>3223</v>
      </c>
      <c r="GV89" s="1" t="s">
        <v>322</v>
      </c>
      <c r="GW89" s="1" t="s">
        <v>319</v>
      </c>
      <c r="GX89" s="1" t="s">
        <v>322</v>
      </c>
      <c r="GY89" s="1" t="s">
        <v>319</v>
      </c>
      <c r="GZ89" s="1" t="s">
        <v>319</v>
      </c>
      <c r="HA89" s="2">
        <v>44074</v>
      </c>
      <c r="HB89" s="2">
        <v>42674</v>
      </c>
      <c r="HC89" s="1"/>
      <c r="HD89" s="1"/>
      <c r="HE89" s="1"/>
      <c r="HF89" s="1"/>
      <c r="HG89" s="1"/>
      <c r="HH89" s="1"/>
      <c r="HI89" s="1" t="s">
        <v>322</v>
      </c>
      <c r="HJ89" s="1" t="s">
        <v>1122</v>
      </c>
      <c r="HK89" s="2">
        <v>43101</v>
      </c>
      <c r="HL89" s="1"/>
      <c r="HM89" s="1" t="s">
        <v>322</v>
      </c>
      <c r="HN89" s="1" t="s">
        <v>322</v>
      </c>
      <c r="HO89" s="1"/>
      <c r="HP89" s="1"/>
      <c r="HQ89" s="1"/>
      <c r="HR89" s="1"/>
      <c r="HS89" s="1"/>
      <c r="HT89" s="1"/>
      <c r="HU89" s="1" t="s">
        <v>331</v>
      </c>
      <c r="HV89">
        <v>4621967016</v>
      </c>
      <c r="HW89">
        <v>40639166</v>
      </c>
      <c r="HX89">
        <v>99102571136</v>
      </c>
      <c r="HY89" s="1" t="s">
        <v>3267</v>
      </c>
      <c r="HZ89">
        <v>4319155</v>
      </c>
      <c r="IA89">
        <v>4321607</v>
      </c>
      <c r="IB89" s="1" t="s">
        <v>3268</v>
      </c>
      <c r="IC89">
        <v>830174</v>
      </c>
      <c r="ID89" s="1" t="s">
        <v>3269</v>
      </c>
      <c r="IE89">
        <v>3.26</v>
      </c>
      <c r="IF89">
        <v>3.38</v>
      </c>
      <c r="IG89">
        <v>4.38</v>
      </c>
      <c r="IH89">
        <v>3.96</v>
      </c>
      <c r="II89">
        <v>4</v>
      </c>
      <c r="IJ89">
        <v>1.86</v>
      </c>
      <c r="IK89">
        <v>1.86</v>
      </c>
    </row>
    <row r="90" spans="1:245" x14ac:dyDescent="0.3">
      <c r="A90">
        <v>1757</v>
      </c>
      <c r="B90">
        <v>2372</v>
      </c>
      <c r="C90" s="1" t="s">
        <v>564</v>
      </c>
      <c r="D90" s="1" t="s">
        <v>382</v>
      </c>
      <c r="E90" t="s">
        <v>3275</v>
      </c>
      <c r="F90" s="1" t="s">
        <v>337</v>
      </c>
      <c r="G90" s="1" t="s">
        <v>338</v>
      </c>
      <c r="H90">
        <v>614540304</v>
      </c>
      <c r="I90" s="1" t="s">
        <v>565</v>
      </c>
      <c r="J90" s="1" t="s">
        <v>566</v>
      </c>
      <c r="K90">
        <v>609230474</v>
      </c>
      <c r="L90">
        <v>43622</v>
      </c>
      <c r="M90" s="1" t="s">
        <v>567</v>
      </c>
      <c r="N90" s="1" t="s">
        <v>568</v>
      </c>
      <c r="O90">
        <v>553056259</v>
      </c>
      <c r="P90" s="1" t="s">
        <v>273</v>
      </c>
      <c r="Q90" s="1" t="s">
        <v>454</v>
      </c>
      <c r="R90" s="1" t="s">
        <v>567</v>
      </c>
      <c r="S90" s="1" t="s">
        <v>569</v>
      </c>
      <c r="T90" s="1" t="s">
        <v>570</v>
      </c>
      <c r="U90">
        <v>786686019</v>
      </c>
      <c r="V90" s="1" t="s">
        <v>276</v>
      </c>
      <c r="W90" s="1" t="s">
        <v>454</v>
      </c>
      <c r="X90" s="1" t="s">
        <v>494</v>
      </c>
      <c r="Y90" s="1" t="s">
        <v>571</v>
      </c>
      <c r="Z90" s="1" t="s">
        <v>572</v>
      </c>
      <c r="AA90">
        <v>553056253</v>
      </c>
      <c r="AB90" s="1" t="s">
        <v>615</v>
      </c>
      <c r="AC90" s="1" t="s">
        <v>571</v>
      </c>
      <c r="AD90" s="1" t="s">
        <v>573</v>
      </c>
      <c r="AE90" s="1" t="s">
        <v>574</v>
      </c>
      <c r="AF90">
        <v>553056258</v>
      </c>
      <c r="AG90" s="1" t="s">
        <v>490</v>
      </c>
      <c r="AH90" s="1"/>
      <c r="AI90" s="1" t="s">
        <v>575</v>
      </c>
      <c r="AJ90" s="1" t="s">
        <v>576</v>
      </c>
      <c r="AK90">
        <v>553056255</v>
      </c>
      <c r="AL90" s="1" t="s">
        <v>565</v>
      </c>
      <c r="AM90" s="1" t="s">
        <v>392</v>
      </c>
      <c r="AN90" s="1" t="s">
        <v>577</v>
      </c>
      <c r="AO90" s="1" t="s">
        <v>578</v>
      </c>
      <c r="AP90">
        <v>553056252</v>
      </c>
      <c r="AQ90" s="1" t="s">
        <v>590</v>
      </c>
      <c r="AR90" s="1"/>
      <c r="AS90" s="1" t="s">
        <v>579</v>
      </c>
      <c r="AT90" s="1" t="s">
        <v>580</v>
      </c>
      <c r="AU90">
        <v>553056254</v>
      </c>
      <c r="AV90" s="1" t="s">
        <v>383</v>
      </c>
      <c r="AW90" s="1"/>
      <c r="AX90" s="1" t="s">
        <v>355</v>
      </c>
      <c r="AY90">
        <v>623422351</v>
      </c>
      <c r="AZ90" s="1" t="s">
        <v>356</v>
      </c>
      <c r="BA90">
        <v>678408523</v>
      </c>
      <c r="BB90" s="1" t="s">
        <v>581</v>
      </c>
      <c r="BC90" s="1" t="s">
        <v>582</v>
      </c>
      <c r="BD90">
        <v>24</v>
      </c>
      <c r="BE90">
        <v>553056250</v>
      </c>
      <c r="BF90">
        <v>45.1890869140625</v>
      </c>
      <c r="BG90">
        <v>0.75620651245117099</v>
      </c>
      <c r="BH90">
        <v>451647903</v>
      </c>
      <c r="BI90">
        <v>82</v>
      </c>
      <c r="BJ90" s="2">
        <v>37715</v>
      </c>
      <c r="BK90" s="1" t="s">
        <v>1120</v>
      </c>
      <c r="BL90" s="1" t="s">
        <v>290</v>
      </c>
      <c r="BM90" s="1" t="s">
        <v>291</v>
      </c>
      <c r="BN90" s="1" t="s">
        <v>292</v>
      </c>
      <c r="BO90" s="1" t="s">
        <v>291</v>
      </c>
      <c r="BP90" s="1" t="s">
        <v>293</v>
      </c>
      <c r="BQ90" s="1" t="s">
        <v>294</v>
      </c>
      <c r="BR90">
        <v>80</v>
      </c>
      <c r="BS90">
        <v>25268043.23</v>
      </c>
      <c r="BT90" s="1" t="s">
        <v>295</v>
      </c>
      <c r="BU90" s="1" t="s">
        <v>296</v>
      </c>
      <c r="BV90">
        <v>373276</v>
      </c>
      <c r="BW90">
        <v>1.2472239654349342E-2</v>
      </c>
      <c r="BX90">
        <v>65.714248038504707</v>
      </c>
      <c r="BY90">
        <v>2.8666732599283535</v>
      </c>
      <c r="BZ90">
        <v>4.7611739302432916</v>
      </c>
      <c r="CA90">
        <v>73.342095228676342</v>
      </c>
      <c r="CB90" s="1" t="s">
        <v>360</v>
      </c>
      <c r="CC90">
        <v>1</v>
      </c>
      <c r="CD90" s="1" t="s">
        <v>402</v>
      </c>
      <c r="CE90" s="1" t="s">
        <v>504</v>
      </c>
      <c r="CF90">
        <v>1106</v>
      </c>
      <c r="CG90" s="1" t="s">
        <v>362</v>
      </c>
      <c r="CH90" s="1" t="s">
        <v>403</v>
      </c>
      <c r="CI90" s="1" t="s">
        <v>404</v>
      </c>
      <c r="CJ90" s="1" t="s">
        <v>301</v>
      </c>
      <c r="CK90" s="1" t="s">
        <v>302</v>
      </c>
      <c r="CL90" s="1" t="s">
        <v>365</v>
      </c>
      <c r="CM90">
        <v>3601651110000</v>
      </c>
      <c r="CO90" s="1"/>
      <c r="CP90" s="1" t="s">
        <v>583</v>
      </c>
      <c r="CQ90" s="1" t="s">
        <v>406</v>
      </c>
      <c r="CR90" s="1" t="s">
        <v>407</v>
      </c>
      <c r="CS90">
        <v>5054</v>
      </c>
      <c r="CT90">
        <v>2715</v>
      </c>
      <c r="CU90">
        <v>2500</v>
      </c>
      <c r="CV90" s="1" t="s">
        <v>584</v>
      </c>
      <c r="CW90" s="1" t="s">
        <v>308</v>
      </c>
      <c r="CY90">
        <v>2339</v>
      </c>
      <c r="CZ90" t="s">
        <v>368</v>
      </c>
      <c r="DA90" s="1" t="s">
        <v>309</v>
      </c>
      <c r="DB90">
        <v>2339</v>
      </c>
      <c r="DC90">
        <v>2339</v>
      </c>
      <c r="DD90">
        <v>84</v>
      </c>
      <c r="DE90">
        <v>0</v>
      </c>
      <c r="DF90">
        <v>850</v>
      </c>
      <c r="DG90">
        <v>1489</v>
      </c>
      <c r="DH90">
        <v>0</v>
      </c>
      <c r="DI90">
        <v>0</v>
      </c>
      <c r="DJ90">
        <v>0</v>
      </c>
      <c r="DK90" s="1" t="s">
        <v>409</v>
      </c>
      <c r="DL90" s="1" t="s">
        <v>445</v>
      </c>
      <c r="DN90" s="1"/>
      <c r="DO90">
        <v>680</v>
      </c>
      <c r="DP90">
        <v>0</v>
      </c>
      <c r="DQ90">
        <v>680</v>
      </c>
      <c r="DR90" s="1"/>
      <c r="DS90">
        <v>833</v>
      </c>
      <c r="DT90">
        <v>77</v>
      </c>
      <c r="DU90">
        <v>231</v>
      </c>
      <c r="DV90">
        <v>119</v>
      </c>
      <c r="DW90" s="1" t="s">
        <v>371</v>
      </c>
      <c r="DX90">
        <v>18</v>
      </c>
      <c r="DZ90">
        <v>2</v>
      </c>
      <c r="EA90">
        <v>1</v>
      </c>
      <c r="EB90">
        <v>9</v>
      </c>
      <c r="EC90">
        <v>3</v>
      </c>
      <c r="ED90">
        <v>0</v>
      </c>
      <c r="EE90">
        <v>0</v>
      </c>
      <c r="EF90">
        <v>13</v>
      </c>
      <c r="EG90">
        <v>2010</v>
      </c>
      <c r="EI90" s="1"/>
      <c r="EJ90" s="1" t="s">
        <v>313</v>
      </c>
      <c r="EK90" s="1" t="s">
        <v>314</v>
      </c>
      <c r="EL90">
        <v>37</v>
      </c>
      <c r="EM90">
        <v>35</v>
      </c>
      <c r="EN90">
        <v>11</v>
      </c>
      <c r="EO90" s="1" t="s">
        <v>315</v>
      </c>
      <c r="EP90">
        <v>29</v>
      </c>
      <c r="EQ90">
        <v>78.948189350873108</v>
      </c>
      <c r="ER90" s="1" t="s">
        <v>411</v>
      </c>
      <c r="ES90">
        <v>2.1596769123339148</v>
      </c>
      <c r="ET90">
        <v>0</v>
      </c>
      <c r="EU90" s="1"/>
      <c r="EV90">
        <v>130.06054294277578</v>
      </c>
      <c r="EW90">
        <v>0</v>
      </c>
      <c r="EX90" t="s">
        <v>316</v>
      </c>
      <c r="EY90">
        <v>0</v>
      </c>
      <c r="EZ90" s="1" t="s">
        <v>412</v>
      </c>
      <c r="FA90" s="2">
        <v>44197</v>
      </c>
      <c r="FB90" s="1" t="s">
        <v>413</v>
      </c>
      <c r="FC90">
        <v>1</v>
      </c>
      <c r="FD90" s="1"/>
      <c r="FE90" s="2"/>
      <c r="FF90" s="1"/>
      <c r="FG90" s="1" t="s">
        <v>319</v>
      </c>
      <c r="FH90" s="1" t="s">
        <v>319</v>
      </c>
      <c r="FI90" s="1" t="s">
        <v>319</v>
      </c>
      <c r="FJ90" s="1" t="s">
        <v>322</v>
      </c>
      <c r="FK90" s="1" t="s">
        <v>373</v>
      </c>
      <c r="FL90">
        <v>18.59</v>
      </c>
      <c r="FM90">
        <v>3965.8747697974213</v>
      </c>
      <c r="FN90" s="1" t="s">
        <v>321</v>
      </c>
      <c r="FO90" s="1" t="s">
        <v>319</v>
      </c>
      <c r="FP90" s="1" t="s">
        <v>323</v>
      </c>
      <c r="FQ90" s="1" t="s">
        <v>559</v>
      </c>
      <c r="FR90" s="1" t="s">
        <v>325</v>
      </c>
      <c r="FS90" s="1"/>
      <c r="FT90" s="1" t="s">
        <v>326</v>
      </c>
      <c r="FU90">
        <v>494198191</v>
      </c>
      <c r="FV90" s="1" t="s">
        <v>319</v>
      </c>
      <c r="FW90" s="1" t="s">
        <v>319</v>
      </c>
      <c r="FX90" s="1" t="s">
        <v>322</v>
      </c>
      <c r="FY90" s="1" t="s">
        <v>322</v>
      </c>
      <c r="FZ90" s="1" t="s">
        <v>322</v>
      </c>
      <c r="GA90" s="1" t="s">
        <v>322</v>
      </c>
      <c r="GB90" s="1" t="s">
        <v>319</v>
      </c>
      <c r="GC90" s="1" t="s">
        <v>322</v>
      </c>
      <c r="GD90" s="1" t="s">
        <v>319</v>
      </c>
      <c r="GE90" s="1" t="s">
        <v>319</v>
      </c>
      <c r="GF90" s="1" t="s">
        <v>415</v>
      </c>
      <c r="GG90" s="1"/>
      <c r="GH90" s="1" t="s">
        <v>319</v>
      </c>
      <c r="GI90" s="1"/>
      <c r="GJ90" s="1" t="s">
        <v>322</v>
      </c>
      <c r="GK90" s="2">
        <v>42005</v>
      </c>
      <c r="GL90" s="1" t="s">
        <v>322</v>
      </c>
      <c r="GM90" s="1" t="s">
        <v>322</v>
      </c>
      <c r="GN90">
        <v>42996</v>
      </c>
      <c r="GO90" s="1" t="s">
        <v>322</v>
      </c>
      <c r="GP90">
        <v>42064</v>
      </c>
      <c r="GQ90" s="1" t="s">
        <v>585</v>
      </c>
      <c r="GR90" s="1" t="s">
        <v>322</v>
      </c>
      <c r="GS90" s="1" t="s">
        <v>448</v>
      </c>
      <c r="GT90" s="1" t="s">
        <v>322</v>
      </c>
      <c r="GU90" s="1" t="s">
        <v>509</v>
      </c>
      <c r="GV90" s="1" t="s">
        <v>322</v>
      </c>
      <c r="GW90" s="1" t="s">
        <v>322</v>
      </c>
      <c r="GX90" s="1" t="s">
        <v>319</v>
      </c>
      <c r="GY90" s="1" t="s">
        <v>319</v>
      </c>
      <c r="GZ90" s="1" t="s">
        <v>319</v>
      </c>
      <c r="HA90" s="2">
        <v>44064</v>
      </c>
      <c r="HB90" s="2">
        <v>42625</v>
      </c>
      <c r="HC90" s="1"/>
      <c r="HD90" s="1"/>
      <c r="HE90" s="1"/>
      <c r="HF90" s="1"/>
      <c r="HG90" s="1"/>
      <c r="HH90" s="1"/>
      <c r="HI90" s="1" t="s">
        <v>319</v>
      </c>
      <c r="HJ90" s="1" t="s">
        <v>330</v>
      </c>
      <c r="HK90" s="2"/>
      <c r="HL90" s="1"/>
      <c r="HM90" s="1" t="s">
        <v>322</v>
      </c>
      <c r="HN90" s="1" t="s">
        <v>322</v>
      </c>
      <c r="HO90" s="1"/>
      <c r="HP90" s="1"/>
      <c r="HQ90" s="1"/>
      <c r="HR90" s="1"/>
      <c r="HS90" s="1"/>
      <c r="HT90" s="1"/>
      <c r="HU90" s="1" t="s">
        <v>331</v>
      </c>
      <c r="HV90">
        <v>4622027013</v>
      </c>
      <c r="HW90">
        <v>40638296</v>
      </c>
      <c r="HX90">
        <v>99102565682</v>
      </c>
      <c r="HY90" s="1" t="s">
        <v>586</v>
      </c>
      <c r="HZ90">
        <v>4304141</v>
      </c>
      <c r="IA90">
        <v>4321271</v>
      </c>
      <c r="IB90" s="1" t="s">
        <v>587</v>
      </c>
      <c r="IC90">
        <v>830159</v>
      </c>
      <c r="ID90" s="1" t="s">
        <v>588</v>
      </c>
      <c r="IE90">
        <v>4.6500000000000004</v>
      </c>
      <c r="IF90">
        <v>5.81</v>
      </c>
      <c r="IG90">
        <v>4.26</v>
      </c>
      <c r="IH90">
        <v>5.05</v>
      </c>
      <c r="II90">
        <v>4.04</v>
      </c>
      <c r="IJ90">
        <v>4.63</v>
      </c>
      <c r="IK90">
        <v>4.63</v>
      </c>
    </row>
    <row r="91" spans="1:245" x14ac:dyDescent="0.3">
      <c r="A91">
        <v>1704</v>
      </c>
      <c r="B91">
        <v>2332</v>
      </c>
      <c r="C91" s="1" t="s">
        <v>1148</v>
      </c>
      <c r="D91" s="1" t="s">
        <v>336</v>
      </c>
      <c r="E91" t="s">
        <v>3275</v>
      </c>
      <c r="F91" s="1" t="s">
        <v>1149</v>
      </c>
      <c r="G91" s="1" t="s">
        <v>1150</v>
      </c>
      <c r="H91">
        <v>617425644</v>
      </c>
      <c r="I91" s="1" t="s">
        <v>1151</v>
      </c>
      <c r="J91" s="1" t="s">
        <v>1152</v>
      </c>
      <c r="L91">
        <v>43787</v>
      </c>
      <c r="M91" s="1" t="s">
        <v>1153</v>
      </c>
      <c r="N91" s="1" t="s">
        <v>1154</v>
      </c>
      <c r="P91" s="1"/>
      <c r="Q91" s="1" t="s">
        <v>1151</v>
      </c>
      <c r="R91" s="1" t="s">
        <v>3117</v>
      </c>
      <c r="S91" s="1" t="s">
        <v>1155</v>
      </c>
      <c r="T91" s="1" t="s">
        <v>1156</v>
      </c>
      <c r="U91">
        <v>468648482</v>
      </c>
      <c r="V91" s="1" t="s">
        <v>276</v>
      </c>
      <c r="W91" s="1" t="s">
        <v>3159</v>
      </c>
      <c r="X91" s="1" t="s">
        <v>3232</v>
      </c>
      <c r="Y91" s="1" t="s">
        <v>1157</v>
      </c>
      <c r="Z91" s="1" t="s">
        <v>1158</v>
      </c>
      <c r="AA91">
        <v>663047453</v>
      </c>
      <c r="AB91" s="1" t="s">
        <v>3248</v>
      </c>
      <c r="AC91" s="1" t="s">
        <v>1157</v>
      </c>
      <c r="AD91" s="1" t="s">
        <v>1159</v>
      </c>
      <c r="AE91" s="1" t="s">
        <v>1160</v>
      </c>
      <c r="AF91">
        <v>468648486</v>
      </c>
      <c r="AG91" s="1" t="s">
        <v>3204</v>
      </c>
      <c r="AH91" s="1" t="s">
        <v>3236</v>
      </c>
      <c r="AI91" s="1" t="s">
        <v>1161</v>
      </c>
      <c r="AJ91" s="1" t="s">
        <v>1162</v>
      </c>
      <c r="AK91">
        <v>468648485</v>
      </c>
      <c r="AL91" s="1" t="s">
        <v>3090</v>
      </c>
      <c r="AM91" s="1" t="s">
        <v>3124</v>
      </c>
      <c r="AN91" s="1" t="s">
        <v>1163</v>
      </c>
      <c r="AO91" s="1" t="s">
        <v>1164</v>
      </c>
      <c r="AP91">
        <v>468648481</v>
      </c>
      <c r="AQ91" s="1" t="s">
        <v>3228</v>
      </c>
      <c r="AR91" s="1" t="s">
        <v>1165</v>
      </c>
      <c r="AS91" s="1" t="s">
        <v>1166</v>
      </c>
      <c r="AT91" s="1" t="s">
        <v>1167</v>
      </c>
      <c r="AU91">
        <v>468648491</v>
      </c>
      <c r="AV91" s="1" t="s">
        <v>3138</v>
      </c>
      <c r="AW91" s="1" t="s">
        <v>1168</v>
      </c>
      <c r="AX91" s="1" t="s">
        <v>1169</v>
      </c>
      <c r="AY91">
        <v>628020690</v>
      </c>
      <c r="AZ91" s="1" t="s">
        <v>946</v>
      </c>
      <c r="BA91">
        <v>629385388</v>
      </c>
      <c r="BB91" s="1" t="s">
        <v>1170</v>
      </c>
      <c r="BC91" s="1" t="s">
        <v>1171</v>
      </c>
      <c r="BD91">
        <v>66</v>
      </c>
      <c r="BE91">
        <v>468648484</v>
      </c>
      <c r="BF91">
        <v>42.7740478515625</v>
      </c>
      <c r="BG91">
        <v>2.91461181640625</v>
      </c>
      <c r="BH91">
        <v>451647903</v>
      </c>
      <c r="BI91">
        <v>504</v>
      </c>
      <c r="BJ91" s="2">
        <v>35235</v>
      </c>
      <c r="BK91" s="1" t="s">
        <v>3293</v>
      </c>
      <c r="BL91" s="1" t="s">
        <v>290</v>
      </c>
      <c r="BM91" s="1" t="s">
        <v>291</v>
      </c>
      <c r="BN91" s="1" t="s">
        <v>292</v>
      </c>
      <c r="BO91" s="1" t="s">
        <v>291</v>
      </c>
      <c r="BP91" s="1" t="s">
        <v>293</v>
      </c>
      <c r="BQ91" s="1" t="s">
        <v>294</v>
      </c>
      <c r="BR91">
        <v>80</v>
      </c>
      <c r="BS91">
        <v>37888070.939999998</v>
      </c>
      <c r="BT91" s="1" t="s">
        <v>295</v>
      </c>
      <c r="BU91" s="1" t="s">
        <v>817</v>
      </c>
      <c r="BV91">
        <v>531020</v>
      </c>
      <c r="BW91">
        <v>1.0101093817491937E-2</v>
      </c>
      <c r="BX91">
        <v>82.971451176897205</v>
      </c>
      <c r="BY91">
        <v>3.702385661853588</v>
      </c>
      <c r="BZ91">
        <v>5.1498082459726158</v>
      </c>
      <c r="CA91">
        <v>91.82364508472341</v>
      </c>
      <c r="CB91" s="1" t="s">
        <v>715</v>
      </c>
      <c r="CC91">
        <v>1</v>
      </c>
      <c r="CD91" s="1" t="s">
        <v>361</v>
      </c>
      <c r="CE91" s="1" t="s">
        <v>504</v>
      </c>
      <c r="CF91">
        <v>1106</v>
      </c>
      <c r="CG91" s="1" t="s">
        <v>362</v>
      </c>
      <c r="CH91" s="1" t="s">
        <v>363</v>
      </c>
      <c r="CI91" s="1" t="s">
        <v>364</v>
      </c>
      <c r="CJ91" s="1" t="s">
        <v>363</v>
      </c>
      <c r="CK91" s="1" t="s">
        <v>364</v>
      </c>
      <c r="CL91" s="1" t="s">
        <v>365</v>
      </c>
      <c r="CM91">
        <v>3601651110000</v>
      </c>
      <c r="CO91" s="1"/>
      <c r="CP91" s="1" t="s">
        <v>1172</v>
      </c>
      <c r="CQ91" s="1" t="s">
        <v>406</v>
      </c>
      <c r="CR91" s="1" t="s">
        <v>505</v>
      </c>
      <c r="CS91">
        <v>8834</v>
      </c>
      <c r="CT91">
        <v>4832</v>
      </c>
      <c r="CU91" t="s">
        <v>693</v>
      </c>
      <c r="CV91" s="1" t="s">
        <v>478</v>
      </c>
      <c r="CW91" s="1" t="s">
        <v>308</v>
      </c>
      <c r="CY91">
        <v>4002</v>
      </c>
      <c r="CZ91" t="s">
        <v>873</v>
      </c>
      <c r="DA91" s="1" t="s">
        <v>874</v>
      </c>
      <c r="DB91">
        <v>5002</v>
      </c>
      <c r="DC91">
        <v>4002</v>
      </c>
      <c r="DD91">
        <v>0</v>
      </c>
      <c r="DE91">
        <v>0</v>
      </c>
      <c r="DF91">
        <v>1312</v>
      </c>
      <c r="DG91">
        <v>2690</v>
      </c>
      <c r="DH91">
        <v>0</v>
      </c>
      <c r="DI91">
        <v>0</v>
      </c>
      <c r="DJ91">
        <v>0</v>
      </c>
      <c r="DK91" s="1" t="s">
        <v>369</v>
      </c>
      <c r="DL91" s="1" t="s">
        <v>370</v>
      </c>
      <c r="DN91" s="1"/>
      <c r="DO91">
        <v>1101</v>
      </c>
      <c r="DP91">
        <v>51</v>
      </c>
      <c r="DQ91">
        <v>1050</v>
      </c>
      <c r="DR91" s="1" t="s">
        <v>479</v>
      </c>
      <c r="DS91">
        <v>1289</v>
      </c>
      <c r="DT91">
        <v>150</v>
      </c>
      <c r="DU91">
        <v>282</v>
      </c>
      <c r="DV91">
        <v>526</v>
      </c>
      <c r="DW91" s="1" t="s">
        <v>558</v>
      </c>
      <c r="DX91">
        <v>25</v>
      </c>
      <c r="DY91">
        <v>2017</v>
      </c>
      <c r="DZ91">
        <v>2</v>
      </c>
      <c r="EA91">
        <v>2</v>
      </c>
      <c r="EB91">
        <v>12</v>
      </c>
      <c r="EC91">
        <v>4</v>
      </c>
      <c r="ED91">
        <v>0</v>
      </c>
      <c r="EE91">
        <v>0</v>
      </c>
      <c r="EF91">
        <v>18</v>
      </c>
      <c r="EG91">
        <v>2010</v>
      </c>
      <c r="EI91" s="1"/>
      <c r="EJ91" s="1" t="s">
        <v>313</v>
      </c>
      <c r="EK91" s="1" t="s">
        <v>314</v>
      </c>
      <c r="EL91">
        <v>54</v>
      </c>
      <c r="EM91">
        <v>54</v>
      </c>
      <c r="EN91">
        <v>17</v>
      </c>
      <c r="EO91" s="1" t="s">
        <v>315</v>
      </c>
      <c r="EP91">
        <v>48</v>
      </c>
      <c r="EQ91">
        <v>74.395817503430607</v>
      </c>
      <c r="ER91" s="1" t="s">
        <v>316</v>
      </c>
      <c r="ES91">
        <v>3.8558807852387806</v>
      </c>
      <c r="ET91">
        <v>0</v>
      </c>
      <c r="EU91" s="1"/>
      <c r="EV91">
        <v>90.953423228279476</v>
      </c>
      <c r="EW91">
        <v>0</v>
      </c>
      <c r="EX91" t="s">
        <v>316</v>
      </c>
      <c r="EY91">
        <v>0</v>
      </c>
      <c r="EZ91" s="1" t="s">
        <v>412</v>
      </c>
      <c r="FA91" s="2">
        <v>43334</v>
      </c>
      <c r="FB91" s="1" t="s">
        <v>482</v>
      </c>
      <c r="FC91">
        <v>1</v>
      </c>
      <c r="FD91" s="1"/>
      <c r="FE91" s="2"/>
      <c r="FF91" s="1"/>
      <c r="FG91" s="1" t="s">
        <v>322</v>
      </c>
      <c r="FH91" s="1" t="s">
        <v>322</v>
      </c>
      <c r="FI91" s="1" t="s">
        <v>322</v>
      </c>
      <c r="FJ91" s="1" t="s">
        <v>322</v>
      </c>
      <c r="FK91" s="1" t="s">
        <v>1143</v>
      </c>
      <c r="FL91">
        <v>18.97</v>
      </c>
      <c r="FM91">
        <v>8002.4998188405807</v>
      </c>
      <c r="FN91" s="1" t="s">
        <v>321</v>
      </c>
      <c r="FO91" s="1" t="s">
        <v>322</v>
      </c>
      <c r="FP91" s="1" t="s">
        <v>323</v>
      </c>
      <c r="FQ91" s="1" t="s">
        <v>324</v>
      </c>
      <c r="FR91" s="1" t="s">
        <v>325</v>
      </c>
      <c r="FS91" s="1"/>
      <c r="FT91" s="1" t="s">
        <v>666</v>
      </c>
      <c r="FV91" s="1" t="s">
        <v>319</v>
      </c>
      <c r="FW91" s="1" t="s">
        <v>322</v>
      </c>
      <c r="FX91" s="1" t="s">
        <v>322</v>
      </c>
      <c r="FY91" s="1" t="s">
        <v>322</v>
      </c>
      <c r="FZ91" s="1" t="s">
        <v>322</v>
      </c>
      <c r="GA91" s="1" t="s">
        <v>322</v>
      </c>
      <c r="GB91" s="1" t="s">
        <v>319</v>
      </c>
      <c r="GC91" s="1" t="s">
        <v>322</v>
      </c>
      <c r="GD91" s="1" t="s">
        <v>322</v>
      </c>
      <c r="GE91" s="1" t="s">
        <v>319</v>
      </c>
      <c r="GF91" s="1" t="s">
        <v>415</v>
      </c>
      <c r="GG91" s="1"/>
      <c r="GH91" s="1" t="s">
        <v>322</v>
      </c>
      <c r="GI91" s="1" t="s">
        <v>1173</v>
      </c>
      <c r="GJ91" s="1" t="s">
        <v>322</v>
      </c>
      <c r="GK91" s="2">
        <v>42005</v>
      </c>
      <c r="GL91" s="1" t="s">
        <v>322</v>
      </c>
      <c r="GM91" s="1" t="s">
        <v>322</v>
      </c>
      <c r="GN91">
        <v>43029</v>
      </c>
      <c r="GO91" s="1" t="s">
        <v>322</v>
      </c>
      <c r="GP91">
        <v>42887</v>
      </c>
      <c r="GQ91" s="1" t="s">
        <v>1174</v>
      </c>
      <c r="GR91" s="1" t="s">
        <v>319</v>
      </c>
      <c r="GS91" s="1" t="s">
        <v>448</v>
      </c>
      <c r="GT91" s="1" t="s">
        <v>322</v>
      </c>
      <c r="GU91" s="1" t="s">
        <v>1175</v>
      </c>
      <c r="GV91" s="1" t="s">
        <v>322</v>
      </c>
      <c r="GW91" s="1" t="s">
        <v>322</v>
      </c>
      <c r="GX91" s="1" t="s">
        <v>319</v>
      </c>
      <c r="GY91" s="1" t="s">
        <v>319</v>
      </c>
      <c r="GZ91" s="1" t="s">
        <v>319</v>
      </c>
      <c r="HA91" s="2">
        <v>44064</v>
      </c>
      <c r="HB91" s="2">
        <v>42674</v>
      </c>
      <c r="HC91" s="1"/>
      <c r="HD91" s="1"/>
      <c r="HE91" s="1" t="s">
        <v>322</v>
      </c>
      <c r="HF91" s="1" t="s">
        <v>322</v>
      </c>
      <c r="HG91" s="1"/>
      <c r="HH91" s="1"/>
      <c r="HI91" s="1" t="s">
        <v>322</v>
      </c>
      <c r="HJ91" s="1" t="s">
        <v>921</v>
      </c>
      <c r="HK91" s="2">
        <v>42736</v>
      </c>
      <c r="HL91" s="1"/>
      <c r="HM91" s="1" t="s">
        <v>322</v>
      </c>
      <c r="HN91" s="1" t="s">
        <v>322</v>
      </c>
      <c r="HO91" s="1"/>
      <c r="HP91" s="1"/>
      <c r="HQ91" s="1"/>
      <c r="HR91" s="1"/>
      <c r="HS91" s="1"/>
      <c r="HT91" s="1"/>
      <c r="HU91" s="1" t="s">
        <v>331</v>
      </c>
      <c r="HV91">
        <v>4621956014</v>
      </c>
      <c r="HW91">
        <v>40639172</v>
      </c>
      <c r="HX91">
        <v>99102571148</v>
      </c>
      <c r="HY91" s="1" t="s">
        <v>1176</v>
      </c>
      <c r="HZ91">
        <v>4310162</v>
      </c>
      <c r="IA91">
        <v>4321898</v>
      </c>
      <c r="IB91" s="1" t="s">
        <v>1177</v>
      </c>
      <c r="IC91">
        <v>830153</v>
      </c>
      <c r="ID91" s="1" t="s">
        <v>1178</v>
      </c>
      <c r="IE91">
        <v>5.14</v>
      </c>
      <c r="IF91">
        <v>4.1100000000000003</v>
      </c>
      <c r="IG91">
        <v>3.66</v>
      </c>
      <c r="IH91">
        <v>2.87</v>
      </c>
      <c r="II91">
        <v>2.69</v>
      </c>
      <c r="IJ91">
        <v>2.0299999999999998</v>
      </c>
      <c r="IK91">
        <v>2.0299999999999998</v>
      </c>
    </row>
    <row r="92" spans="1:245" x14ac:dyDescent="0.3">
      <c r="A92">
        <v>1717</v>
      </c>
      <c r="B92">
        <v>2342</v>
      </c>
      <c r="C92" s="1" t="s">
        <v>852</v>
      </c>
      <c r="D92" s="1" t="s">
        <v>382</v>
      </c>
      <c r="E92" t="s">
        <v>3275</v>
      </c>
      <c r="F92" s="1" t="s">
        <v>643</v>
      </c>
      <c r="G92" s="1" t="s">
        <v>644</v>
      </c>
      <c r="H92">
        <v>610920310</v>
      </c>
      <c r="I92" s="1" t="s">
        <v>853</v>
      </c>
      <c r="J92" s="1" t="s">
        <v>854</v>
      </c>
      <c r="K92">
        <v>609518868</v>
      </c>
      <c r="L92">
        <v>44375</v>
      </c>
      <c r="M92" s="1" t="s">
        <v>855</v>
      </c>
      <c r="N92" s="1" t="s">
        <v>856</v>
      </c>
      <c r="O92">
        <v>549629276</v>
      </c>
      <c r="P92" s="1" t="s">
        <v>273</v>
      </c>
      <c r="Q92" s="1" t="s">
        <v>723</v>
      </c>
      <c r="R92" s="1" t="s">
        <v>647</v>
      </c>
      <c r="S92" s="1" t="s">
        <v>857</v>
      </c>
      <c r="T92" s="1" t="s">
        <v>858</v>
      </c>
      <c r="U92">
        <v>549629276</v>
      </c>
      <c r="V92" s="1" t="s">
        <v>276</v>
      </c>
      <c r="W92" s="1" t="s">
        <v>645</v>
      </c>
      <c r="X92" s="1" t="s">
        <v>857</v>
      </c>
      <c r="Y92" s="1" t="s">
        <v>859</v>
      </c>
      <c r="Z92" s="1" t="s">
        <v>860</v>
      </c>
      <c r="AA92">
        <v>664500417</v>
      </c>
      <c r="AB92" s="1" t="s">
        <v>853</v>
      </c>
      <c r="AC92" s="1" t="s">
        <v>777</v>
      </c>
      <c r="AD92" s="1" t="s">
        <v>861</v>
      </c>
      <c r="AE92" s="1" t="s">
        <v>862</v>
      </c>
      <c r="AF92">
        <v>549629276</v>
      </c>
      <c r="AG92" s="1" t="s">
        <v>645</v>
      </c>
      <c r="AH92" s="1" t="s">
        <v>838</v>
      </c>
      <c r="AI92" s="1" t="s">
        <v>863</v>
      </c>
      <c r="AJ92" s="1" t="s">
        <v>864</v>
      </c>
      <c r="AK92">
        <v>549629276</v>
      </c>
      <c r="AL92" s="1" t="s">
        <v>748</v>
      </c>
      <c r="AM92" s="1" t="s">
        <v>685</v>
      </c>
      <c r="AN92" s="1" t="s">
        <v>865</v>
      </c>
      <c r="AO92" s="1" t="s">
        <v>866</v>
      </c>
      <c r="AP92">
        <v>549629278</v>
      </c>
      <c r="AQ92" s="1" t="s">
        <v>830</v>
      </c>
      <c r="AR92" s="1" t="s">
        <v>734</v>
      </c>
      <c r="AS92" s="1" t="s">
        <v>867</v>
      </c>
      <c r="AT92" s="1" t="s">
        <v>868</v>
      </c>
      <c r="AU92">
        <v>549629276</v>
      </c>
      <c r="AV92" s="1" t="s">
        <v>787</v>
      </c>
      <c r="AW92" s="1"/>
      <c r="AX92" s="1" t="s">
        <v>659</v>
      </c>
      <c r="AY92">
        <v>617425669</v>
      </c>
      <c r="AZ92" s="1" t="s">
        <v>660</v>
      </c>
      <c r="BA92">
        <v>678409252</v>
      </c>
      <c r="BB92" s="1" t="s">
        <v>869</v>
      </c>
      <c r="BC92" s="1" t="s">
        <v>870</v>
      </c>
      <c r="BD92">
        <v>86</v>
      </c>
      <c r="BE92">
        <v>549629276</v>
      </c>
      <c r="BF92">
        <v>46.7073974609375</v>
      </c>
      <c r="BG92">
        <v>0.406695365905762</v>
      </c>
      <c r="BH92">
        <v>451647903</v>
      </c>
      <c r="BI92">
        <v>462</v>
      </c>
      <c r="BJ92" s="2">
        <v>35592</v>
      </c>
      <c r="BK92" s="1" t="s">
        <v>3409</v>
      </c>
      <c r="BL92" s="1" t="s">
        <v>290</v>
      </c>
      <c r="BM92" s="1" t="s">
        <v>871</v>
      </c>
      <c r="BN92" s="1" t="s">
        <v>292</v>
      </c>
      <c r="BO92" s="1" t="s">
        <v>291</v>
      </c>
      <c r="BP92" s="1" t="s">
        <v>293</v>
      </c>
      <c r="BQ92" s="1" t="s">
        <v>294</v>
      </c>
      <c r="BR92">
        <v>80</v>
      </c>
      <c r="BS92">
        <v>22660731.32</v>
      </c>
      <c r="BT92" s="1" t="s">
        <v>295</v>
      </c>
      <c r="BU92" s="1" t="s">
        <v>296</v>
      </c>
      <c r="BV92">
        <v>287574</v>
      </c>
      <c r="BW92">
        <v>1.262419033893984E-2</v>
      </c>
      <c r="BX92">
        <v>52.8282455330652</v>
      </c>
      <c r="BY92">
        <v>5.1665842508955828</v>
      </c>
      <c r="BZ92">
        <v>2.7269208369046836</v>
      </c>
      <c r="CA92">
        <v>60.721750620865464</v>
      </c>
      <c r="CB92" s="1" t="s">
        <v>443</v>
      </c>
      <c r="CC92">
        <v>1</v>
      </c>
      <c r="CD92" s="1" t="s">
        <v>402</v>
      </c>
      <c r="CE92" s="1" t="s">
        <v>361</v>
      </c>
      <c r="CF92">
        <v>1101</v>
      </c>
      <c r="CG92" s="1" t="s">
        <v>300</v>
      </c>
      <c r="CH92" s="1" t="s">
        <v>403</v>
      </c>
      <c r="CI92" s="1" t="s">
        <v>404</v>
      </c>
      <c r="CJ92" s="1" t="s">
        <v>301</v>
      </c>
      <c r="CK92" s="1" t="s">
        <v>302</v>
      </c>
      <c r="CL92" s="1" t="s">
        <v>527</v>
      </c>
      <c r="CM92">
        <v>3601651112004</v>
      </c>
      <c r="CO92" s="1"/>
      <c r="CP92" s="1" t="s">
        <v>872</v>
      </c>
      <c r="CQ92" s="1" t="s">
        <v>367</v>
      </c>
      <c r="CR92" s="1" t="s">
        <v>407</v>
      </c>
      <c r="CS92">
        <v>6887</v>
      </c>
      <c r="CT92">
        <v>2980</v>
      </c>
      <c r="CU92">
        <v>3000</v>
      </c>
      <c r="CV92" s="1" t="s">
        <v>309</v>
      </c>
      <c r="CW92" s="1" t="s">
        <v>308</v>
      </c>
      <c r="CY92">
        <v>3932</v>
      </c>
      <c r="CZ92" t="s">
        <v>873</v>
      </c>
      <c r="DA92" s="1" t="s">
        <v>874</v>
      </c>
      <c r="DB92">
        <v>3907</v>
      </c>
      <c r="DC92">
        <v>3907</v>
      </c>
      <c r="DD92">
        <v>0</v>
      </c>
      <c r="DE92">
        <v>0</v>
      </c>
      <c r="DF92">
        <v>1225</v>
      </c>
      <c r="DG92">
        <v>2682</v>
      </c>
      <c r="DH92">
        <v>0</v>
      </c>
      <c r="DI92">
        <v>0</v>
      </c>
      <c r="DJ92">
        <v>0</v>
      </c>
      <c r="DK92" s="1" t="s">
        <v>409</v>
      </c>
      <c r="DL92" s="1" t="s">
        <v>741</v>
      </c>
      <c r="DN92" s="1"/>
      <c r="DO92">
        <v>1215</v>
      </c>
      <c r="DP92">
        <v>0</v>
      </c>
      <c r="DQ92">
        <v>1215</v>
      </c>
      <c r="DR92" s="1" t="s">
        <v>790</v>
      </c>
      <c r="DS92">
        <v>2500</v>
      </c>
      <c r="DT92">
        <v>56</v>
      </c>
      <c r="DU92">
        <v>190</v>
      </c>
      <c r="DV92">
        <v>477</v>
      </c>
      <c r="DW92" s="1" t="s">
        <v>558</v>
      </c>
      <c r="DX92">
        <v>21</v>
      </c>
      <c r="DZ92">
        <v>2</v>
      </c>
      <c r="EA92">
        <v>2</v>
      </c>
      <c r="EB92">
        <v>6</v>
      </c>
      <c r="EC92">
        <v>3</v>
      </c>
      <c r="ED92">
        <v>0</v>
      </c>
      <c r="EE92">
        <v>0</v>
      </c>
      <c r="EF92">
        <v>11</v>
      </c>
      <c r="EG92">
        <v>2010</v>
      </c>
      <c r="EI92" s="1"/>
      <c r="EJ92" s="1" t="s">
        <v>313</v>
      </c>
      <c r="EK92" s="1" t="s">
        <v>314</v>
      </c>
      <c r="EL92">
        <v>35</v>
      </c>
      <c r="EM92">
        <v>32</v>
      </c>
      <c r="EN92">
        <v>12</v>
      </c>
      <c r="EO92" s="1" t="s">
        <v>315</v>
      </c>
      <c r="EP92">
        <v>27</v>
      </c>
      <c r="EQ92">
        <v>99.946307913655687</v>
      </c>
      <c r="ER92" s="1" t="s">
        <v>316</v>
      </c>
      <c r="ES92">
        <v>3.718932387484863</v>
      </c>
      <c r="ET92">
        <v>0</v>
      </c>
      <c r="EU92" s="1"/>
      <c r="EV92">
        <v>122.02746896434705</v>
      </c>
      <c r="EW92">
        <v>1</v>
      </c>
      <c r="EX92" t="s">
        <v>316</v>
      </c>
      <c r="EY92">
        <v>1</v>
      </c>
      <c r="EZ92" s="1" t="s">
        <v>317</v>
      </c>
      <c r="FA92" s="2"/>
      <c r="FB92" s="1" t="s">
        <v>318</v>
      </c>
      <c r="FC92">
        <v>1</v>
      </c>
      <c r="FD92" s="1"/>
      <c r="FE92" s="2"/>
      <c r="FF92" s="1"/>
      <c r="FG92" s="1" t="s">
        <v>319</v>
      </c>
      <c r="FH92" s="1" t="s">
        <v>322</v>
      </c>
      <c r="FI92" s="1" t="s">
        <v>319</v>
      </c>
      <c r="FJ92" s="1" t="s">
        <v>319</v>
      </c>
      <c r="FK92" s="1" t="s">
        <v>373</v>
      </c>
      <c r="FL92">
        <v>18.59</v>
      </c>
      <c r="FM92">
        <v>3759.2465930018411</v>
      </c>
      <c r="FN92" s="1" t="s">
        <v>321</v>
      </c>
      <c r="FO92" s="1" t="s">
        <v>319</v>
      </c>
      <c r="FP92" s="1" t="s">
        <v>323</v>
      </c>
      <c r="FQ92" s="1" t="s">
        <v>324</v>
      </c>
      <c r="FR92" s="1" t="s">
        <v>325</v>
      </c>
      <c r="FS92" s="1" t="s">
        <v>374</v>
      </c>
      <c r="FT92" s="1" t="s">
        <v>326</v>
      </c>
      <c r="FU92">
        <v>494198191</v>
      </c>
      <c r="FV92" s="1" t="s">
        <v>319</v>
      </c>
      <c r="FW92" s="1" t="s">
        <v>322</v>
      </c>
      <c r="FX92" s="1" t="s">
        <v>322</v>
      </c>
      <c r="FY92" s="1" t="s">
        <v>322</v>
      </c>
      <c r="FZ92" s="1" t="s">
        <v>322</v>
      </c>
      <c r="GA92" s="1" t="s">
        <v>322</v>
      </c>
      <c r="GB92" s="1" t="s">
        <v>322</v>
      </c>
      <c r="GC92" s="1" t="s">
        <v>322</v>
      </c>
      <c r="GD92" s="1" t="s">
        <v>322</v>
      </c>
      <c r="GE92" s="1" t="s">
        <v>319</v>
      </c>
      <c r="GF92" s="1" t="s">
        <v>415</v>
      </c>
      <c r="GG92" s="1"/>
      <c r="GH92" s="1" t="s">
        <v>319</v>
      </c>
      <c r="GI92" s="1"/>
      <c r="GJ92" s="1" t="s">
        <v>322</v>
      </c>
      <c r="GK92" s="2">
        <v>42005</v>
      </c>
      <c r="GL92" s="1" t="s">
        <v>322</v>
      </c>
      <c r="GM92" s="1" t="s">
        <v>322</v>
      </c>
      <c r="GN92">
        <v>42989</v>
      </c>
      <c r="GO92" s="1" t="s">
        <v>322</v>
      </c>
      <c r="GQ92" s="1" t="s">
        <v>875</v>
      </c>
      <c r="GR92" s="1" t="s">
        <v>322</v>
      </c>
      <c r="GS92" s="1" t="s">
        <v>448</v>
      </c>
      <c r="GT92" s="1" t="s">
        <v>322</v>
      </c>
      <c r="GU92" s="1" t="s">
        <v>509</v>
      </c>
      <c r="GV92" s="1" t="s">
        <v>319</v>
      </c>
      <c r="GW92" s="1" t="s">
        <v>322</v>
      </c>
      <c r="GX92" s="1" t="s">
        <v>319</v>
      </c>
      <c r="GY92" s="1" t="s">
        <v>319</v>
      </c>
      <c r="GZ92" s="1" t="s">
        <v>322</v>
      </c>
      <c r="HA92" s="2">
        <v>44068</v>
      </c>
      <c r="HB92" s="2">
        <v>42653</v>
      </c>
      <c r="HC92" s="1"/>
      <c r="HD92" s="1"/>
      <c r="HE92" s="1"/>
      <c r="HF92" s="1"/>
      <c r="HG92" s="1"/>
      <c r="HH92" s="1"/>
      <c r="HI92" s="1" t="s">
        <v>322</v>
      </c>
      <c r="HJ92" s="1" t="s">
        <v>330</v>
      </c>
      <c r="HK92" s="2"/>
      <c r="HL92" s="1"/>
      <c r="HM92" s="1" t="s">
        <v>322</v>
      </c>
      <c r="HN92" s="1" t="s">
        <v>322</v>
      </c>
      <c r="HO92" s="1"/>
      <c r="HP92" s="1"/>
      <c r="HQ92" s="1"/>
      <c r="HR92" s="1"/>
      <c r="HS92" s="1"/>
      <c r="HT92" s="1"/>
      <c r="HU92" s="1" t="s">
        <v>331</v>
      </c>
      <c r="HV92">
        <v>4621971011</v>
      </c>
      <c r="HW92">
        <v>40638126</v>
      </c>
      <c r="HX92">
        <v>99102519920</v>
      </c>
      <c r="HY92" s="1" t="s">
        <v>876</v>
      </c>
      <c r="HZ92">
        <v>4320743</v>
      </c>
      <c r="IA92">
        <v>4321038</v>
      </c>
      <c r="IB92" s="1" t="s">
        <v>877</v>
      </c>
      <c r="IC92">
        <v>830252</v>
      </c>
      <c r="ID92" s="1" t="s">
        <v>878</v>
      </c>
      <c r="IE92">
        <v>2.91</v>
      </c>
      <c r="IF92">
        <v>3.08</v>
      </c>
      <c r="IG92">
        <v>2.93</v>
      </c>
      <c r="IH92">
        <v>2.66</v>
      </c>
      <c r="II92">
        <v>2.71</v>
      </c>
      <c r="IJ92">
        <v>3.75</v>
      </c>
      <c r="IK92">
        <v>3.75</v>
      </c>
    </row>
    <row r="93" spans="1:245" x14ac:dyDescent="0.3">
      <c r="A93">
        <v>1954</v>
      </c>
      <c r="B93">
        <v>2718</v>
      </c>
      <c r="C93" s="1" t="s">
        <v>1706</v>
      </c>
      <c r="D93" s="1" t="s">
        <v>1074</v>
      </c>
      <c r="E93" t="s">
        <v>3275</v>
      </c>
      <c r="F93" s="1" t="s">
        <v>3300</v>
      </c>
      <c r="G93" s="1" t="s">
        <v>1452</v>
      </c>
      <c r="H93">
        <v>625291561</v>
      </c>
      <c r="I93" s="1" t="s">
        <v>1707</v>
      </c>
      <c r="J93" s="1" t="s">
        <v>1708</v>
      </c>
      <c r="K93">
        <v>676085233</v>
      </c>
      <c r="L93">
        <v>44179</v>
      </c>
      <c r="M93" s="1" t="s">
        <v>1709</v>
      </c>
      <c r="N93" s="1" t="s">
        <v>1710</v>
      </c>
      <c r="O93">
        <v>160342288</v>
      </c>
      <c r="P93" s="1" t="s">
        <v>273</v>
      </c>
      <c r="Q93" s="1" t="s">
        <v>1683</v>
      </c>
      <c r="R93" s="1" t="s">
        <v>1685</v>
      </c>
      <c r="S93" s="1" t="s">
        <v>1711</v>
      </c>
      <c r="T93" s="1" t="s">
        <v>1712</v>
      </c>
      <c r="U93">
        <v>160242288</v>
      </c>
      <c r="V93" s="1"/>
      <c r="W93" s="1" t="s">
        <v>1459</v>
      </c>
      <c r="X93" s="1" t="s">
        <v>1560</v>
      </c>
      <c r="Y93" s="1" t="s">
        <v>1713</v>
      </c>
      <c r="Z93" s="1" t="s">
        <v>1714</v>
      </c>
      <c r="AA93">
        <v>160242288</v>
      </c>
      <c r="AB93" s="1" t="s">
        <v>1530</v>
      </c>
      <c r="AC93" s="1" t="s">
        <v>1637</v>
      </c>
      <c r="AD93" s="1" t="s">
        <v>1715</v>
      </c>
      <c r="AE93" s="1" t="s">
        <v>1716</v>
      </c>
      <c r="AF93">
        <v>164871405</v>
      </c>
      <c r="AG93" s="1" t="s">
        <v>1617</v>
      </c>
      <c r="AH93" s="1" t="s">
        <v>1689</v>
      </c>
      <c r="AI93" s="1" t="s">
        <v>1717</v>
      </c>
      <c r="AJ93" s="1" t="s">
        <v>1718</v>
      </c>
      <c r="AK93">
        <v>160342288</v>
      </c>
      <c r="AL93" s="1" t="s">
        <v>1658</v>
      </c>
      <c r="AM93" s="1" t="s">
        <v>1668</v>
      </c>
      <c r="AN93" s="1" t="s">
        <v>1719</v>
      </c>
      <c r="AO93" s="1" t="s">
        <v>1720</v>
      </c>
      <c r="AP93">
        <v>160931355</v>
      </c>
      <c r="AQ93" s="1" t="s">
        <v>1453</v>
      </c>
      <c r="AR93" s="1" t="s">
        <v>1466</v>
      </c>
      <c r="AS93" s="1" t="s">
        <v>1721</v>
      </c>
      <c r="AT93" s="1" t="s">
        <v>1722</v>
      </c>
      <c r="AU93">
        <v>160342288</v>
      </c>
      <c r="AV93" s="1" t="s">
        <v>1582</v>
      </c>
      <c r="AW93" s="1" t="s">
        <v>1695</v>
      </c>
      <c r="AX93" s="1" t="s">
        <v>1470</v>
      </c>
      <c r="AY93">
        <v>609519433</v>
      </c>
      <c r="AZ93" s="1" t="s">
        <v>1471</v>
      </c>
      <c r="BA93">
        <v>784179660</v>
      </c>
      <c r="BB93" s="1" t="s">
        <v>1723</v>
      </c>
      <c r="BC93" s="1" t="s">
        <v>1724</v>
      </c>
      <c r="BD93">
        <v>77</v>
      </c>
      <c r="BE93">
        <v>160342288</v>
      </c>
      <c r="BF93">
        <v>48.793170000000003</v>
      </c>
      <c r="BG93">
        <v>2.625702</v>
      </c>
      <c r="BH93">
        <v>453647903</v>
      </c>
      <c r="BI93">
        <v>1460</v>
      </c>
      <c r="BJ93" s="2">
        <v>44342</v>
      </c>
      <c r="BK93" s="1" t="s">
        <v>3305</v>
      </c>
      <c r="BL93" s="1" t="s">
        <v>290</v>
      </c>
      <c r="BM93" s="1" t="s">
        <v>291</v>
      </c>
      <c r="BN93" s="1" t="s">
        <v>292</v>
      </c>
      <c r="BO93" s="1" t="s">
        <v>1502</v>
      </c>
      <c r="BP93" s="1" t="s">
        <v>293</v>
      </c>
      <c r="BQ93" s="1" t="s">
        <v>1093</v>
      </c>
      <c r="BR93">
        <v>88</v>
      </c>
      <c r="BS93">
        <v>14373906.140000001</v>
      </c>
      <c r="BT93" s="1" t="s">
        <v>295</v>
      </c>
      <c r="BU93" s="1" t="s">
        <v>1699</v>
      </c>
      <c r="BV93">
        <v>202141</v>
      </c>
      <c r="BW93">
        <v>1.4705388161891731E-2</v>
      </c>
      <c r="BX93">
        <v>70.742994659458006</v>
      </c>
      <c r="BY93">
        <v>7.1688414440441814</v>
      </c>
      <c r="BZ93">
        <v>2.3098135205819648</v>
      </c>
      <c r="CA93">
        <v>80.221649624084151</v>
      </c>
      <c r="CB93" s="1" t="s">
        <v>443</v>
      </c>
      <c r="CC93">
        <v>1</v>
      </c>
      <c r="CD93" s="1" t="s">
        <v>361</v>
      </c>
      <c r="CE93" s="1"/>
      <c r="CF93">
        <v>1101</v>
      </c>
      <c r="CG93" s="1" t="s">
        <v>300</v>
      </c>
      <c r="CH93" s="1" t="s">
        <v>301</v>
      </c>
      <c r="CI93" s="1" t="s">
        <v>302</v>
      </c>
      <c r="CJ93" s="1" t="s">
        <v>301</v>
      </c>
      <c r="CK93" s="1" t="s">
        <v>302</v>
      </c>
      <c r="CL93" s="1" t="s">
        <v>303</v>
      </c>
      <c r="CM93">
        <v>3601651117009</v>
      </c>
      <c r="CO93" s="1"/>
      <c r="CP93" s="1" t="s">
        <v>1700</v>
      </c>
      <c r="CQ93" s="1" t="s">
        <v>305</v>
      </c>
      <c r="CR93" s="1" t="s">
        <v>1701</v>
      </c>
      <c r="CT93">
        <v>3460</v>
      </c>
      <c r="CU93">
        <v>3200</v>
      </c>
      <c r="CV93" s="1"/>
      <c r="CW93" s="1"/>
      <c r="CY93">
        <v>3480</v>
      </c>
      <c r="CZ93">
        <v>3500</v>
      </c>
      <c r="DA93" s="1"/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 s="1"/>
      <c r="DL93" s="1"/>
      <c r="DN93" s="1"/>
      <c r="DO93">
        <v>0</v>
      </c>
      <c r="DP93">
        <v>0</v>
      </c>
      <c r="DQ93">
        <v>0</v>
      </c>
      <c r="DR93" s="1"/>
      <c r="DS93">
        <v>0</v>
      </c>
      <c r="DT93">
        <v>0</v>
      </c>
      <c r="DU93">
        <v>0</v>
      </c>
      <c r="DV93">
        <v>576</v>
      </c>
      <c r="DW93" s="1"/>
      <c r="EH93">
        <v>4</v>
      </c>
      <c r="EI93" s="1" t="s">
        <v>1703</v>
      </c>
      <c r="EJ93" s="1"/>
      <c r="EK93" s="1"/>
      <c r="EO93" s="1"/>
      <c r="ER93" s="1" t="s">
        <v>316</v>
      </c>
      <c r="EU93" s="1"/>
      <c r="EX93" t="s">
        <v>316</v>
      </c>
      <c r="EY93">
        <v>0</v>
      </c>
      <c r="EZ93" s="1" t="s">
        <v>412</v>
      </c>
      <c r="FA93" s="2">
        <v>44197</v>
      </c>
      <c r="FB93" s="1" t="s">
        <v>818</v>
      </c>
      <c r="FC93">
        <v>1</v>
      </c>
      <c r="FD93" s="1"/>
      <c r="FE93" s="2"/>
      <c r="FF93" s="1"/>
      <c r="FG93" s="1"/>
      <c r="FH93" s="1"/>
      <c r="FI93" s="1"/>
      <c r="FJ93" s="1"/>
      <c r="FK93" s="1"/>
      <c r="FN93" s="1"/>
      <c r="FO93" s="1"/>
      <c r="FP93" s="1"/>
      <c r="FQ93" s="1"/>
      <c r="FR93" s="1"/>
      <c r="FS93" s="1"/>
      <c r="FT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 t="s">
        <v>322</v>
      </c>
      <c r="GI93" s="1"/>
      <c r="GJ93" s="1" t="s">
        <v>322</v>
      </c>
      <c r="GK93" s="2">
        <v>44197</v>
      </c>
      <c r="GL93" s="1" t="s">
        <v>322</v>
      </c>
      <c r="GM93" s="1" t="s">
        <v>322</v>
      </c>
      <c r="GO93" s="1" t="s">
        <v>322</v>
      </c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2"/>
      <c r="HB93" s="2"/>
      <c r="HC93" s="1"/>
      <c r="HD93" s="1"/>
      <c r="HE93" s="1"/>
      <c r="HF93" s="1"/>
      <c r="HG93" s="1"/>
      <c r="HH93" s="1"/>
      <c r="HI93" s="1"/>
      <c r="HJ93" s="1" t="s">
        <v>330</v>
      </c>
      <c r="HK93" s="2"/>
      <c r="HL93" s="1"/>
      <c r="HM93" s="1"/>
      <c r="HN93" s="1"/>
      <c r="HO93" s="1"/>
      <c r="HP93" s="1"/>
      <c r="HQ93" s="1"/>
      <c r="HR93" s="1"/>
      <c r="HS93" s="1"/>
      <c r="HT93" s="1"/>
      <c r="HU93" s="1" t="s">
        <v>331</v>
      </c>
      <c r="HY93" s="1"/>
      <c r="IB93" s="1" t="s">
        <v>1725</v>
      </c>
      <c r="IC93">
        <v>831607</v>
      </c>
      <c r="ID93" s="1" t="s">
        <v>1726</v>
      </c>
      <c r="IK93">
        <v>2.7</v>
      </c>
    </row>
    <row r="94" spans="1:245" x14ac:dyDescent="0.3">
      <c r="A94">
        <v>1771</v>
      </c>
      <c r="B94">
        <v>2385</v>
      </c>
      <c r="C94" s="1" t="s">
        <v>2550</v>
      </c>
      <c r="D94" s="1" t="s">
        <v>2414</v>
      </c>
      <c r="E94" t="s">
        <v>3275</v>
      </c>
      <c r="F94" s="1" t="s">
        <v>2415</v>
      </c>
      <c r="G94" s="1" t="s">
        <v>2416</v>
      </c>
      <c r="H94">
        <v>782575744</v>
      </c>
      <c r="I94" s="1" t="s">
        <v>2551</v>
      </c>
      <c r="J94" s="1" t="s">
        <v>2552</v>
      </c>
      <c r="L94">
        <v>43627</v>
      </c>
      <c r="M94" s="1" t="s">
        <v>524</v>
      </c>
      <c r="N94" s="1"/>
      <c r="P94" s="1"/>
      <c r="Q94" s="1" t="s">
        <v>2634</v>
      </c>
      <c r="R94" s="1" t="s">
        <v>2572</v>
      </c>
      <c r="S94" s="1" t="s">
        <v>2553</v>
      </c>
      <c r="T94" s="1" t="s">
        <v>2554</v>
      </c>
      <c r="U94">
        <v>298643647</v>
      </c>
      <c r="V94" s="1" t="s">
        <v>276</v>
      </c>
      <c r="W94" s="1" t="s">
        <v>2634</v>
      </c>
      <c r="X94" s="1" t="s">
        <v>2638</v>
      </c>
      <c r="Y94" s="1" t="s">
        <v>2555</v>
      </c>
      <c r="Z94" s="1" t="s">
        <v>2556</v>
      </c>
      <c r="AA94">
        <v>298643643</v>
      </c>
      <c r="AB94" s="1" t="s">
        <v>2460</v>
      </c>
      <c r="AC94" s="1" t="s">
        <v>2534</v>
      </c>
      <c r="AD94" s="1" t="s">
        <v>2557</v>
      </c>
      <c r="AE94" s="1" t="s">
        <v>2558</v>
      </c>
      <c r="AF94">
        <v>298643646</v>
      </c>
      <c r="AG94" s="1" t="s">
        <v>2417</v>
      </c>
      <c r="AH94" s="1" t="s">
        <v>2466</v>
      </c>
      <c r="AI94" s="1" t="s">
        <v>2559</v>
      </c>
      <c r="AJ94" s="1" t="s">
        <v>2560</v>
      </c>
      <c r="AK94">
        <v>298643644</v>
      </c>
      <c r="AL94" s="1" t="s">
        <v>2480</v>
      </c>
      <c r="AM94" s="1" t="s">
        <v>2619</v>
      </c>
      <c r="AN94" s="1" t="s">
        <v>2561</v>
      </c>
      <c r="AO94" s="1" t="s">
        <v>2562</v>
      </c>
      <c r="AP94">
        <v>298643642</v>
      </c>
      <c r="AQ94" s="1" t="s">
        <v>2570</v>
      </c>
      <c r="AR94" s="1" t="s">
        <v>2646</v>
      </c>
      <c r="AS94" s="1" t="s">
        <v>2563</v>
      </c>
      <c r="AT94" s="1"/>
      <c r="AV94" s="1" t="s">
        <v>2611</v>
      </c>
      <c r="AW94" s="1" t="s">
        <v>2625</v>
      </c>
      <c r="AX94" s="1" t="s">
        <v>2429</v>
      </c>
      <c r="AY94">
        <v>624644370</v>
      </c>
      <c r="AZ94" s="1" t="s">
        <v>2430</v>
      </c>
      <c r="BB94" s="1" t="s">
        <v>2564</v>
      </c>
      <c r="BC94" s="1" t="s">
        <v>2565</v>
      </c>
      <c r="BD94">
        <v>29</v>
      </c>
      <c r="BE94">
        <v>298643664</v>
      </c>
      <c r="BF94">
        <v>48.014892578125</v>
      </c>
      <c r="BG94">
        <v>-4.08734130859375</v>
      </c>
      <c r="BH94">
        <v>451647903</v>
      </c>
      <c r="BI94">
        <v>421</v>
      </c>
      <c r="BJ94" s="2">
        <v>38014</v>
      </c>
      <c r="BK94" s="1" t="s">
        <v>1573</v>
      </c>
      <c r="BL94" s="1" t="s">
        <v>290</v>
      </c>
      <c r="BM94" s="1" t="s">
        <v>291</v>
      </c>
      <c r="BN94" s="1" t="s">
        <v>292</v>
      </c>
      <c r="BO94" s="1" t="s">
        <v>291</v>
      </c>
      <c r="BP94" s="1" t="s">
        <v>293</v>
      </c>
      <c r="BQ94" s="1" t="s">
        <v>294</v>
      </c>
      <c r="BR94">
        <v>80</v>
      </c>
      <c r="BS94">
        <v>19159733.670000002</v>
      </c>
      <c r="BT94" s="1" t="s">
        <v>295</v>
      </c>
      <c r="BU94" s="1" t="s">
        <v>359</v>
      </c>
      <c r="BV94">
        <v>297806</v>
      </c>
      <c r="BW94">
        <v>1.0416714136867693E-2</v>
      </c>
      <c r="BX94">
        <v>50.485725588448602</v>
      </c>
      <c r="BY94">
        <v>0.15476033493769334</v>
      </c>
      <c r="BZ94">
        <v>5.9874310454715278</v>
      </c>
      <c r="CA94">
        <v>56.627916968857818</v>
      </c>
      <c r="CB94" s="1" t="s">
        <v>297</v>
      </c>
      <c r="CC94">
        <v>1</v>
      </c>
      <c r="CD94" s="1" t="s">
        <v>298</v>
      </c>
      <c r="CE94" s="1" t="s">
        <v>504</v>
      </c>
      <c r="CF94">
        <v>1101</v>
      </c>
      <c r="CG94" s="1" t="s">
        <v>300</v>
      </c>
      <c r="CH94" s="1" t="s">
        <v>403</v>
      </c>
      <c r="CI94" s="1" t="s">
        <v>404</v>
      </c>
      <c r="CJ94" s="1" t="s">
        <v>301</v>
      </c>
      <c r="CK94" s="1" t="s">
        <v>302</v>
      </c>
      <c r="CL94" s="1" t="s">
        <v>527</v>
      </c>
      <c r="CM94">
        <v>3601651112004</v>
      </c>
      <c r="CO94" s="1"/>
      <c r="CP94" s="1" t="s">
        <v>2115</v>
      </c>
      <c r="CQ94" s="1" t="s">
        <v>367</v>
      </c>
      <c r="CR94" s="1" t="s">
        <v>505</v>
      </c>
      <c r="CS94">
        <v>6390</v>
      </c>
      <c r="CT94">
        <v>2950</v>
      </c>
      <c r="CU94">
        <v>3000</v>
      </c>
      <c r="CV94" s="1" t="s">
        <v>309</v>
      </c>
      <c r="CW94" s="1" t="s">
        <v>308</v>
      </c>
      <c r="CY94">
        <v>3440</v>
      </c>
      <c r="CZ94">
        <v>3500</v>
      </c>
      <c r="DA94" s="1" t="s">
        <v>307</v>
      </c>
      <c r="DB94">
        <v>3440</v>
      </c>
      <c r="DC94">
        <v>3440</v>
      </c>
      <c r="DD94">
        <v>0</v>
      </c>
      <c r="DE94">
        <v>0</v>
      </c>
      <c r="DF94">
        <v>1000</v>
      </c>
      <c r="DG94">
        <v>2440</v>
      </c>
      <c r="DH94">
        <v>0</v>
      </c>
      <c r="DI94">
        <v>0</v>
      </c>
      <c r="DJ94">
        <v>0</v>
      </c>
      <c r="DK94" s="1" t="s">
        <v>369</v>
      </c>
      <c r="DL94" s="1" t="s">
        <v>370</v>
      </c>
      <c r="DN94" s="1"/>
      <c r="DO94">
        <v>701</v>
      </c>
      <c r="DP94">
        <v>0</v>
      </c>
      <c r="DQ94">
        <v>701</v>
      </c>
      <c r="DR94" s="1"/>
      <c r="DS94">
        <v>212</v>
      </c>
      <c r="DT94">
        <v>0</v>
      </c>
      <c r="DU94">
        <v>226</v>
      </c>
      <c r="DV94">
        <v>175</v>
      </c>
      <c r="DW94" s="1" t="s">
        <v>371</v>
      </c>
      <c r="DX94">
        <v>18</v>
      </c>
      <c r="DZ94">
        <v>2</v>
      </c>
      <c r="EA94">
        <v>2</v>
      </c>
      <c r="EB94">
        <v>7</v>
      </c>
      <c r="EC94">
        <v>2</v>
      </c>
      <c r="ED94">
        <v>0</v>
      </c>
      <c r="EE94">
        <v>0</v>
      </c>
      <c r="EF94">
        <v>11</v>
      </c>
      <c r="EG94">
        <v>2010</v>
      </c>
      <c r="EI94" s="1"/>
      <c r="EJ94" s="1" t="s">
        <v>313</v>
      </c>
      <c r="EK94" s="1" t="s">
        <v>314</v>
      </c>
      <c r="EL94">
        <v>29</v>
      </c>
      <c r="EM94">
        <v>27</v>
      </c>
      <c r="EN94">
        <v>7</v>
      </c>
      <c r="EO94" s="1" t="s">
        <v>315</v>
      </c>
      <c r="EP94">
        <v>20</v>
      </c>
      <c r="EQ94">
        <v>94.053600698120789</v>
      </c>
      <c r="ER94" s="1" t="s">
        <v>316</v>
      </c>
      <c r="ES94">
        <v>3.503742982933487</v>
      </c>
      <c r="ET94">
        <v>0</v>
      </c>
      <c r="EU94" s="1"/>
      <c r="EV94">
        <v>105.33127342443795</v>
      </c>
      <c r="EW94">
        <v>0</v>
      </c>
      <c r="EX94" t="s">
        <v>316</v>
      </c>
      <c r="EY94">
        <v>0</v>
      </c>
      <c r="EZ94" s="1" t="s">
        <v>317</v>
      </c>
      <c r="FA94" s="2"/>
      <c r="FB94" s="1" t="s">
        <v>318</v>
      </c>
      <c r="FC94">
        <v>1</v>
      </c>
      <c r="FD94" s="1"/>
      <c r="FE94" s="2"/>
      <c r="FF94" s="1"/>
      <c r="FG94" s="1" t="s">
        <v>319</v>
      </c>
      <c r="FH94" s="1" t="s">
        <v>319</v>
      </c>
      <c r="FI94" s="1" t="s">
        <v>319</v>
      </c>
      <c r="FJ94" s="1" t="s">
        <v>319</v>
      </c>
      <c r="FK94" s="1" t="s">
        <v>373</v>
      </c>
      <c r="FL94">
        <v>18.59</v>
      </c>
      <c r="FM94">
        <v>8056.0241252302012</v>
      </c>
      <c r="FN94" s="1" t="s">
        <v>321</v>
      </c>
      <c r="FO94" s="1" t="s">
        <v>319</v>
      </c>
      <c r="FP94" s="1" t="s">
        <v>323</v>
      </c>
      <c r="FQ94" s="1" t="s">
        <v>559</v>
      </c>
      <c r="FR94" s="1" t="s">
        <v>325</v>
      </c>
      <c r="FS94" s="1"/>
      <c r="FT94" s="1" t="s">
        <v>326</v>
      </c>
      <c r="FU94">
        <v>494198191</v>
      </c>
      <c r="FV94" s="1" t="s">
        <v>319</v>
      </c>
      <c r="FW94" s="1" t="s">
        <v>319</v>
      </c>
      <c r="FX94" s="1" t="s">
        <v>322</v>
      </c>
      <c r="FY94" s="1" t="s">
        <v>322</v>
      </c>
      <c r="FZ94" s="1" t="s">
        <v>322</v>
      </c>
      <c r="GA94" s="1" t="s">
        <v>322</v>
      </c>
      <c r="GB94" s="1" t="s">
        <v>319</v>
      </c>
      <c r="GC94" s="1" t="s">
        <v>322</v>
      </c>
      <c r="GD94" s="1" t="s">
        <v>322</v>
      </c>
      <c r="GE94" s="1" t="s">
        <v>322</v>
      </c>
      <c r="GF94" s="1" t="s">
        <v>415</v>
      </c>
      <c r="GG94" s="1"/>
      <c r="GH94" s="1" t="s">
        <v>322</v>
      </c>
      <c r="GI94" s="1" t="s">
        <v>416</v>
      </c>
      <c r="GJ94" s="1" t="s">
        <v>322</v>
      </c>
      <c r="GK94" s="2">
        <v>42005</v>
      </c>
      <c r="GL94" s="1" t="s">
        <v>322</v>
      </c>
      <c r="GM94" s="1" t="s">
        <v>322</v>
      </c>
      <c r="GN94">
        <v>43038</v>
      </c>
      <c r="GO94" s="1" t="s">
        <v>319</v>
      </c>
      <c r="GQ94" s="1"/>
      <c r="GR94" s="1"/>
      <c r="GS94" s="1"/>
      <c r="GT94" s="1" t="s">
        <v>322</v>
      </c>
      <c r="GU94" s="1" t="s">
        <v>2499</v>
      </c>
      <c r="GV94" s="1" t="s">
        <v>322</v>
      </c>
      <c r="GW94" s="1" t="s">
        <v>319</v>
      </c>
      <c r="GX94" s="1" t="s">
        <v>322</v>
      </c>
      <c r="GY94" s="1" t="s">
        <v>319</v>
      </c>
      <c r="GZ94" s="1" t="s">
        <v>319</v>
      </c>
      <c r="HA94" s="2">
        <v>44064</v>
      </c>
      <c r="HB94" s="2">
        <v>42653</v>
      </c>
      <c r="HC94" s="1"/>
      <c r="HD94" s="1"/>
      <c r="HE94" s="1"/>
      <c r="HF94" s="1"/>
      <c r="HG94" s="1"/>
      <c r="HH94" s="1"/>
      <c r="HI94" s="1" t="s">
        <v>319</v>
      </c>
      <c r="HJ94" s="1" t="s">
        <v>330</v>
      </c>
      <c r="HK94" s="2"/>
      <c r="HL94" s="1"/>
      <c r="HM94" s="1" t="s">
        <v>322</v>
      </c>
      <c r="HN94" s="1" t="s">
        <v>322</v>
      </c>
      <c r="HO94" s="1"/>
      <c r="HP94" s="1"/>
      <c r="HQ94" s="1"/>
      <c r="HR94" s="1"/>
      <c r="HS94" s="1"/>
      <c r="HT94" s="1"/>
      <c r="HU94" s="1" t="s">
        <v>331</v>
      </c>
      <c r="HV94">
        <v>4621946016</v>
      </c>
      <c r="HW94">
        <v>40638876</v>
      </c>
      <c r="HX94">
        <v>99102570003</v>
      </c>
      <c r="HY94" s="1" t="s">
        <v>2566</v>
      </c>
      <c r="HZ94">
        <v>4304144</v>
      </c>
      <c r="IA94">
        <v>4321282</v>
      </c>
      <c r="IB94" s="1" t="s">
        <v>2567</v>
      </c>
      <c r="IC94">
        <v>830071</v>
      </c>
      <c r="ID94" s="1" t="s">
        <v>2568</v>
      </c>
      <c r="IE94">
        <v>6.12</v>
      </c>
      <c r="IF94">
        <v>4.8899999999999997</v>
      </c>
      <c r="IG94">
        <v>3.91</v>
      </c>
      <c r="IH94">
        <v>2.95</v>
      </c>
      <c r="II94">
        <v>2.15</v>
      </c>
      <c r="IJ94">
        <v>1.31</v>
      </c>
      <c r="IK94">
        <v>1.31</v>
      </c>
    </row>
    <row r="95" spans="1:245" x14ac:dyDescent="0.3">
      <c r="A95">
        <v>1701</v>
      </c>
      <c r="B95">
        <v>2330</v>
      </c>
      <c r="C95" s="1" t="s">
        <v>265</v>
      </c>
      <c r="D95" s="1" t="s">
        <v>266</v>
      </c>
      <c r="E95" t="s">
        <v>3275</v>
      </c>
      <c r="F95" s="1" t="s">
        <v>267</v>
      </c>
      <c r="G95" s="1" t="s">
        <v>268</v>
      </c>
      <c r="H95">
        <v>608729156</v>
      </c>
      <c r="I95" s="1" t="s">
        <v>269</v>
      </c>
      <c r="J95" s="1" t="s">
        <v>270</v>
      </c>
      <c r="L95">
        <v>43808</v>
      </c>
      <c r="M95" s="1" t="s">
        <v>271</v>
      </c>
      <c r="N95" s="1" t="s">
        <v>272</v>
      </c>
      <c r="P95" s="1" t="s">
        <v>273</v>
      </c>
      <c r="Q95" s="1" t="s">
        <v>1984</v>
      </c>
      <c r="R95" s="1" t="s">
        <v>2101</v>
      </c>
      <c r="S95" s="1" t="s">
        <v>274</v>
      </c>
      <c r="T95" s="1" t="s">
        <v>275</v>
      </c>
      <c r="U95">
        <v>326846915</v>
      </c>
      <c r="V95" s="1" t="s">
        <v>276</v>
      </c>
      <c r="W95" s="1" t="s">
        <v>2099</v>
      </c>
      <c r="X95" s="1" t="s">
        <v>274</v>
      </c>
      <c r="Y95" s="1" t="s">
        <v>277</v>
      </c>
      <c r="Z95" s="1" t="s">
        <v>278</v>
      </c>
      <c r="AA95">
        <v>326846913</v>
      </c>
      <c r="AB95" s="1" t="s">
        <v>2121</v>
      </c>
      <c r="AC95" s="1" t="s">
        <v>2166</v>
      </c>
      <c r="AD95" s="1" t="s">
        <v>279</v>
      </c>
      <c r="AE95" s="1" t="s">
        <v>280</v>
      </c>
      <c r="AF95">
        <v>326846914</v>
      </c>
      <c r="AG95" s="1" t="s">
        <v>2160</v>
      </c>
      <c r="AH95" s="1" t="s">
        <v>279</v>
      </c>
      <c r="AI95" s="1" t="s">
        <v>281</v>
      </c>
      <c r="AJ95" s="1" t="s">
        <v>282</v>
      </c>
      <c r="AK95">
        <v>326846912</v>
      </c>
      <c r="AL95" s="1" t="s">
        <v>2086</v>
      </c>
      <c r="AM95" s="1" t="s">
        <v>2013</v>
      </c>
      <c r="AN95" s="1" t="s">
        <v>283</v>
      </c>
      <c r="AO95" s="1" t="s">
        <v>284</v>
      </c>
      <c r="AP95">
        <v>326846911</v>
      </c>
      <c r="AQ95" s="1" t="s">
        <v>2049</v>
      </c>
      <c r="AR95" s="1" t="s">
        <v>2015</v>
      </c>
      <c r="AS95" s="1" t="s">
        <v>285</v>
      </c>
      <c r="AT95" s="1" t="s">
        <v>286</v>
      </c>
      <c r="AU95">
        <v>326846917</v>
      </c>
      <c r="AV95" s="1" t="s">
        <v>2140</v>
      </c>
      <c r="AW95" s="1" t="s">
        <v>2063</v>
      </c>
      <c r="AX95" s="1" t="s">
        <v>287</v>
      </c>
      <c r="AY95">
        <v>7873000102</v>
      </c>
      <c r="AZ95" s="1"/>
      <c r="BB95" s="1" t="s">
        <v>288</v>
      </c>
      <c r="BC95" s="1" t="s">
        <v>289</v>
      </c>
      <c r="BD95">
        <v>51</v>
      </c>
      <c r="BE95">
        <v>326846929</v>
      </c>
      <c r="BF95">
        <v>49.27392578125</v>
      </c>
      <c r="BG95">
        <v>4.0736541748046804</v>
      </c>
      <c r="BH95">
        <v>451647903</v>
      </c>
      <c r="BI95">
        <v>272</v>
      </c>
      <c r="BJ95" s="2">
        <v>34248</v>
      </c>
      <c r="BK95" s="1" t="s">
        <v>3377</v>
      </c>
      <c r="BL95" s="1" t="s">
        <v>290</v>
      </c>
      <c r="BM95" s="1" t="s">
        <v>291</v>
      </c>
      <c r="BN95" s="1" t="s">
        <v>292</v>
      </c>
      <c r="BO95" s="1" t="s">
        <v>291</v>
      </c>
      <c r="BP95" s="1" t="s">
        <v>293</v>
      </c>
      <c r="BQ95" s="1" t="s">
        <v>294</v>
      </c>
      <c r="BR95">
        <v>80</v>
      </c>
      <c r="BS95">
        <v>21606044.699999999</v>
      </c>
      <c r="BT95" s="1" t="s">
        <v>295</v>
      </c>
      <c r="BU95" s="1" t="s">
        <v>296</v>
      </c>
      <c r="BV95">
        <v>364276</v>
      </c>
      <c r="BW95">
        <v>1.3989173907260096E-2</v>
      </c>
      <c r="BX95">
        <v>54.256939407925103</v>
      </c>
      <c r="BY95">
        <v>3.9833355310872296</v>
      </c>
      <c r="BZ95">
        <v>5.0783208061361291</v>
      </c>
      <c r="CA95">
        <v>63.318595745148457</v>
      </c>
      <c r="CB95" s="1" t="s">
        <v>297</v>
      </c>
      <c r="CC95">
        <v>1</v>
      </c>
      <c r="CD95" s="1" t="s">
        <v>298</v>
      </c>
      <c r="CE95" s="1" t="s">
        <v>299</v>
      </c>
      <c r="CF95">
        <v>1101</v>
      </c>
      <c r="CG95" s="1" t="s">
        <v>300</v>
      </c>
      <c r="CH95" s="1" t="s">
        <v>301</v>
      </c>
      <c r="CI95" s="1" t="s">
        <v>302</v>
      </c>
      <c r="CJ95" s="1" t="s">
        <v>301</v>
      </c>
      <c r="CK95" s="1" t="s">
        <v>302</v>
      </c>
      <c r="CL95" s="1" t="s">
        <v>303</v>
      </c>
      <c r="CM95">
        <v>3601651117009</v>
      </c>
      <c r="CO95" s="1"/>
      <c r="CP95" s="1" t="s">
        <v>304</v>
      </c>
      <c r="CQ95" s="1" t="s">
        <v>305</v>
      </c>
      <c r="CR95" s="1" t="s">
        <v>306</v>
      </c>
      <c r="CS95">
        <v>7778</v>
      </c>
      <c r="CT95">
        <v>4500</v>
      </c>
      <c r="CU95">
        <v>3700</v>
      </c>
      <c r="CV95" s="1" t="s">
        <v>307</v>
      </c>
      <c r="CW95" s="1" t="s">
        <v>308</v>
      </c>
      <c r="CY95">
        <v>3060</v>
      </c>
      <c r="CZ95">
        <v>3000</v>
      </c>
      <c r="DA95" s="1" t="s">
        <v>309</v>
      </c>
      <c r="DB95">
        <v>3278</v>
      </c>
      <c r="DC95">
        <v>3278</v>
      </c>
      <c r="DD95">
        <v>0</v>
      </c>
      <c r="DE95">
        <v>0</v>
      </c>
      <c r="DF95">
        <v>1080</v>
      </c>
      <c r="DG95">
        <v>2198</v>
      </c>
      <c r="DH95">
        <v>0</v>
      </c>
      <c r="DI95">
        <v>0</v>
      </c>
      <c r="DJ95">
        <v>0</v>
      </c>
      <c r="DK95" s="1" t="s">
        <v>310</v>
      </c>
      <c r="DL95" s="1" t="s">
        <v>311</v>
      </c>
      <c r="DN95" s="1"/>
      <c r="DO95">
        <v>800</v>
      </c>
      <c r="DP95">
        <v>800</v>
      </c>
      <c r="DQ95">
        <v>0</v>
      </c>
      <c r="DR95" s="1"/>
      <c r="DS95">
        <v>800</v>
      </c>
      <c r="DT95">
        <v>88</v>
      </c>
      <c r="DU95">
        <v>259</v>
      </c>
      <c r="DV95">
        <v>245</v>
      </c>
      <c r="DW95" s="1" t="s">
        <v>312</v>
      </c>
      <c r="DX95">
        <v>19</v>
      </c>
      <c r="DZ95">
        <v>2</v>
      </c>
      <c r="EA95">
        <v>2</v>
      </c>
      <c r="EB95">
        <v>9</v>
      </c>
      <c r="EC95">
        <v>3</v>
      </c>
      <c r="ED95">
        <v>0</v>
      </c>
      <c r="EE95">
        <v>0</v>
      </c>
      <c r="EF95">
        <v>14</v>
      </c>
      <c r="EG95">
        <v>2010</v>
      </c>
      <c r="EI95" s="1"/>
      <c r="EJ95" s="1" t="s">
        <v>313</v>
      </c>
      <c r="EK95" s="1" t="s">
        <v>314</v>
      </c>
      <c r="EL95">
        <v>44</v>
      </c>
      <c r="EM95">
        <v>41</v>
      </c>
      <c r="EN95">
        <v>11</v>
      </c>
      <c r="EO95" s="1" t="s">
        <v>315</v>
      </c>
      <c r="EP95">
        <v>23</v>
      </c>
      <c r="EQ95">
        <v>86.321266734437188</v>
      </c>
      <c r="ER95" s="1" t="s">
        <v>316</v>
      </c>
      <c r="ES95">
        <v>4.4797463774358626</v>
      </c>
      <c r="ET95">
        <v>0</v>
      </c>
      <c r="EU95" s="1"/>
      <c r="EV95">
        <v>107.34161512086699</v>
      </c>
      <c r="EW95">
        <v>1</v>
      </c>
      <c r="EX95" t="s">
        <v>316</v>
      </c>
      <c r="EY95">
        <v>1</v>
      </c>
      <c r="EZ95" s="1" t="s">
        <v>317</v>
      </c>
      <c r="FA95" s="2"/>
      <c r="FB95" s="1" t="s">
        <v>318</v>
      </c>
      <c r="FC95">
        <v>1</v>
      </c>
      <c r="FD95" s="1"/>
      <c r="FE95" s="2"/>
      <c r="FF95" s="1"/>
      <c r="FG95" s="1" t="s">
        <v>319</v>
      </c>
      <c r="FH95" s="1" t="s">
        <v>319</v>
      </c>
      <c r="FI95" s="1" t="s">
        <v>319</v>
      </c>
      <c r="FJ95" s="1" t="s">
        <v>319</v>
      </c>
      <c r="FK95" s="1" t="s">
        <v>320</v>
      </c>
      <c r="FL95">
        <v>18.920000000000002</v>
      </c>
      <c r="FM95">
        <v>4645.6956207021358</v>
      </c>
      <c r="FN95" s="1" t="s">
        <v>321</v>
      </c>
      <c r="FO95" s="1" t="s">
        <v>322</v>
      </c>
      <c r="FP95" s="1" t="s">
        <v>323</v>
      </c>
      <c r="FQ95" s="1" t="s">
        <v>324</v>
      </c>
      <c r="FR95" s="1" t="s">
        <v>325</v>
      </c>
      <c r="FS95" s="1"/>
      <c r="FT95" s="1" t="s">
        <v>326</v>
      </c>
      <c r="FU95">
        <v>494198191</v>
      </c>
      <c r="FV95" s="1" t="s">
        <v>322</v>
      </c>
      <c r="FW95" s="1" t="s">
        <v>322</v>
      </c>
      <c r="FX95" s="1" t="s">
        <v>322</v>
      </c>
      <c r="FY95" s="1" t="s">
        <v>322</v>
      </c>
      <c r="FZ95" s="1" t="s">
        <v>322</v>
      </c>
      <c r="GA95" s="1" t="s">
        <v>322</v>
      </c>
      <c r="GB95" s="1" t="s">
        <v>322</v>
      </c>
      <c r="GC95" s="1" t="s">
        <v>322</v>
      </c>
      <c r="GD95" s="1" t="s">
        <v>322</v>
      </c>
      <c r="GE95" s="1" t="s">
        <v>322</v>
      </c>
      <c r="GF95" s="1" t="s">
        <v>327</v>
      </c>
      <c r="GG95" s="1"/>
      <c r="GH95" s="1" t="s">
        <v>322</v>
      </c>
      <c r="GI95" s="1" t="s">
        <v>328</v>
      </c>
      <c r="GJ95" s="1" t="s">
        <v>322</v>
      </c>
      <c r="GK95" s="2">
        <v>42005</v>
      </c>
      <c r="GL95" s="1" t="s">
        <v>322</v>
      </c>
      <c r="GM95" s="1" t="s">
        <v>322</v>
      </c>
      <c r="GN95">
        <v>43024</v>
      </c>
      <c r="GO95" s="1" t="s">
        <v>319</v>
      </c>
      <c r="GQ95" s="1"/>
      <c r="GR95" s="1"/>
      <c r="GS95" s="1"/>
      <c r="GT95" s="1" t="s">
        <v>322</v>
      </c>
      <c r="GU95" s="1" t="s">
        <v>329</v>
      </c>
      <c r="GV95" s="1" t="s">
        <v>322</v>
      </c>
      <c r="GW95" s="1" t="s">
        <v>319</v>
      </c>
      <c r="GX95" s="1" t="s">
        <v>319</v>
      </c>
      <c r="GY95" s="1" t="s">
        <v>319</v>
      </c>
      <c r="GZ95" s="1" t="s">
        <v>322</v>
      </c>
      <c r="HA95" s="2">
        <v>44064</v>
      </c>
      <c r="HB95" s="2">
        <v>42660</v>
      </c>
      <c r="HC95" s="1"/>
      <c r="HD95" s="1"/>
      <c r="HE95" s="1"/>
      <c r="HF95" s="1"/>
      <c r="HG95" s="1"/>
      <c r="HH95" s="1"/>
      <c r="HI95" s="1" t="s">
        <v>322</v>
      </c>
      <c r="HJ95" s="1" t="s">
        <v>330</v>
      </c>
      <c r="HK95" s="2"/>
      <c r="HL95" s="1"/>
      <c r="HM95" s="1" t="s">
        <v>322</v>
      </c>
      <c r="HN95" s="1" t="s">
        <v>322</v>
      </c>
      <c r="HO95" s="1"/>
      <c r="HP95" s="1"/>
      <c r="HQ95" s="1"/>
      <c r="HR95" s="1"/>
      <c r="HS95" s="1"/>
      <c r="HT95" s="1"/>
      <c r="HU95" s="1" t="s">
        <v>331</v>
      </c>
      <c r="HV95">
        <v>4621954013</v>
      </c>
      <c r="HW95">
        <v>40638698</v>
      </c>
      <c r="HX95">
        <v>99102569389</v>
      </c>
      <c r="HY95" s="1" t="s">
        <v>332</v>
      </c>
      <c r="HZ95">
        <v>4318791</v>
      </c>
      <c r="IA95">
        <v>4321513</v>
      </c>
      <c r="IB95" s="1" t="s">
        <v>333</v>
      </c>
      <c r="IC95">
        <v>830119</v>
      </c>
      <c r="ID95" s="1" t="s">
        <v>334</v>
      </c>
      <c r="IE95">
        <v>3.09</v>
      </c>
      <c r="IF95">
        <v>3.46</v>
      </c>
      <c r="IG95">
        <v>3.56</v>
      </c>
      <c r="IH95">
        <v>4.5599999999999996</v>
      </c>
      <c r="II95">
        <v>4.32</v>
      </c>
      <c r="IJ95">
        <v>3.65</v>
      </c>
      <c r="IK95">
        <v>3.65</v>
      </c>
    </row>
    <row r="96" spans="1:245" x14ac:dyDescent="0.3">
      <c r="A96">
        <v>1933</v>
      </c>
      <c r="B96">
        <v>2434</v>
      </c>
      <c r="C96" s="1" t="s">
        <v>2120</v>
      </c>
      <c r="D96" s="1" t="s">
        <v>266</v>
      </c>
      <c r="E96" t="s">
        <v>3275</v>
      </c>
      <c r="F96" s="1" t="s">
        <v>267</v>
      </c>
      <c r="G96" s="1" t="s">
        <v>268</v>
      </c>
      <c r="H96">
        <v>608729156</v>
      </c>
      <c r="I96" s="1" t="s">
        <v>2121</v>
      </c>
      <c r="J96" s="1" t="s">
        <v>2122</v>
      </c>
      <c r="L96">
        <v>43836</v>
      </c>
      <c r="M96" s="1" t="s">
        <v>2123</v>
      </c>
      <c r="N96" s="1" t="s">
        <v>2124</v>
      </c>
      <c r="O96">
        <v>326888360</v>
      </c>
      <c r="P96" s="1" t="s">
        <v>273</v>
      </c>
      <c r="Q96" s="1" t="s">
        <v>1984</v>
      </c>
      <c r="R96" s="1" t="s">
        <v>2101</v>
      </c>
      <c r="S96" s="1" t="s">
        <v>2125</v>
      </c>
      <c r="T96" s="1" t="s">
        <v>2126</v>
      </c>
      <c r="U96">
        <v>326888369</v>
      </c>
      <c r="V96" s="1" t="s">
        <v>276</v>
      </c>
      <c r="W96" s="1" t="s">
        <v>2099</v>
      </c>
      <c r="X96" s="1" t="s">
        <v>274</v>
      </c>
      <c r="Y96" s="1" t="s">
        <v>2127</v>
      </c>
      <c r="Z96" s="1" t="s">
        <v>2128</v>
      </c>
      <c r="AA96">
        <v>326888364</v>
      </c>
      <c r="AB96" s="1" t="s">
        <v>2121</v>
      </c>
      <c r="AC96" s="1" t="s">
        <v>2166</v>
      </c>
      <c r="AD96" s="1" t="s">
        <v>524</v>
      </c>
      <c r="AE96" s="1"/>
      <c r="AG96" s="1" t="s">
        <v>2160</v>
      </c>
      <c r="AH96" s="1" t="s">
        <v>279</v>
      </c>
      <c r="AI96" s="1" t="s">
        <v>2129</v>
      </c>
      <c r="AJ96" s="1" t="s">
        <v>2130</v>
      </c>
      <c r="AK96">
        <v>326888365</v>
      </c>
      <c r="AL96" s="1" t="s">
        <v>2086</v>
      </c>
      <c r="AM96" s="1" t="s">
        <v>2013</v>
      </c>
      <c r="AN96" s="1" t="s">
        <v>2131</v>
      </c>
      <c r="AO96" s="1" t="s">
        <v>2132</v>
      </c>
      <c r="AP96">
        <v>326888362</v>
      </c>
      <c r="AQ96" s="1" t="s">
        <v>2049</v>
      </c>
      <c r="AR96" s="1" t="s">
        <v>2015</v>
      </c>
      <c r="AS96" s="1" t="s">
        <v>2133</v>
      </c>
      <c r="AT96" s="1" t="s">
        <v>2134</v>
      </c>
      <c r="AU96">
        <v>326888360</v>
      </c>
      <c r="AV96" s="1" t="s">
        <v>2140</v>
      </c>
      <c r="AW96" s="1" t="s">
        <v>2063</v>
      </c>
      <c r="AX96" s="1" t="s">
        <v>287</v>
      </c>
      <c r="AY96">
        <v>7873000103</v>
      </c>
      <c r="AZ96" s="1"/>
      <c r="BB96" s="1" t="s">
        <v>2135</v>
      </c>
      <c r="BC96" s="1" t="s">
        <v>289</v>
      </c>
      <c r="BD96">
        <v>51</v>
      </c>
      <c r="BE96">
        <v>326888360</v>
      </c>
      <c r="BF96">
        <v>49.214646599999902</v>
      </c>
      <c r="BG96">
        <v>4.0176979000000301</v>
      </c>
      <c r="BH96">
        <v>451647903</v>
      </c>
      <c r="BI96">
        <v>1239</v>
      </c>
      <c r="BJ96" s="2">
        <v>41367</v>
      </c>
      <c r="BK96" s="1" t="s">
        <v>3375</v>
      </c>
      <c r="BL96" s="1" t="s">
        <v>290</v>
      </c>
      <c r="BM96" s="1" t="s">
        <v>291</v>
      </c>
      <c r="BN96" s="1" t="s">
        <v>292</v>
      </c>
      <c r="BO96" s="1" t="s">
        <v>291</v>
      </c>
      <c r="BP96" s="1" t="s">
        <v>293</v>
      </c>
      <c r="BQ96" s="1" t="s">
        <v>294</v>
      </c>
      <c r="BR96">
        <v>80</v>
      </c>
      <c r="BS96">
        <v>18579123.91</v>
      </c>
      <c r="BT96" s="1" t="s">
        <v>295</v>
      </c>
      <c r="BU96" s="1" t="s">
        <v>359</v>
      </c>
      <c r="BV96">
        <v>324203</v>
      </c>
      <c r="BW96">
        <v>1.0453234988969787E-2</v>
      </c>
      <c r="BX96">
        <v>43.285686028878501</v>
      </c>
      <c r="BY96">
        <v>0.96904463638161742</v>
      </c>
      <c r="BZ96">
        <v>8.0475786246456131</v>
      </c>
      <c r="CA96">
        <v>52.302309289905736</v>
      </c>
      <c r="CB96" s="1" t="s">
        <v>297</v>
      </c>
      <c r="CC96">
        <v>1</v>
      </c>
      <c r="CD96" s="1" t="s">
        <v>298</v>
      </c>
      <c r="CE96" s="1" t="s">
        <v>299</v>
      </c>
      <c r="CF96">
        <v>1101</v>
      </c>
      <c r="CG96" s="1" t="s">
        <v>300</v>
      </c>
      <c r="CH96" s="1" t="s">
        <v>301</v>
      </c>
      <c r="CI96" s="1" t="s">
        <v>302</v>
      </c>
      <c r="CJ96" s="1" t="s">
        <v>301</v>
      </c>
      <c r="CK96" s="1" t="s">
        <v>302</v>
      </c>
      <c r="CL96" s="1" t="s">
        <v>303</v>
      </c>
      <c r="CM96">
        <v>3601651117009</v>
      </c>
      <c r="CO96" s="1"/>
      <c r="CP96" s="1" t="s">
        <v>304</v>
      </c>
      <c r="CQ96" s="1" t="s">
        <v>406</v>
      </c>
      <c r="CR96" s="1" t="s">
        <v>505</v>
      </c>
      <c r="CS96">
        <v>7046</v>
      </c>
      <c r="CT96">
        <v>4340</v>
      </c>
      <c r="CU96" t="s">
        <v>693</v>
      </c>
      <c r="CV96" s="1" t="s">
        <v>478</v>
      </c>
      <c r="CW96" s="1" t="s">
        <v>308</v>
      </c>
      <c r="CY96">
        <v>2706</v>
      </c>
      <c r="CZ96" t="s">
        <v>368</v>
      </c>
      <c r="DA96" s="1" t="s">
        <v>309</v>
      </c>
      <c r="DB96">
        <v>2706</v>
      </c>
      <c r="DC96">
        <v>2706</v>
      </c>
      <c r="DD96">
        <v>0</v>
      </c>
      <c r="DE96">
        <v>0</v>
      </c>
      <c r="DF96">
        <v>2706</v>
      </c>
      <c r="DG96">
        <v>0</v>
      </c>
      <c r="DH96">
        <v>0</v>
      </c>
      <c r="DI96">
        <v>0</v>
      </c>
      <c r="DJ96">
        <v>0</v>
      </c>
      <c r="DK96" s="1" t="s">
        <v>310</v>
      </c>
      <c r="DL96" s="1" t="s">
        <v>370</v>
      </c>
      <c r="DN96" s="1"/>
      <c r="DO96">
        <v>650</v>
      </c>
      <c r="DP96">
        <v>650</v>
      </c>
      <c r="DQ96">
        <v>0</v>
      </c>
      <c r="DR96" s="1" t="s">
        <v>790</v>
      </c>
      <c r="DS96">
        <v>368</v>
      </c>
      <c r="DT96">
        <v>83</v>
      </c>
      <c r="DU96">
        <v>276</v>
      </c>
      <c r="DV96">
        <v>357</v>
      </c>
      <c r="DW96" s="1" t="s">
        <v>371</v>
      </c>
      <c r="DX96">
        <v>17</v>
      </c>
      <c r="DZ96">
        <v>2</v>
      </c>
      <c r="EA96">
        <v>2</v>
      </c>
      <c r="EB96">
        <v>8</v>
      </c>
      <c r="EC96">
        <v>2</v>
      </c>
      <c r="ED96">
        <v>0</v>
      </c>
      <c r="EE96">
        <v>1</v>
      </c>
      <c r="EF96">
        <v>13</v>
      </c>
      <c r="EG96">
        <v>2013</v>
      </c>
      <c r="EI96" s="1"/>
      <c r="EJ96" s="1" t="s">
        <v>313</v>
      </c>
      <c r="EK96" s="1" t="s">
        <v>314</v>
      </c>
      <c r="EL96">
        <v>28</v>
      </c>
      <c r="EM96">
        <v>25</v>
      </c>
      <c r="EN96">
        <v>12</v>
      </c>
      <c r="EO96" s="1" t="s">
        <v>315</v>
      </c>
      <c r="EP96">
        <v>24</v>
      </c>
      <c r="EQ96">
        <v>86.321266734437188</v>
      </c>
      <c r="ER96" s="1" t="s">
        <v>316</v>
      </c>
      <c r="ES96">
        <v>4.4797463774358626</v>
      </c>
      <c r="ET96">
        <v>0</v>
      </c>
      <c r="EU96" s="1"/>
      <c r="EV96">
        <v>107.34161512086699</v>
      </c>
      <c r="EW96">
        <v>0</v>
      </c>
      <c r="EX96" t="s">
        <v>316</v>
      </c>
      <c r="EY96">
        <v>0</v>
      </c>
      <c r="EZ96" s="1" t="s">
        <v>412</v>
      </c>
      <c r="FA96" s="2">
        <v>43341</v>
      </c>
      <c r="FB96" s="1" t="s">
        <v>791</v>
      </c>
      <c r="FC96">
        <v>1</v>
      </c>
      <c r="FD96" s="1"/>
      <c r="FE96" s="2"/>
      <c r="FF96" s="1"/>
      <c r="FG96" s="1" t="s">
        <v>322</v>
      </c>
      <c r="FH96" s="1" t="s">
        <v>319</v>
      </c>
      <c r="FI96" s="1" t="s">
        <v>319</v>
      </c>
      <c r="FJ96" s="1" t="s">
        <v>319</v>
      </c>
      <c r="FK96" s="1" t="s">
        <v>320</v>
      </c>
      <c r="FL96">
        <v>18.920000000000002</v>
      </c>
      <c r="FM96">
        <v>4488.8311617806721</v>
      </c>
      <c r="FN96" s="1" t="s">
        <v>321</v>
      </c>
      <c r="FO96" s="1" t="s">
        <v>322</v>
      </c>
      <c r="FP96" s="1" t="s">
        <v>323</v>
      </c>
      <c r="FQ96" s="1" t="s">
        <v>324</v>
      </c>
      <c r="FR96" s="1" t="s">
        <v>325</v>
      </c>
      <c r="FS96" s="1"/>
      <c r="FT96" s="1" t="s">
        <v>666</v>
      </c>
      <c r="FV96" s="1" t="s">
        <v>322</v>
      </c>
      <c r="FW96" s="1" t="s">
        <v>322</v>
      </c>
      <c r="FX96" s="1" t="s">
        <v>322</v>
      </c>
      <c r="FY96" s="1"/>
      <c r="FZ96" s="1" t="s">
        <v>319</v>
      </c>
      <c r="GA96" s="1" t="s">
        <v>322</v>
      </c>
      <c r="GB96" s="1" t="s">
        <v>322</v>
      </c>
      <c r="GC96" s="1"/>
      <c r="GD96" s="1" t="s">
        <v>319</v>
      </c>
      <c r="GE96" s="1" t="s">
        <v>322</v>
      </c>
      <c r="GF96" s="1" t="s">
        <v>415</v>
      </c>
      <c r="GG96" s="1"/>
      <c r="GH96" s="1" t="s">
        <v>322</v>
      </c>
      <c r="GI96" s="1"/>
      <c r="GJ96" s="1" t="s">
        <v>322</v>
      </c>
      <c r="GK96" s="2">
        <v>42005</v>
      </c>
      <c r="GL96" s="1" t="s">
        <v>322</v>
      </c>
      <c r="GM96" s="1" t="s">
        <v>322</v>
      </c>
      <c r="GN96">
        <v>43024</v>
      </c>
      <c r="GO96" s="1" t="s">
        <v>319</v>
      </c>
      <c r="GQ96" s="1"/>
      <c r="GR96" s="1"/>
      <c r="GS96" s="1"/>
      <c r="GT96" s="1" t="s">
        <v>322</v>
      </c>
      <c r="GU96" s="1" t="s">
        <v>329</v>
      </c>
      <c r="GV96" s="1" t="s">
        <v>322</v>
      </c>
      <c r="GW96" s="1" t="s">
        <v>319</v>
      </c>
      <c r="GX96" s="1" t="s">
        <v>322</v>
      </c>
      <c r="GY96" s="1" t="s">
        <v>322</v>
      </c>
      <c r="GZ96" s="1" t="s">
        <v>319</v>
      </c>
      <c r="HA96" s="2">
        <v>44065</v>
      </c>
      <c r="HB96" s="2">
        <v>42660</v>
      </c>
      <c r="HC96" s="1"/>
      <c r="HD96" s="1"/>
      <c r="HE96" s="1"/>
      <c r="HF96" s="1"/>
      <c r="HG96" s="1"/>
      <c r="HH96" s="1"/>
      <c r="HI96" s="1" t="s">
        <v>322</v>
      </c>
      <c r="HJ96" s="1" t="s">
        <v>794</v>
      </c>
      <c r="HK96" s="2">
        <v>42736</v>
      </c>
      <c r="HL96" s="1"/>
      <c r="HM96" s="1" t="s">
        <v>322</v>
      </c>
      <c r="HN96" s="1" t="s">
        <v>322</v>
      </c>
      <c r="HO96" s="1"/>
      <c r="HP96" s="1"/>
      <c r="HQ96" s="1"/>
      <c r="HR96" s="1"/>
      <c r="HS96" s="1"/>
      <c r="HT96" s="1"/>
      <c r="HU96" s="1" t="s">
        <v>331</v>
      </c>
      <c r="HV96">
        <v>4635103012</v>
      </c>
      <c r="HW96">
        <v>40638706</v>
      </c>
      <c r="HX96">
        <v>99102569391</v>
      </c>
      <c r="HY96" s="1" t="s">
        <v>2136</v>
      </c>
      <c r="HZ96">
        <v>4319805</v>
      </c>
      <c r="IA96">
        <v>4321882</v>
      </c>
      <c r="IB96" s="1" t="s">
        <v>2137</v>
      </c>
      <c r="IC96">
        <v>830126</v>
      </c>
      <c r="ID96" s="1" t="s">
        <v>2138</v>
      </c>
      <c r="IE96">
        <v>3.1</v>
      </c>
      <c r="IF96">
        <v>4.0999999999999996</v>
      </c>
      <c r="IG96">
        <v>3.28</v>
      </c>
      <c r="IH96">
        <v>2.7</v>
      </c>
      <c r="II96">
        <v>2.52</v>
      </c>
      <c r="IJ96">
        <v>2.63</v>
      </c>
      <c r="IK96">
        <v>2.63</v>
      </c>
    </row>
    <row r="97" spans="1:245" x14ac:dyDescent="0.3">
      <c r="A97">
        <v>1913</v>
      </c>
      <c r="B97">
        <v>2421</v>
      </c>
      <c r="C97" s="1" t="s">
        <v>2569</v>
      </c>
      <c r="D97" s="1" t="s">
        <v>2414</v>
      </c>
      <c r="E97" t="s">
        <v>3275</v>
      </c>
      <c r="F97" s="1" t="s">
        <v>2415</v>
      </c>
      <c r="G97" s="1" t="s">
        <v>2416</v>
      </c>
      <c r="H97">
        <v>782575744</v>
      </c>
      <c r="I97" s="1" t="s">
        <v>2570</v>
      </c>
      <c r="J97" s="1" t="s">
        <v>2571</v>
      </c>
      <c r="L97">
        <v>44440</v>
      </c>
      <c r="M97" s="1" t="s">
        <v>2572</v>
      </c>
      <c r="N97" s="1" t="s">
        <v>2573</v>
      </c>
      <c r="O97">
        <v>223451258</v>
      </c>
      <c r="P97" s="1" t="s">
        <v>273</v>
      </c>
      <c r="Q97" s="1" t="s">
        <v>2634</v>
      </c>
      <c r="R97" s="1" t="s">
        <v>2572</v>
      </c>
      <c r="S97" s="1" t="s">
        <v>2574</v>
      </c>
      <c r="T97" s="1" t="s">
        <v>2575</v>
      </c>
      <c r="U97">
        <v>223451259</v>
      </c>
      <c r="V97" s="1" t="s">
        <v>276</v>
      </c>
      <c r="W97" s="1" t="s">
        <v>2634</v>
      </c>
      <c r="X97" s="1" t="s">
        <v>2638</v>
      </c>
      <c r="Y97" s="1" t="s">
        <v>2576</v>
      </c>
      <c r="Z97" s="1" t="s">
        <v>2577</v>
      </c>
      <c r="AA97">
        <v>296861504</v>
      </c>
      <c r="AB97" s="1" t="s">
        <v>2460</v>
      </c>
      <c r="AC97" s="1" t="s">
        <v>2534</v>
      </c>
      <c r="AD97" s="1" t="s">
        <v>524</v>
      </c>
      <c r="AE97" s="1"/>
      <c r="AG97" s="1" t="s">
        <v>2417</v>
      </c>
      <c r="AH97" s="1" t="s">
        <v>2466</v>
      </c>
      <c r="AI97" s="1" t="s">
        <v>2578</v>
      </c>
      <c r="AJ97" s="1" t="s">
        <v>2579</v>
      </c>
      <c r="AK97">
        <v>296861504</v>
      </c>
      <c r="AL97" s="1" t="s">
        <v>2480</v>
      </c>
      <c r="AM97" s="1" t="s">
        <v>2619</v>
      </c>
      <c r="AN97" s="1" t="s">
        <v>2580</v>
      </c>
      <c r="AO97" s="1" t="s">
        <v>2581</v>
      </c>
      <c r="AP97">
        <v>223451252</v>
      </c>
      <c r="AQ97" s="1" t="s">
        <v>2570</v>
      </c>
      <c r="AR97" s="1" t="s">
        <v>2646</v>
      </c>
      <c r="AS97" s="1" t="s">
        <v>2582</v>
      </c>
      <c r="AT97" s="1" t="s">
        <v>2583</v>
      </c>
      <c r="AU97">
        <v>223451257</v>
      </c>
      <c r="AV97" s="1" t="s">
        <v>2611</v>
      </c>
      <c r="AW97" s="1" t="s">
        <v>2625</v>
      </c>
      <c r="AX97" s="1" t="s">
        <v>2429</v>
      </c>
      <c r="AY97">
        <v>624644371</v>
      </c>
      <c r="AZ97" s="1" t="s">
        <v>2430</v>
      </c>
      <c r="BB97" s="1" t="s">
        <v>2584</v>
      </c>
      <c r="BC97" s="1" t="s">
        <v>2585</v>
      </c>
      <c r="BD97">
        <v>35</v>
      </c>
      <c r="BE97">
        <v>223451250</v>
      </c>
      <c r="BF97">
        <v>48.1153564453125</v>
      </c>
      <c r="BG97">
        <v>-1.58891677856445</v>
      </c>
      <c r="BH97">
        <v>451647903</v>
      </c>
      <c r="BI97">
        <v>1130</v>
      </c>
      <c r="BJ97" s="2">
        <v>39911</v>
      </c>
      <c r="BK97" s="1" t="s">
        <v>3381</v>
      </c>
      <c r="BL97" s="1" t="s">
        <v>290</v>
      </c>
      <c r="BM97" s="1" t="s">
        <v>291</v>
      </c>
      <c r="BN97" s="1" t="s">
        <v>292</v>
      </c>
      <c r="BO97" s="1" t="s">
        <v>291</v>
      </c>
      <c r="BP97" s="1" t="s">
        <v>293</v>
      </c>
      <c r="BQ97" s="1" t="s">
        <v>294</v>
      </c>
      <c r="BR97">
        <v>80</v>
      </c>
      <c r="BS97">
        <v>19152359.420000002</v>
      </c>
      <c r="BT97" s="1" t="s">
        <v>295</v>
      </c>
      <c r="BU97" s="1" t="s">
        <v>359</v>
      </c>
      <c r="BV97">
        <v>278412</v>
      </c>
      <c r="BW97">
        <v>1.1060648355755834E-2</v>
      </c>
      <c r="BX97">
        <v>49.494296828641097</v>
      </c>
      <c r="BY97">
        <v>5.1833146524252225</v>
      </c>
      <c r="BZ97">
        <v>5.6979676270851201</v>
      </c>
      <c r="CA97">
        <v>60.375579108151442</v>
      </c>
      <c r="CB97" s="1" t="s">
        <v>443</v>
      </c>
      <c r="CC97">
        <v>2</v>
      </c>
      <c r="CD97" s="1" t="s">
        <v>298</v>
      </c>
      <c r="CE97" s="1" t="s">
        <v>299</v>
      </c>
      <c r="CF97">
        <v>1101</v>
      </c>
      <c r="CG97" s="1" t="s">
        <v>300</v>
      </c>
      <c r="CH97" s="1" t="s">
        <v>403</v>
      </c>
      <c r="CI97" s="1" t="s">
        <v>404</v>
      </c>
      <c r="CJ97" s="1" t="s">
        <v>301</v>
      </c>
      <c r="CK97" s="1" t="s">
        <v>302</v>
      </c>
      <c r="CL97" s="1" t="s">
        <v>527</v>
      </c>
      <c r="CM97">
        <v>3601651112004</v>
      </c>
      <c r="CO97" s="1"/>
      <c r="CP97" s="1" t="s">
        <v>1046</v>
      </c>
      <c r="CQ97" s="1" t="s">
        <v>305</v>
      </c>
      <c r="CR97" s="1" t="s">
        <v>306</v>
      </c>
      <c r="CS97">
        <v>7155</v>
      </c>
      <c r="CT97">
        <v>3955</v>
      </c>
      <c r="CU97">
        <v>3700</v>
      </c>
      <c r="CV97" s="1" t="s">
        <v>307</v>
      </c>
      <c r="CW97" s="1" t="s">
        <v>308</v>
      </c>
      <c r="CX97">
        <v>200</v>
      </c>
      <c r="CY97">
        <v>3272</v>
      </c>
      <c r="CZ97">
        <v>3000</v>
      </c>
      <c r="DA97" s="1" t="s">
        <v>309</v>
      </c>
      <c r="DB97">
        <v>3200</v>
      </c>
      <c r="DC97">
        <v>3200</v>
      </c>
      <c r="DD97">
        <v>84</v>
      </c>
      <c r="DE97">
        <v>0</v>
      </c>
      <c r="DF97">
        <v>1200</v>
      </c>
      <c r="DG97">
        <v>2000</v>
      </c>
      <c r="DH97">
        <v>0</v>
      </c>
      <c r="DI97">
        <v>0</v>
      </c>
      <c r="DJ97">
        <v>0</v>
      </c>
      <c r="DK97" s="1" t="s">
        <v>409</v>
      </c>
      <c r="DL97" s="1" t="s">
        <v>410</v>
      </c>
      <c r="DN97" s="1"/>
      <c r="DO97">
        <v>750</v>
      </c>
      <c r="DP97">
        <v>0</v>
      </c>
      <c r="DQ97">
        <v>750</v>
      </c>
      <c r="DR97" s="1"/>
      <c r="DS97">
        <v>512</v>
      </c>
      <c r="DT97">
        <v>81</v>
      </c>
      <c r="DU97">
        <v>302</v>
      </c>
      <c r="DV97">
        <v>244</v>
      </c>
      <c r="DW97" s="1" t="s">
        <v>371</v>
      </c>
      <c r="DX97">
        <v>14</v>
      </c>
      <c r="DZ97">
        <v>2</v>
      </c>
      <c r="EA97">
        <v>2</v>
      </c>
      <c r="EB97">
        <v>12</v>
      </c>
      <c r="EC97">
        <v>3</v>
      </c>
      <c r="ED97">
        <v>0</v>
      </c>
      <c r="EE97">
        <v>0</v>
      </c>
      <c r="EF97">
        <v>17</v>
      </c>
      <c r="EG97">
        <v>2015</v>
      </c>
      <c r="EI97" s="1"/>
      <c r="EJ97" s="1" t="s">
        <v>313</v>
      </c>
      <c r="EK97" s="1" t="s">
        <v>314</v>
      </c>
      <c r="EL97">
        <v>26</v>
      </c>
      <c r="EM97">
        <v>25</v>
      </c>
      <c r="EN97">
        <v>10</v>
      </c>
      <c r="EO97" s="1" t="s">
        <v>315</v>
      </c>
      <c r="EP97">
        <v>25</v>
      </c>
      <c r="EQ97">
        <v>71.606668177790596</v>
      </c>
      <c r="ER97" s="1" t="s">
        <v>316</v>
      </c>
      <c r="ES97">
        <v>2.9879041397927013</v>
      </c>
      <c r="ET97">
        <v>0</v>
      </c>
      <c r="EU97" s="1"/>
      <c r="EV97">
        <v>105.81301901955531</v>
      </c>
      <c r="EW97">
        <v>0</v>
      </c>
      <c r="EX97" t="s">
        <v>316</v>
      </c>
      <c r="EY97">
        <v>0</v>
      </c>
      <c r="EZ97" s="1" t="s">
        <v>317</v>
      </c>
      <c r="FA97" s="2"/>
      <c r="FB97" s="1" t="s">
        <v>318</v>
      </c>
      <c r="FC97">
        <v>1</v>
      </c>
      <c r="FD97" s="1"/>
      <c r="FE97" s="2"/>
      <c r="FF97" s="1"/>
      <c r="FG97" s="1" t="s">
        <v>322</v>
      </c>
      <c r="FH97" s="1" t="s">
        <v>319</v>
      </c>
      <c r="FI97" s="1" t="s">
        <v>319</v>
      </c>
      <c r="FJ97" s="1" t="s">
        <v>319</v>
      </c>
      <c r="FK97" s="1" t="s">
        <v>373</v>
      </c>
      <c r="FL97">
        <v>18.59</v>
      </c>
      <c r="FM97">
        <v>4023.4504604051567</v>
      </c>
      <c r="FN97" s="1" t="s">
        <v>321</v>
      </c>
      <c r="FO97" s="1" t="s">
        <v>322</v>
      </c>
      <c r="FP97" s="1" t="s">
        <v>323</v>
      </c>
      <c r="FQ97" s="1" t="s">
        <v>559</v>
      </c>
      <c r="FR97" s="1" t="s">
        <v>325</v>
      </c>
      <c r="FS97" s="1"/>
      <c r="FT97" s="1" t="s">
        <v>326</v>
      </c>
      <c r="FU97">
        <v>494198191</v>
      </c>
      <c r="FV97" s="1" t="s">
        <v>319</v>
      </c>
      <c r="FW97" s="1" t="s">
        <v>322</v>
      </c>
      <c r="FX97" s="1" t="s">
        <v>322</v>
      </c>
      <c r="FY97" s="1" t="s">
        <v>322</v>
      </c>
      <c r="FZ97" s="1" t="s">
        <v>322</v>
      </c>
      <c r="GA97" s="1" t="s">
        <v>322</v>
      </c>
      <c r="GB97" s="1" t="s">
        <v>322</v>
      </c>
      <c r="GC97" s="1" t="s">
        <v>322</v>
      </c>
      <c r="GD97" s="1" t="s">
        <v>322</v>
      </c>
      <c r="GE97" s="1" t="s">
        <v>322</v>
      </c>
      <c r="GF97" s="1" t="s">
        <v>415</v>
      </c>
      <c r="GG97" s="1"/>
      <c r="GH97" s="1" t="s">
        <v>319</v>
      </c>
      <c r="GI97" s="1"/>
      <c r="GJ97" s="1" t="s">
        <v>322</v>
      </c>
      <c r="GK97" s="2">
        <v>42005</v>
      </c>
      <c r="GL97" s="1" t="s">
        <v>322</v>
      </c>
      <c r="GM97" s="1" t="s">
        <v>322</v>
      </c>
      <c r="GN97">
        <v>43017</v>
      </c>
      <c r="GO97" s="1" t="s">
        <v>319</v>
      </c>
      <c r="GQ97" s="1"/>
      <c r="GR97" s="1"/>
      <c r="GS97" s="1"/>
      <c r="GT97" s="1" t="s">
        <v>322</v>
      </c>
      <c r="GU97" s="1" t="s">
        <v>2586</v>
      </c>
      <c r="GV97" s="1" t="s">
        <v>322</v>
      </c>
      <c r="GW97" s="1" t="s">
        <v>322</v>
      </c>
      <c r="GX97" s="1" t="s">
        <v>319</v>
      </c>
      <c r="GY97" s="1" t="s">
        <v>319</v>
      </c>
      <c r="GZ97" s="1" t="s">
        <v>319</v>
      </c>
      <c r="HA97" s="2">
        <v>44063</v>
      </c>
      <c r="HB97" s="2">
        <v>42653</v>
      </c>
      <c r="HC97" s="1"/>
      <c r="HD97" s="1"/>
      <c r="HE97" s="1"/>
      <c r="HF97" s="1"/>
      <c r="HG97" s="1"/>
      <c r="HH97" s="1"/>
      <c r="HI97" s="1" t="s">
        <v>322</v>
      </c>
      <c r="HJ97" s="1" t="s">
        <v>794</v>
      </c>
      <c r="HK97" s="2">
        <v>43101</v>
      </c>
      <c r="HL97" s="1"/>
      <c r="HM97" s="1" t="s">
        <v>322</v>
      </c>
      <c r="HN97" s="1" t="s">
        <v>322</v>
      </c>
      <c r="HO97" s="1"/>
      <c r="HP97" s="1"/>
      <c r="HQ97" s="1"/>
      <c r="HR97" s="1"/>
      <c r="HS97" s="1"/>
      <c r="HT97" s="1"/>
      <c r="HU97" s="1" t="s">
        <v>331</v>
      </c>
      <c r="HV97">
        <v>4628617015</v>
      </c>
      <c r="HW97">
        <v>40638882</v>
      </c>
      <c r="HX97">
        <v>99102570015</v>
      </c>
      <c r="HY97" s="1" t="s">
        <v>2587</v>
      </c>
      <c r="HZ97">
        <v>4319815</v>
      </c>
      <c r="IA97">
        <v>4321836</v>
      </c>
      <c r="IB97" s="1" t="s">
        <v>2588</v>
      </c>
      <c r="IC97">
        <v>830080</v>
      </c>
      <c r="ID97" s="1" t="s">
        <v>2589</v>
      </c>
      <c r="IE97">
        <v>3.47</v>
      </c>
      <c r="IF97">
        <v>3.55</v>
      </c>
      <c r="IG97">
        <v>4.1399999999999997</v>
      </c>
      <c r="IH97">
        <v>3.64</v>
      </c>
      <c r="II97">
        <v>2.9</v>
      </c>
      <c r="IJ97">
        <v>4.6459259259259262</v>
      </c>
      <c r="IK97">
        <v>4.66</v>
      </c>
    </row>
    <row r="98" spans="1:245" x14ac:dyDescent="0.3">
      <c r="A98">
        <v>1947</v>
      </c>
      <c r="B98">
        <v>2447</v>
      </c>
      <c r="C98" s="1" t="s">
        <v>2590</v>
      </c>
      <c r="D98" s="1" t="s">
        <v>2414</v>
      </c>
      <c r="E98" t="s">
        <v>3275</v>
      </c>
      <c r="F98" s="1" t="s">
        <v>2415</v>
      </c>
      <c r="G98" s="1" t="s">
        <v>2416</v>
      </c>
      <c r="H98">
        <v>782575744</v>
      </c>
      <c r="I98" s="1" t="s">
        <v>2570</v>
      </c>
      <c r="J98" s="1" t="s">
        <v>2571</v>
      </c>
      <c r="L98">
        <v>42660</v>
      </c>
      <c r="M98" s="1" t="s">
        <v>2591</v>
      </c>
      <c r="N98" s="1" t="s">
        <v>2592</v>
      </c>
      <c r="O98">
        <v>299546959</v>
      </c>
      <c r="P98" s="1" t="s">
        <v>884</v>
      </c>
      <c r="Q98" s="1" t="s">
        <v>2634</v>
      </c>
      <c r="R98" s="1" t="s">
        <v>2572</v>
      </c>
      <c r="S98" s="1" t="s">
        <v>2591</v>
      </c>
      <c r="T98" s="1" t="s">
        <v>2592</v>
      </c>
      <c r="U98">
        <v>299546959</v>
      </c>
      <c r="V98" s="1" t="s">
        <v>754</v>
      </c>
      <c r="W98" s="1" t="s">
        <v>2634</v>
      </c>
      <c r="X98" s="1" t="s">
        <v>2638</v>
      </c>
      <c r="Y98" s="1" t="s">
        <v>2593</v>
      </c>
      <c r="Z98" s="1" t="s">
        <v>2594</v>
      </c>
      <c r="AA98">
        <v>299540909</v>
      </c>
      <c r="AB98" s="1" t="s">
        <v>2460</v>
      </c>
      <c r="AC98" s="1" t="s">
        <v>2534</v>
      </c>
      <c r="AD98" s="1" t="s">
        <v>2595</v>
      </c>
      <c r="AE98" s="1" t="s">
        <v>2596</v>
      </c>
      <c r="AF98">
        <v>299540909</v>
      </c>
      <c r="AG98" s="1" t="s">
        <v>2417</v>
      </c>
      <c r="AH98" s="1" t="s">
        <v>2466</v>
      </c>
      <c r="AI98" s="1" t="s">
        <v>2597</v>
      </c>
      <c r="AJ98" s="1" t="s">
        <v>2598</v>
      </c>
      <c r="AK98">
        <v>299540909</v>
      </c>
      <c r="AL98" s="1" t="s">
        <v>2480</v>
      </c>
      <c r="AM98" s="1" t="s">
        <v>2619</v>
      </c>
      <c r="AN98" s="1" t="s">
        <v>2599</v>
      </c>
      <c r="AO98" s="1" t="s">
        <v>2600</v>
      </c>
      <c r="AP98">
        <v>299546942</v>
      </c>
      <c r="AQ98" s="1" t="s">
        <v>2570</v>
      </c>
      <c r="AR98" s="1" t="s">
        <v>2646</v>
      </c>
      <c r="AS98" s="1" t="s">
        <v>2601</v>
      </c>
      <c r="AT98" s="1" t="s">
        <v>2602</v>
      </c>
      <c r="AU98">
        <v>299540909</v>
      </c>
      <c r="AV98" s="1" t="s">
        <v>2611</v>
      </c>
      <c r="AW98" s="1" t="s">
        <v>2625</v>
      </c>
      <c r="AX98" s="1" t="s">
        <v>2429</v>
      </c>
      <c r="AY98">
        <v>624644372</v>
      </c>
      <c r="AZ98" s="1" t="s">
        <v>2430</v>
      </c>
      <c r="BB98" s="1" t="s">
        <v>2603</v>
      </c>
      <c r="BC98" s="1" t="s">
        <v>2604</v>
      </c>
      <c r="BD98">
        <v>35</v>
      </c>
      <c r="BE98">
        <v>299540909</v>
      </c>
      <c r="BF98">
        <v>48.1383056640625</v>
      </c>
      <c r="BG98">
        <v>-1.69242095947265</v>
      </c>
      <c r="BH98">
        <v>451647903</v>
      </c>
      <c r="BI98">
        <v>116</v>
      </c>
      <c r="BJ98" s="2">
        <v>37062</v>
      </c>
      <c r="BK98" s="1" t="s">
        <v>3315</v>
      </c>
      <c r="BL98" s="1" t="s">
        <v>290</v>
      </c>
      <c r="BM98" s="1" t="s">
        <v>291</v>
      </c>
      <c r="BN98" s="1" t="s">
        <v>292</v>
      </c>
      <c r="BO98" s="1" t="s">
        <v>291</v>
      </c>
      <c r="BP98" s="1" t="s">
        <v>293</v>
      </c>
      <c r="BQ98" s="1" t="s">
        <v>1247</v>
      </c>
      <c r="BR98">
        <v>75</v>
      </c>
      <c r="BS98">
        <v>17395876.940000001</v>
      </c>
      <c r="BT98" s="1" t="s">
        <v>295</v>
      </c>
      <c r="BU98" s="1" t="s">
        <v>359</v>
      </c>
      <c r="BV98">
        <v>326857</v>
      </c>
      <c r="BW98">
        <v>1.1292126736848014E-2</v>
      </c>
      <c r="BX98">
        <v>45.114261225028002</v>
      </c>
      <c r="BY98">
        <v>2.0833333333333335</v>
      </c>
      <c r="BZ98">
        <v>3.4810394277048853</v>
      </c>
      <c r="CA98">
        <v>50.678633986066224</v>
      </c>
      <c r="CB98" s="1" t="s">
        <v>443</v>
      </c>
      <c r="CC98">
        <v>2</v>
      </c>
      <c r="CD98" s="1" t="s">
        <v>298</v>
      </c>
      <c r="CE98" s="1" t="s">
        <v>299</v>
      </c>
      <c r="CF98">
        <v>1101</v>
      </c>
      <c r="CG98" s="1" t="s">
        <v>300</v>
      </c>
      <c r="CH98" s="1" t="s">
        <v>403</v>
      </c>
      <c r="CI98" s="1" t="s">
        <v>404</v>
      </c>
      <c r="CJ98" s="1" t="s">
        <v>301</v>
      </c>
      <c r="CK98" s="1" t="s">
        <v>302</v>
      </c>
      <c r="CL98" s="1" t="s">
        <v>527</v>
      </c>
      <c r="CM98">
        <v>3601651112004</v>
      </c>
      <c r="CO98" s="1"/>
      <c r="CP98" s="1" t="s">
        <v>444</v>
      </c>
      <c r="CQ98" s="1" t="s">
        <v>556</v>
      </c>
      <c r="CR98" s="1" t="s">
        <v>505</v>
      </c>
      <c r="CS98">
        <v>6700</v>
      </c>
      <c r="CT98">
        <v>3700</v>
      </c>
      <c r="CU98">
        <v>3700</v>
      </c>
      <c r="CV98" s="1" t="s">
        <v>307</v>
      </c>
      <c r="CW98" s="1" t="s">
        <v>408</v>
      </c>
      <c r="CX98">
        <v>200</v>
      </c>
      <c r="CY98">
        <v>2911</v>
      </c>
      <c r="CZ98" t="s">
        <v>368</v>
      </c>
      <c r="DA98" s="1" t="s">
        <v>309</v>
      </c>
      <c r="DB98">
        <v>2911</v>
      </c>
      <c r="DC98">
        <v>2911</v>
      </c>
      <c r="DD98">
        <v>0</v>
      </c>
      <c r="DE98">
        <v>0</v>
      </c>
      <c r="DF98">
        <v>1000</v>
      </c>
      <c r="DG98">
        <v>1911</v>
      </c>
      <c r="DH98">
        <v>0</v>
      </c>
      <c r="DI98">
        <v>0</v>
      </c>
      <c r="DJ98">
        <v>0</v>
      </c>
      <c r="DK98" s="1" t="s">
        <v>310</v>
      </c>
      <c r="DL98" s="1" t="s">
        <v>311</v>
      </c>
      <c r="DN98" s="1"/>
      <c r="DO98">
        <v>800</v>
      </c>
      <c r="DP98">
        <v>800</v>
      </c>
      <c r="DQ98">
        <v>0</v>
      </c>
      <c r="DR98" s="1"/>
      <c r="DS98">
        <v>400</v>
      </c>
      <c r="DT98">
        <v>96</v>
      </c>
      <c r="DU98">
        <v>350</v>
      </c>
      <c r="DV98" t="s">
        <v>556</v>
      </c>
      <c r="DW98" s="1" t="s">
        <v>371</v>
      </c>
      <c r="DX98">
        <v>13</v>
      </c>
      <c r="DZ98">
        <v>2</v>
      </c>
      <c r="EA98">
        <v>2</v>
      </c>
      <c r="EB98">
        <v>8</v>
      </c>
      <c r="EC98">
        <v>2</v>
      </c>
      <c r="ED98">
        <v>0</v>
      </c>
      <c r="EE98">
        <v>1</v>
      </c>
      <c r="EF98">
        <v>13</v>
      </c>
      <c r="EG98">
        <v>2016</v>
      </c>
      <c r="EI98" s="1"/>
      <c r="EJ98" s="1" t="s">
        <v>313</v>
      </c>
      <c r="EK98" s="1" t="s">
        <v>314</v>
      </c>
      <c r="EL98">
        <v>28</v>
      </c>
      <c r="EM98">
        <v>25</v>
      </c>
      <c r="EN98">
        <v>12</v>
      </c>
      <c r="EO98" s="1" t="s">
        <v>315</v>
      </c>
      <c r="EP98">
        <v>21</v>
      </c>
      <c r="EQ98">
        <v>71.606668177790596</v>
      </c>
      <c r="ER98" s="1" t="s">
        <v>316</v>
      </c>
      <c r="ES98">
        <v>2.9879041397927013</v>
      </c>
      <c r="ET98">
        <v>0</v>
      </c>
      <c r="EU98" s="1"/>
      <c r="EV98">
        <v>105.81301901955531</v>
      </c>
      <c r="EW98">
        <v>0</v>
      </c>
      <c r="EX98" t="s">
        <v>316</v>
      </c>
      <c r="EY98">
        <v>0</v>
      </c>
      <c r="EZ98" s="1" t="s">
        <v>317</v>
      </c>
      <c r="FA98" s="2"/>
      <c r="FB98" s="1" t="s">
        <v>2605</v>
      </c>
      <c r="FC98">
        <v>1</v>
      </c>
      <c r="FD98" s="1"/>
      <c r="FE98" s="2"/>
      <c r="FF98" s="1"/>
      <c r="FG98" s="1" t="s">
        <v>322</v>
      </c>
      <c r="FH98" s="1" t="s">
        <v>319</v>
      </c>
      <c r="FI98" s="1" t="s">
        <v>319</v>
      </c>
      <c r="FJ98" s="1" t="s">
        <v>319</v>
      </c>
      <c r="FK98" s="1" t="s">
        <v>373</v>
      </c>
      <c r="FL98">
        <v>18.59</v>
      </c>
      <c r="FM98">
        <v>4153.7808471454873</v>
      </c>
      <c r="FN98" s="1" t="s">
        <v>321</v>
      </c>
      <c r="FO98" s="1" t="s">
        <v>322</v>
      </c>
      <c r="FP98" s="1" t="s">
        <v>1222</v>
      </c>
      <c r="FQ98" s="1" t="s">
        <v>324</v>
      </c>
      <c r="FR98" s="1" t="s">
        <v>325</v>
      </c>
      <c r="FS98" s="1" t="s">
        <v>918</v>
      </c>
      <c r="FT98" s="1" t="s">
        <v>326</v>
      </c>
      <c r="FU98">
        <v>494198191</v>
      </c>
      <c r="FV98" s="1" t="s">
        <v>322</v>
      </c>
      <c r="FW98" s="1" t="s">
        <v>322</v>
      </c>
      <c r="FX98" s="1" t="s">
        <v>322</v>
      </c>
      <c r="FY98" s="1" t="s">
        <v>322</v>
      </c>
      <c r="FZ98" s="1" t="s">
        <v>319</v>
      </c>
      <c r="GA98" s="1" t="s">
        <v>322</v>
      </c>
      <c r="GB98" s="1" t="s">
        <v>322</v>
      </c>
      <c r="GC98" s="1" t="s">
        <v>322</v>
      </c>
      <c r="GD98" s="1" t="s">
        <v>319</v>
      </c>
      <c r="GE98" s="1" t="s">
        <v>322</v>
      </c>
      <c r="GF98" s="1" t="s">
        <v>415</v>
      </c>
      <c r="GG98" s="1"/>
      <c r="GH98" s="1" t="s">
        <v>322</v>
      </c>
      <c r="GI98" s="1"/>
      <c r="GJ98" s="1" t="s">
        <v>322</v>
      </c>
      <c r="GK98" s="2">
        <v>42370</v>
      </c>
      <c r="GL98" s="1" t="s">
        <v>322</v>
      </c>
      <c r="GM98" s="1" t="s">
        <v>322</v>
      </c>
      <c r="GN98">
        <v>43010</v>
      </c>
      <c r="GO98" s="1" t="s">
        <v>319</v>
      </c>
      <c r="GP98" t="s">
        <v>2606</v>
      </c>
      <c r="GQ98" s="1"/>
      <c r="GR98" s="1"/>
      <c r="GS98" s="1"/>
      <c r="GT98" s="1" t="s">
        <v>319</v>
      </c>
      <c r="GU98" s="1" t="s">
        <v>319</v>
      </c>
      <c r="GV98" s="1" t="s">
        <v>319</v>
      </c>
      <c r="GW98" s="1" t="s">
        <v>319</v>
      </c>
      <c r="GX98" s="1" t="s">
        <v>319</v>
      </c>
      <c r="GY98" s="1" t="s">
        <v>319</v>
      </c>
      <c r="GZ98" s="1" t="s">
        <v>319</v>
      </c>
      <c r="HA98" s="2">
        <v>44091</v>
      </c>
      <c r="HB98" s="2">
        <v>42653</v>
      </c>
      <c r="HC98" s="1"/>
      <c r="HD98" s="1"/>
      <c r="HE98" s="1" t="s">
        <v>322</v>
      </c>
      <c r="HF98" s="1" t="s">
        <v>322</v>
      </c>
      <c r="HG98" s="1"/>
      <c r="HH98" s="1"/>
      <c r="HI98" s="1" t="s">
        <v>319</v>
      </c>
      <c r="HJ98" s="1" t="s">
        <v>330</v>
      </c>
      <c r="HK98" s="2"/>
      <c r="HL98" s="1"/>
      <c r="HM98" s="1" t="s">
        <v>322</v>
      </c>
      <c r="HN98" s="1" t="s">
        <v>322</v>
      </c>
      <c r="HO98" s="1"/>
      <c r="HP98" s="1"/>
      <c r="HQ98" s="1"/>
      <c r="HR98" s="1"/>
      <c r="HS98" s="1"/>
      <c r="HT98" s="1"/>
      <c r="HU98" s="1" t="s">
        <v>331</v>
      </c>
      <c r="HV98">
        <v>4622011012</v>
      </c>
      <c r="HW98">
        <v>40638899</v>
      </c>
      <c r="HX98">
        <v>99102570027</v>
      </c>
      <c r="HY98" s="1" t="s">
        <v>2607</v>
      </c>
      <c r="HZ98">
        <v>4320756</v>
      </c>
      <c r="IA98">
        <v>4321065</v>
      </c>
      <c r="IB98" s="1" t="s">
        <v>2608</v>
      </c>
      <c r="IC98">
        <v>830081</v>
      </c>
      <c r="ID98" s="1" t="s">
        <v>2609</v>
      </c>
      <c r="IE98">
        <v>2.0499999999999998</v>
      </c>
      <c r="IF98">
        <v>2.33</v>
      </c>
      <c r="IG98">
        <v>2.12</v>
      </c>
      <c r="IH98">
        <v>3.12</v>
      </c>
      <c r="II98">
        <v>3.12</v>
      </c>
      <c r="IJ98">
        <v>2.25</v>
      </c>
      <c r="IK98">
        <v>2.25</v>
      </c>
    </row>
    <row r="99" spans="1:245" x14ac:dyDescent="0.3">
      <c r="A99">
        <v>1783</v>
      </c>
      <c r="B99">
        <v>2397</v>
      </c>
      <c r="C99" s="1" t="s">
        <v>2791</v>
      </c>
      <c r="D99" s="1" t="s">
        <v>1103</v>
      </c>
      <c r="E99" t="s">
        <v>3275</v>
      </c>
      <c r="F99" s="1" t="s">
        <v>2504</v>
      </c>
      <c r="G99" s="1" t="s">
        <v>2505</v>
      </c>
      <c r="H99">
        <v>610925352</v>
      </c>
      <c r="I99" s="1" t="s">
        <v>2792</v>
      </c>
      <c r="J99" s="1" t="s">
        <v>2793</v>
      </c>
      <c r="L99">
        <v>43864</v>
      </c>
      <c r="M99" s="1" t="s">
        <v>2794</v>
      </c>
      <c r="N99" s="1" t="s">
        <v>2795</v>
      </c>
      <c r="O99">
        <v>695276715</v>
      </c>
      <c r="P99" s="1" t="s">
        <v>273</v>
      </c>
      <c r="Q99" s="1" t="s">
        <v>2658</v>
      </c>
      <c r="R99" s="1" t="s">
        <v>2729</v>
      </c>
      <c r="S99" s="1" t="s">
        <v>2796</v>
      </c>
      <c r="T99" s="1" t="s">
        <v>2797</v>
      </c>
      <c r="U99">
        <v>477626100</v>
      </c>
      <c r="V99" s="1" t="s">
        <v>276</v>
      </c>
      <c r="W99" s="1" t="s">
        <v>2840</v>
      </c>
      <c r="X99" s="1" t="s">
        <v>2796</v>
      </c>
      <c r="Y99" s="1" t="s">
        <v>2798</v>
      </c>
      <c r="Z99" s="1" t="s">
        <v>2799</v>
      </c>
      <c r="AA99">
        <v>477626103</v>
      </c>
      <c r="AB99" s="1" t="s">
        <v>2751</v>
      </c>
      <c r="AC99" s="1" t="s">
        <v>2707</v>
      </c>
      <c r="AD99" s="1" t="s">
        <v>2800</v>
      </c>
      <c r="AE99" s="1" t="s">
        <v>2801</v>
      </c>
      <c r="AF99">
        <v>477626105</v>
      </c>
      <c r="AG99" s="1" t="s">
        <v>2701</v>
      </c>
      <c r="AH99" s="1" t="s">
        <v>2736</v>
      </c>
      <c r="AI99" s="1" t="s">
        <v>2802</v>
      </c>
      <c r="AJ99" s="1" t="s">
        <v>2803</v>
      </c>
      <c r="AK99">
        <v>477626103</v>
      </c>
      <c r="AL99" s="1" t="s">
        <v>2804</v>
      </c>
      <c r="AM99" s="1" t="s">
        <v>2514</v>
      </c>
      <c r="AN99" s="1" t="s">
        <v>2805</v>
      </c>
      <c r="AO99" s="1" t="s">
        <v>2806</v>
      </c>
      <c r="AP99">
        <v>477626101</v>
      </c>
      <c r="AQ99" s="1" t="s">
        <v>2725</v>
      </c>
      <c r="AR99" s="1" t="s">
        <v>2829</v>
      </c>
      <c r="AS99" s="1" t="s">
        <v>2807</v>
      </c>
      <c r="AT99" s="1" t="s">
        <v>2808</v>
      </c>
      <c r="AU99">
        <v>477626106</v>
      </c>
      <c r="AV99" s="1" t="s">
        <v>2725</v>
      </c>
      <c r="AW99" s="1" t="s">
        <v>2741</v>
      </c>
      <c r="AX99" s="1" t="s">
        <v>2520</v>
      </c>
      <c r="AY99">
        <v>789331671</v>
      </c>
      <c r="AZ99" s="1" t="s">
        <v>2430</v>
      </c>
      <c r="BB99" s="1" t="s">
        <v>2809</v>
      </c>
      <c r="BC99" s="1" t="s">
        <v>2810</v>
      </c>
      <c r="BD99">
        <v>42</v>
      </c>
      <c r="BE99">
        <v>477626100</v>
      </c>
      <c r="BF99">
        <v>45.997314453125</v>
      </c>
      <c r="BG99">
        <v>4.1041564941406197</v>
      </c>
      <c r="BH99">
        <v>451647903</v>
      </c>
      <c r="BI99">
        <v>728</v>
      </c>
      <c r="BJ99" s="2">
        <v>38742</v>
      </c>
      <c r="BK99" s="1" t="s">
        <v>3281</v>
      </c>
      <c r="BL99" s="1" t="s">
        <v>290</v>
      </c>
      <c r="BM99" s="1" t="s">
        <v>291</v>
      </c>
      <c r="BN99" s="1" t="s">
        <v>292</v>
      </c>
      <c r="BO99" s="1" t="s">
        <v>291</v>
      </c>
      <c r="BP99" s="1" t="s">
        <v>293</v>
      </c>
      <c r="BQ99" s="1" t="s">
        <v>294</v>
      </c>
      <c r="BR99">
        <v>80</v>
      </c>
      <c r="BS99">
        <v>22391391.920000002</v>
      </c>
      <c r="BT99" s="1" t="s">
        <v>295</v>
      </c>
      <c r="BU99" s="1" t="s">
        <v>359</v>
      </c>
      <c r="BV99">
        <v>330910</v>
      </c>
      <c r="BW99">
        <v>1.2418533105530273E-2</v>
      </c>
      <c r="BX99">
        <v>56.600052746093503</v>
      </c>
      <c r="BY99">
        <v>6.8405199885716828</v>
      </c>
      <c r="BZ99">
        <v>2.8081723478604861</v>
      </c>
      <c r="CA99">
        <v>66.248745082525673</v>
      </c>
      <c r="CB99" s="1" t="s">
        <v>360</v>
      </c>
      <c r="CC99">
        <v>2</v>
      </c>
      <c r="CD99" s="1" t="s">
        <v>402</v>
      </c>
      <c r="CE99" s="1" t="s">
        <v>361</v>
      </c>
      <c r="CF99">
        <v>1106</v>
      </c>
      <c r="CG99" s="1" t="s">
        <v>362</v>
      </c>
      <c r="CH99" s="1" t="s">
        <v>972</v>
      </c>
      <c r="CI99" s="1" t="s">
        <v>973</v>
      </c>
      <c r="CJ99" s="1" t="s">
        <v>972</v>
      </c>
      <c r="CK99" s="1" t="s">
        <v>302</v>
      </c>
      <c r="CL99" s="1" t="s">
        <v>974</v>
      </c>
      <c r="CM99">
        <v>3020409000020</v>
      </c>
      <c r="CO99" s="1"/>
      <c r="CP99" s="1" t="s">
        <v>366</v>
      </c>
      <c r="CQ99" s="1" t="s">
        <v>367</v>
      </c>
      <c r="CR99" s="1" t="s">
        <v>306</v>
      </c>
      <c r="CS99">
        <v>5825</v>
      </c>
      <c r="CT99">
        <v>2945</v>
      </c>
      <c r="CU99">
        <v>3000</v>
      </c>
      <c r="CV99" s="1" t="s">
        <v>309</v>
      </c>
      <c r="CW99" s="1" t="s">
        <v>308</v>
      </c>
      <c r="CX99">
        <v>200</v>
      </c>
      <c r="CY99">
        <v>2880</v>
      </c>
      <c r="CZ99" t="s">
        <v>368</v>
      </c>
      <c r="DA99" s="1" t="s">
        <v>309</v>
      </c>
      <c r="DB99">
        <v>2960</v>
      </c>
      <c r="DC99">
        <v>2880</v>
      </c>
      <c r="DD99">
        <v>84</v>
      </c>
      <c r="DE99">
        <v>0</v>
      </c>
      <c r="DF99">
        <v>1110</v>
      </c>
      <c r="DG99">
        <v>1770</v>
      </c>
      <c r="DH99">
        <v>0</v>
      </c>
      <c r="DI99">
        <v>0</v>
      </c>
      <c r="DJ99">
        <v>0</v>
      </c>
      <c r="DK99" s="1" t="s">
        <v>557</v>
      </c>
      <c r="DL99" s="1" t="s">
        <v>2811</v>
      </c>
      <c r="DM99">
        <v>200</v>
      </c>
      <c r="DN99" s="1"/>
      <c r="DO99">
        <v>950</v>
      </c>
      <c r="DP99">
        <v>0</v>
      </c>
      <c r="DQ99">
        <v>950</v>
      </c>
      <c r="DR99" s="1"/>
      <c r="DS99">
        <v>469</v>
      </c>
      <c r="DT99">
        <v>80</v>
      </c>
      <c r="DU99">
        <v>270</v>
      </c>
      <c r="DV99">
        <v>196</v>
      </c>
      <c r="DW99" s="1" t="s">
        <v>371</v>
      </c>
      <c r="DX99">
        <v>15</v>
      </c>
      <c r="DZ99">
        <v>2</v>
      </c>
      <c r="EA99">
        <v>2</v>
      </c>
      <c r="EB99">
        <v>8</v>
      </c>
      <c r="EC99">
        <v>2</v>
      </c>
      <c r="ED99">
        <v>0</v>
      </c>
      <c r="EE99">
        <v>0</v>
      </c>
      <c r="EF99">
        <v>12</v>
      </c>
      <c r="EG99">
        <v>2012</v>
      </c>
      <c r="EI99" s="1"/>
      <c r="EJ99" s="1" t="s">
        <v>313</v>
      </c>
      <c r="EK99" s="1" t="s">
        <v>314</v>
      </c>
      <c r="EL99">
        <v>23</v>
      </c>
      <c r="EM99">
        <v>20</v>
      </c>
      <c r="EN99">
        <v>10</v>
      </c>
      <c r="EO99" s="1" t="s">
        <v>315</v>
      </c>
      <c r="EP99">
        <v>20</v>
      </c>
      <c r="EQ99">
        <v>132.1739588338676</v>
      </c>
      <c r="ER99" s="1" t="s">
        <v>480</v>
      </c>
      <c r="ES99">
        <v>3.291184233911046</v>
      </c>
      <c r="ET99">
        <v>0</v>
      </c>
      <c r="EU99" s="1"/>
      <c r="EV99">
        <v>121.37887454663937</v>
      </c>
      <c r="EW99">
        <v>0</v>
      </c>
      <c r="EX99" t="s">
        <v>316</v>
      </c>
      <c r="EY99">
        <v>0</v>
      </c>
      <c r="EZ99" s="1" t="s">
        <v>317</v>
      </c>
      <c r="FA99" s="2"/>
      <c r="FB99" s="1" t="s">
        <v>318</v>
      </c>
      <c r="FC99">
        <v>1</v>
      </c>
      <c r="FD99" s="1"/>
      <c r="FE99" s="2"/>
      <c r="FF99" s="1"/>
      <c r="FG99" s="1" t="s">
        <v>319</v>
      </c>
      <c r="FH99" s="1" t="s">
        <v>319</v>
      </c>
      <c r="FI99" s="1" t="s">
        <v>319</v>
      </c>
      <c r="FJ99" s="1" t="s">
        <v>322</v>
      </c>
      <c r="FK99" s="1" t="s">
        <v>1143</v>
      </c>
      <c r="FL99">
        <v>18.920000000000002</v>
      </c>
      <c r="FM99">
        <v>4739.7820652173914</v>
      </c>
      <c r="FN99" s="1" t="s">
        <v>321</v>
      </c>
      <c r="FO99" s="1" t="s">
        <v>319</v>
      </c>
      <c r="FP99" s="1" t="s">
        <v>323</v>
      </c>
      <c r="FQ99" s="1" t="s">
        <v>559</v>
      </c>
      <c r="FR99" s="1" t="s">
        <v>325</v>
      </c>
      <c r="FS99" s="1"/>
      <c r="FT99" s="1" t="s">
        <v>326</v>
      </c>
      <c r="FU99">
        <v>494198191</v>
      </c>
      <c r="FV99" s="1" t="s">
        <v>322</v>
      </c>
      <c r="FW99" s="1" t="s">
        <v>322</v>
      </c>
      <c r="FX99" s="1" t="s">
        <v>322</v>
      </c>
      <c r="FY99" s="1" t="s">
        <v>322</v>
      </c>
      <c r="FZ99" s="1" t="s">
        <v>322</v>
      </c>
      <c r="GA99" s="1" t="s">
        <v>322</v>
      </c>
      <c r="GB99" s="1" t="s">
        <v>319</v>
      </c>
      <c r="GC99" s="1" t="s">
        <v>322</v>
      </c>
      <c r="GD99" s="1" t="s">
        <v>319</v>
      </c>
      <c r="GE99" s="1" t="s">
        <v>322</v>
      </c>
      <c r="GF99" s="1" t="s">
        <v>415</v>
      </c>
      <c r="GG99" s="1"/>
      <c r="GH99" s="1" t="s">
        <v>319</v>
      </c>
      <c r="GI99" s="1" t="s">
        <v>1025</v>
      </c>
      <c r="GJ99" s="1" t="s">
        <v>322</v>
      </c>
      <c r="GK99" s="2">
        <v>42005</v>
      </c>
      <c r="GL99" s="1" t="s">
        <v>322</v>
      </c>
      <c r="GM99" s="1" t="s">
        <v>322</v>
      </c>
      <c r="GN99">
        <v>43227</v>
      </c>
      <c r="GO99" s="1" t="s">
        <v>322</v>
      </c>
      <c r="GQ99" s="1" t="s">
        <v>2812</v>
      </c>
      <c r="GR99" s="1" t="s">
        <v>319</v>
      </c>
      <c r="GS99" s="1" t="s">
        <v>377</v>
      </c>
      <c r="GT99" s="1" t="s">
        <v>322</v>
      </c>
      <c r="GU99" s="1" t="s">
        <v>509</v>
      </c>
      <c r="GV99" s="1" t="s">
        <v>322</v>
      </c>
      <c r="GW99" s="1" t="s">
        <v>322</v>
      </c>
      <c r="GX99" s="1" t="s">
        <v>319</v>
      </c>
      <c r="GY99" s="1" t="s">
        <v>319</v>
      </c>
      <c r="GZ99" s="1" t="s">
        <v>319</v>
      </c>
      <c r="HA99" s="2">
        <v>44063</v>
      </c>
      <c r="HB99" s="2">
        <v>42667</v>
      </c>
      <c r="HC99" s="1"/>
      <c r="HD99" s="1"/>
      <c r="HE99" s="1"/>
      <c r="HF99" s="1"/>
      <c r="HG99" s="1"/>
      <c r="HH99" s="1"/>
      <c r="HI99" s="1" t="s">
        <v>322</v>
      </c>
      <c r="HJ99" s="1" t="s">
        <v>330</v>
      </c>
      <c r="HK99" s="2"/>
      <c r="HL99" s="1"/>
      <c r="HM99" s="1" t="s">
        <v>322</v>
      </c>
      <c r="HN99" s="1" t="s">
        <v>322</v>
      </c>
      <c r="HO99" s="1"/>
      <c r="HP99" s="1"/>
      <c r="HQ99" s="1"/>
      <c r="HR99" s="1"/>
      <c r="HS99" s="1"/>
      <c r="HT99" s="1"/>
      <c r="HU99" s="1" t="s">
        <v>331</v>
      </c>
      <c r="HV99">
        <v>4623766016</v>
      </c>
      <c r="HW99">
        <v>40638971</v>
      </c>
      <c r="HX99">
        <v>99102570766</v>
      </c>
      <c r="HY99" s="1" t="s">
        <v>2813</v>
      </c>
      <c r="HZ99">
        <v>4320876</v>
      </c>
      <c r="IA99">
        <v>4321517</v>
      </c>
      <c r="IB99" s="1" t="s">
        <v>2814</v>
      </c>
      <c r="IC99">
        <v>830228</v>
      </c>
      <c r="ID99" s="1" t="s">
        <v>2815</v>
      </c>
      <c r="IE99">
        <v>8.18</v>
      </c>
      <c r="IF99">
        <v>10.220000000000001</v>
      </c>
      <c r="IG99">
        <v>12.77</v>
      </c>
      <c r="IH99">
        <v>10.210000000000001</v>
      </c>
      <c r="II99">
        <v>11.13</v>
      </c>
      <c r="IJ99">
        <v>6.51</v>
      </c>
      <c r="IK99">
        <v>6.51</v>
      </c>
    </row>
    <row r="100" spans="1:245" x14ac:dyDescent="0.3">
      <c r="A100">
        <v>1920</v>
      </c>
      <c r="B100">
        <v>2426</v>
      </c>
      <c r="C100" s="1" t="s">
        <v>589</v>
      </c>
      <c r="D100" s="1" t="s">
        <v>336</v>
      </c>
      <c r="E100" t="s">
        <v>3275</v>
      </c>
      <c r="F100" s="1" t="s">
        <v>337</v>
      </c>
      <c r="G100" s="1" t="s">
        <v>338</v>
      </c>
      <c r="H100">
        <v>614540304</v>
      </c>
      <c r="I100" s="1" t="s">
        <v>590</v>
      </c>
      <c r="J100" s="1" t="s">
        <v>591</v>
      </c>
      <c r="K100">
        <v>672228521</v>
      </c>
      <c r="L100">
        <v>44256</v>
      </c>
      <c r="M100" s="1" t="s">
        <v>592</v>
      </c>
      <c r="N100" s="1" t="s">
        <v>593</v>
      </c>
      <c r="O100">
        <v>565615480</v>
      </c>
      <c r="P100" s="1" t="s">
        <v>273</v>
      </c>
      <c r="Q100" s="1" t="s">
        <v>454</v>
      </c>
      <c r="R100" s="1" t="s">
        <v>567</v>
      </c>
      <c r="S100" s="1" t="s">
        <v>594</v>
      </c>
      <c r="T100" s="1" t="s">
        <v>595</v>
      </c>
      <c r="U100">
        <v>565615480</v>
      </c>
      <c r="V100" s="1"/>
      <c r="W100" s="1" t="s">
        <v>454</v>
      </c>
      <c r="X100" s="1" t="s">
        <v>494</v>
      </c>
      <c r="Y100" s="1" t="s">
        <v>596</v>
      </c>
      <c r="Z100" s="1" t="s">
        <v>597</v>
      </c>
      <c r="AA100">
        <v>565615485</v>
      </c>
      <c r="AB100" s="1" t="s">
        <v>615</v>
      </c>
      <c r="AC100" s="1" t="s">
        <v>571</v>
      </c>
      <c r="AD100" s="1" t="s">
        <v>598</v>
      </c>
      <c r="AE100" s="1" t="s">
        <v>599</v>
      </c>
      <c r="AF100">
        <v>565615486</v>
      </c>
      <c r="AG100" s="1" t="s">
        <v>490</v>
      </c>
      <c r="AH100" s="1" t="s">
        <v>598</v>
      </c>
      <c r="AI100" s="1" t="s">
        <v>389</v>
      </c>
      <c r="AJ100" s="1"/>
      <c r="AL100" s="1" t="s">
        <v>565</v>
      </c>
      <c r="AM100" s="1" t="s">
        <v>392</v>
      </c>
      <c r="AN100" s="1" t="s">
        <v>600</v>
      </c>
      <c r="AO100" s="1" t="s">
        <v>601</v>
      </c>
      <c r="AP100">
        <v>565615482</v>
      </c>
      <c r="AQ100" s="1" t="s">
        <v>590</v>
      </c>
      <c r="AR100" s="1"/>
      <c r="AS100" s="1" t="s">
        <v>602</v>
      </c>
      <c r="AT100" s="1" t="s">
        <v>603</v>
      </c>
      <c r="AU100">
        <v>565615480</v>
      </c>
      <c r="AV100" s="1" t="s">
        <v>383</v>
      </c>
      <c r="AW100" s="1"/>
      <c r="AX100" s="1" t="s">
        <v>355</v>
      </c>
      <c r="AY100">
        <v>623422352</v>
      </c>
      <c r="AZ100" s="1" t="s">
        <v>356</v>
      </c>
      <c r="BA100">
        <v>678408524</v>
      </c>
      <c r="BB100" s="1" t="s">
        <v>604</v>
      </c>
      <c r="BC100" s="1" t="s">
        <v>605</v>
      </c>
      <c r="BD100">
        <v>12</v>
      </c>
      <c r="BE100">
        <v>565615480</v>
      </c>
      <c r="BF100">
        <v>44.39892578125</v>
      </c>
      <c r="BG100">
        <v>2.6067886352539</v>
      </c>
      <c r="BH100">
        <v>451647903</v>
      </c>
      <c r="BI100">
        <v>1155</v>
      </c>
      <c r="BJ100" s="2">
        <v>40002</v>
      </c>
      <c r="BK100" s="1" t="s">
        <v>3328</v>
      </c>
      <c r="BL100" s="1" t="s">
        <v>290</v>
      </c>
      <c r="BM100" s="1" t="s">
        <v>291</v>
      </c>
      <c r="BN100" s="1" t="s">
        <v>292</v>
      </c>
      <c r="BO100" s="1" t="s">
        <v>291</v>
      </c>
      <c r="BP100" s="1" t="s">
        <v>293</v>
      </c>
      <c r="BQ100" s="1" t="s">
        <v>294</v>
      </c>
      <c r="BR100">
        <v>80</v>
      </c>
      <c r="BS100">
        <v>22865897.050000001</v>
      </c>
      <c r="BT100" s="1" t="s">
        <v>295</v>
      </c>
      <c r="BU100" s="1" t="s">
        <v>296</v>
      </c>
      <c r="BV100">
        <v>319481</v>
      </c>
      <c r="BW100">
        <v>1.0213813129752796E-2</v>
      </c>
      <c r="BX100">
        <v>54.142875980747696</v>
      </c>
      <c r="BY100">
        <v>2.2071437990373854</v>
      </c>
      <c r="BZ100">
        <v>4.6925182963011798</v>
      </c>
      <c r="CA100">
        <v>61.042538076086259</v>
      </c>
      <c r="CB100" s="1" t="s">
        <v>360</v>
      </c>
      <c r="CC100">
        <v>1</v>
      </c>
      <c r="CD100" s="1" t="s">
        <v>361</v>
      </c>
      <c r="CE100" s="1" t="s">
        <v>504</v>
      </c>
      <c r="CF100">
        <v>1106</v>
      </c>
      <c r="CG100" s="1" t="s">
        <v>362</v>
      </c>
      <c r="CH100" s="1" t="s">
        <v>363</v>
      </c>
      <c r="CI100" s="1" t="s">
        <v>364</v>
      </c>
      <c r="CJ100" s="1" t="s">
        <v>363</v>
      </c>
      <c r="CK100" s="1" t="s">
        <v>364</v>
      </c>
      <c r="CL100" s="1" t="s">
        <v>365</v>
      </c>
      <c r="CM100">
        <v>3601651110000</v>
      </c>
      <c r="CO100" s="1"/>
      <c r="CP100" s="1" t="s">
        <v>606</v>
      </c>
      <c r="CQ100" s="1" t="s">
        <v>406</v>
      </c>
      <c r="CR100" s="1" t="s">
        <v>407</v>
      </c>
      <c r="CS100">
        <v>5950</v>
      </c>
      <c r="CT100">
        <v>2950</v>
      </c>
      <c r="CU100">
        <v>3000</v>
      </c>
      <c r="CV100" s="1" t="s">
        <v>309</v>
      </c>
      <c r="CW100" s="1" t="s">
        <v>308</v>
      </c>
      <c r="CY100">
        <v>2950</v>
      </c>
      <c r="CZ100">
        <v>3000</v>
      </c>
      <c r="DA100" s="1" t="s">
        <v>309</v>
      </c>
      <c r="DB100">
        <v>3000</v>
      </c>
      <c r="DC100">
        <v>3000</v>
      </c>
      <c r="DD100">
        <v>84</v>
      </c>
      <c r="DE100">
        <v>0</v>
      </c>
      <c r="DF100">
        <v>1000</v>
      </c>
      <c r="DG100">
        <v>2000</v>
      </c>
      <c r="DH100">
        <v>0</v>
      </c>
      <c r="DI100">
        <v>0</v>
      </c>
      <c r="DJ100">
        <v>0</v>
      </c>
      <c r="DK100" s="1" t="s">
        <v>409</v>
      </c>
      <c r="DL100" s="1" t="s">
        <v>370</v>
      </c>
      <c r="DN100" s="1"/>
      <c r="DO100">
        <v>820</v>
      </c>
      <c r="DP100">
        <v>0</v>
      </c>
      <c r="DQ100">
        <v>820</v>
      </c>
      <c r="DR100" s="1"/>
      <c r="DS100">
        <v>400</v>
      </c>
      <c r="DT100">
        <v>80</v>
      </c>
      <c r="DU100">
        <v>300</v>
      </c>
      <c r="DV100">
        <v>253</v>
      </c>
      <c r="DW100" s="1" t="s">
        <v>371</v>
      </c>
      <c r="DX100">
        <v>17</v>
      </c>
      <c r="DZ100">
        <v>2</v>
      </c>
      <c r="EA100">
        <v>2</v>
      </c>
      <c r="EB100">
        <v>10</v>
      </c>
      <c r="EC100">
        <v>3</v>
      </c>
      <c r="ED100">
        <v>0</v>
      </c>
      <c r="EE100">
        <v>1</v>
      </c>
      <c r="EF100">
        <v>16</v>
      </c>
      <c r="EG100">
        <v>2015</v>
      </c>
      <c r="EI100" s="1"/>
      <c r="EJ100" s="1" t="s">
        <v>313</v>
      </c>
      <c r="EK100" s="1" t="s">
        <v>314</v>
      </c>
      <c r="EL100">
        <v>25</v>
      </c>
      <c r="EM100">
        <v>25</v>
      </c>
      <c r="EN100">
        <v>12</v>
      </c>
      <c r="EO100" s="1" t="s">
        <v>315</v>
      </c>
      <c r="EP100">
        <v>18</v>
      </c>
      <c r="EQ100">
        <v>62.417375875333569</v>
      </c>
      <c r="ER100" s="1" t="s">
        <v>316</v>
      </c>
      <c r="ES100">
        <v>2.4546159052097472</v>
      </c>
      <c r="ET100">
        <v>0</v>
      </c>
      <c r="EU100" s="1"/>
      <c r="EV100">
        <v>101.34057094365956</v>
      </c>
      <c r="EW100">
        <v>0</v>
      </c>
      <c r="EX100" t="s">
        <v>316</v>
      </c>
      <c r="EY100">
        <v>0</v>
      </c>
      <c r="EZ100" s="1" t="s">
        <v>317</v>
      </c>
      <c r="FA100" s="2"/>
      <c r="FB100" s="1" t="s">
        <v>607</v>
      </c>
      <c r="FC100">
        <v>1</v>
      </c>
      <c r="FD100" s="1"/>
      <c r="FE100" s="2"/>
      <c r="FF100" s="1"/>
      <c r="FG100" s="1" t="s">
        <v>322</v>
      </c>
      <c r="FH100" s="1" t="s">
        <v>319</v>
      </c>
      <c r="FI100" s="1" t="s">
        <v>319</v>
      </c>
      <c r="FJ100" s="1" t="s">
        <v>319</v>
      </c>
      <c r="FK100" s="1" t="s">
        <v>373</v>
      </c>
      <c r="FL100">
        <v>18.59</v>
      </c>
      <c r="FM100">
        <v>4172.1850828729284</v>
      </c>
      <c r="FN100" s="1" t="s">
        <v>321</v>
      </c>
      <c r="FO100" s="1" t="s">
        <v>319</v>
      </c>
      <c r="FP100" s="1" t="s">
        <v>323</v>
      </c>
      <c r="FQ100" s="1" t="s">
        <v>559</v>
      </c>
      <c r="FR100" s="1" t="s">
        <v>325</v>
      </c>
      <c r="FS100" s="1" t="s">
        <v>374</v>
      </c>
      <c r="FT100" s="1" t="s">
        <v>326</v>
      </c>
      <c r="FU100">
        <v>494198191</v>
      </c>
      <c r="FV100" s="1" t="s">
        <v>319</v>
      </c>
      <c r="FW100" s="1" t="s">
        <v>322</v>
      </c>
      <c r="FX100" s="1" t="s">
        <v>322</v>
      </c>
      <c r="FY100" s="1" t="s">
        <v>322</v>
      </c>
      <c r="FZ100" s="1" t="s">
        <v>322</v>
      </c>
      <c r="GA100" s="1" t="s">
        <v>322</v>
      </c>
      <c r="GB100" s="1" t="s">
        <v>322</v>
      </c>
      <c r="GC100" s="1" t="s">
        <v>322</v>
      </c>
      <c r="GD100" s="1" t="s">
        <v>322</v>
      </c>
      <c r="GE100" s="1" t="s">
        <v>322</v>
      </c>
      <c r="GF100" s="1" t="s">
        <v>415</v>
      </c>
      <c r="GG100" s="1"/>
      <c r="GH100" s="1" t="s">
        <v>322</v>
      </c>
      <c r="GI100" s="1" t="s">
        <v>608</v>
      </c>
      <c r="GJ100" s="1" t="s">
        <v>322</v>
      </c>
      <c r="GK100" s="2">
        <v>42005</v>
      </c>
      <c r="GL100" s="1" t="s">
        <v>322</v>
      </c>
      <c r="GM100" s="1" t="s">
        <v>322</v>
      </c>
      <c r="GN100">
        <v>43059</v>
      </c>
      <c r="GO100" s="1" t="s">
        <v>322</v>
      </c>
      <c r="GP100">
        <v>42436</v>
      </c>
      <c r="GQ100" s="1" t="s">
        <v>609</v>
      </c>
      <c r="GR100" s="1" t="s">
        <v>322</v>
      </c>
      <c r="GS100" s="1" t="s">
        <v>448</v>
      </c>
      <c r="GT100" s="1" t="s">
        <v>322</v>
      </c>
      <c r="GU100" s="1" t="s">
        <v>610</v>
      </c>
      <c r="GV100" s="1" t="s">
        <v>319</v>
      </c>
      <c r="GW100" s="1" t="s">
        <v>322</v>
      </c>
      <c r="GX100" s="1" t="s">
        <v>319</v>
      </c>
      <c r="GY100" s="1" t="s">
        <v>319</v>
      </c>
      <c r="GZ100" s="1" t="s">
        <v>319</v>
      </c>
      <c r="HA100" s="2">
        <v>44084</v>
      </c>
      <c r="HB100" s="2">
        <v>42674</v>
      </c>
      <c r="HC100" s="1"/>
      <c r="HD100" s="1"/>
      <c r="HE100" s="1"/>
      <c r="HF100" s="1"/>
      <c r="HG100" s="1"/>
      <c r="HH100" s="1"/>
      <c r="HI100" s="1" t="s">
        <v>322</v>
      </c>
      <c r="HJ100" s="1" t="s">
        <v>330</v>
      </c>
      <c r="HK100" s="2"/>
      <c r="HL100" s="1"/>
      <c r="HM100" s="1" t="s">
        <v>322</v>
      </c>
      <c r="HN100" s="1" t="s">
        <v>322</v>
      </c>
      <c r="HO100" s="1"/>
      <c r="HP100" s="1"/>
      <c r="HQ100" s="1"/>
      <c r="HR100" s="1"/>
      <c r="HS100" s="1"/>
      <c r="HT100" s="1"/>
      <c r="HU100" s="1" t="s">
        <v>331</v>
      </c>
      <c r="HV100">
        <v>4628910012</v>
      </c>
      <c r="HW100">
        <v>40638304</v>
      </c>
      <c r="HX100">
        <v>99102565709</v>
      </c>
      <c r="HY100" s="1" t="s">
        <v>611</v>
      </c>
      <c r="HZ100">
        <v>4319813</v>
      </c>
      <c r="IA100">
        <v>4321852</v>
      </c>
      <c r="IB100" s="1" t="s">
        <v>612</v>
      </c>
      <c r="IC100">
        <v>830141</v>
      </c>
      <c r="ID100" s="1" t="s">
        <v>613</v>
      </c>
      <c r="IE100">
        <v>2.4300000000000002</v>
      </c>
      <c r="IF100">
        <v>3.43</v>
      </c>
      <c r="IG100">
        <v>4.43</v>
      </c>
      <c r="IH100">
        <v>5.53</v>
      </c>
      <c r="II100">
        <v>6.83</v>
      </c>
      <c r="IJ100">
        <v>6.9</v>
      </c>
      <c r="IK100">
        <v>6.9</v>
      </c>
    </row>
    <row r="101" spans="1:245" x14ac:dyDescent="0.3">
      <c r="A101">
        <v>1769</v>
      </c>
      <c r="B101">
        <v>2383</v>
      </c>
      <c r="C101" s="1" t="s">
        <v>1872</v>
      </c>
      <c r="D101" s="1" t="s">
        <v>1451</v>
      </c>
      <c r="E101" t="s">
        <v>3275</v>
      </c>
      <c r="F101" s="1" t="s">
        <v>1728</v>
      </c>
      <c r="G101" s="1" t="s">
        <v>1729</v>
      </c>
      <c r="H101">
        <v>626529799</v>
      </c>
      <c r="I101" s="1" t="s">
        <v>1873</v>
      </c>
      <c r="J101" s="1" t="s">
        <v>1874</v>
      </c>
      <c r="K101">
        <v>670096327</v>
      </c>
      <c r="L101">
        <v>44592</v>
      </c>
      <c r="M101" s="1" t="s">
        <v>1875</v>
      </c>
      <c r="N101" s="1" t="s">
        <v>1876</v>
      </c>
      <c r="O101">
        <v>320456208</v>
      </c>
      <c r="P101" s="1" t="s">
        <v>273</v>
      </c>
      <c r="Q101" s="1" t="s">
        <v>1898</v>
      </c>
      <c r="R101" s="1" t="s">
        <v>1875</v>
      </c>
      <c r="S101" s="1" t="s">
        <v>1877</v>
      </c>
      <c r="T101" s="1" t="s">
        <v>1878</v>
      </c>
      <c r="V101" s="1" t="s">
        <v>276</v>
      </c>
      <c r="W101" s="1" t="s">
        <v>1873</v>
      </c>
      <c r="X101" s="1" t="s">
        <v>1734</v>
      </c>
      <c r="Y101" s="1" t="s">
        <v>1879</v>
      </c>
      <c r="Z101" s="1" t="s">
        <v>1880</v>
      </c>
      <c r="AA101">
        <v>320456204</v>
      </c>
      <c r="AB101" s="1" t="s">
        <v>1764</v>
      </c>
      <c r="AC101" s="1" t="s">
        <v>1806</v>
      </c>
      <c r="AD101" s="1" t="s">
        <v>1881</v>
      </c>
      <c r="AE101" s="1" t="s">
        <v>1882</v>
      </c>
      <c r="AF101">
        <v>320456206</v>
      </c>
      <c r="AG101" s="1" t="s">
        <v>1950</v>
      </c>
      <c r="AH101" s="1" t="s">
        <v>1835</v>
      </c>
      <c r="AI101" s="1" t="s">
        <v>1883</v>
      </c>
      <c r="AJ101" s="1" t="s">
        <v>1884</v>
      </c>
      <c r="AK101">
        <v>320456205</v>
      </c>
      <c r="AL101" s="1" t="s">
        <v>1920</v>
      </c>
      <c r="AM101" s="1" t="s">
        <v>1858</v>
      </c>
      <c r="AN101" s="1" t="s">
        <v>1885</v>
      </c>
      <c r="AO101" s="1" t="s">
        <v>1886</v>
      </c>
      <c r="AP101">
        <v>320456202</v>
      </c>
      <c r="AQ101" s="1" t="s">
        <v>1730</v>
      </c>
      <c r="AR101" s="1" t="s">
        <v>1740</v>
      </c>
      <c r="AS101" s="1" t="s">
        <v>1887</v>
      </c>
      <c r="AT101" s="1" t="s">
        <v>1888</v>
      </c>
      <c r="AU101">
        <v>320456207</v>
      </c>
      <c r="AV101" s="1" t="s">
        <v>1850</v>
      </c>
      <c r="AW101" s="1" t="s">
        <v>1955</v>
      </c>
      <c r="AX101" s="1" t="s">
        <v>1744</v>
      </c>
      <c r="AY101">
        <v>617425657</v>
      </c>
      <c r="AZ101" s="1" t="s">
        <v>660</v>
      </c>
      <c r="BA101">
        <v>678409252</v>
      </c>
      <c r="BB101" s="1" t="s">
        <v>1889</v>
      </c>
      <c r="BC101" s="1" t="s">
        <v>1890</v>
      </c>
      <c r="BD101">
        <v>59</v>
      </c>
      <c r="BE101">
        <v>320456200</v>
      </c>
      <c r="BF101">
        <v>50.680908203125</v>
      </c>
      <c r="BG101">
        <v>3.22357177734375</v>
      </c>
      <c r="BH101">
        <v>451647903</v>
      </c>
      <c r="BI101">
        <v>785</v>
      </c>
      <c r="BJ101" s="2">
        <v>38952</v>
      </c>
      <c r="BK101" s="1" t="s">
        <v>2628</v>
      </c>
      <c r="BL101" s="1" t="s">
        <v>290</v>
      </c>
      <c r="BM101" s="1" t="s">
        <v>291</v>
      </c>
      <c r="BN101" s="1" t="s">
        <v>292</v>
      </c>
      <c r="BO101" s="1" t="s">
        <v>291</v>
      </c>
      <c r="BP101" s="1" t="s">
        <v>293</v>
      </c>
      <c r="BQ101" s="1" t="s">
        <v>294</v>
      </c>
      <c r="BR101">
        <v>80</v>
      </c>
      <c r="BS101">
        <v>30449944.280000001</v>
      </c>
      <c r="BT101" s="1" t="s">
        <v>295</v>
      </c>
      <c r="BU101" s="1" t="s">
        <v>401</v>
      </c>
      <c r="BV101">
        <v>630179</v>
      </c>
      <c r="BW101">
        <v>1.4262485521731004E-2</v>
      </c>
      <c r="BX101">
        <v>62.942506758093202</v>
      </c>
      <c r="BY101">
        <v>4.8864475506032852</v>
      </c>
      <c r="BZ101">
        <v>9.559349794510009</v>
      </c>
      <c r="CA101">
        <v>77.388304103206494</v>
      </c>
      <c r="CB101" s="1" t="s">
        <v>360</v>
      </c>
      <c r="CC101">
        <v>1</v>
      </c>
      <c r="CD101" s="1" t="s">
        <v>298</v>
      </c>
      <c r="CE101" s="1" t="s">
        <v>299</v>
      </c>
      <c r="CF101">
        <v>1101</v>
      </c>
      <c r="CG101" s="1" t="s">
        <v>300</v>
      </c>
      <c r="CH101" s="1" t="s">
        <v>1474</v>
      </c>
      <c r="CI101" s="1" t="s">
        <v>1475</v>
      </c>
      <c r="CJ101" s="1" t="s">
        <v>1474</v>
      </c>
      <c r="CK101" s="1" t="s">
        <v>1475</v>
      </c>
      <c r="CL101" s="1" t="s">
        <v>1476</v>
      </c>
      <c r="CM101">
        <v>3020409000010</v>
      </c>
      <c r="CO101" s="1"/>
      <c r="CP101" s="1" t="s">
        <v>304</v>
      </c>
      <c r="CQ101" s="1" t="s">
        <v>406</v>
      </c>
      <c r="CR101" s="1" t="s">
        <v>306</v>
      </c>
      <c r="CS101">
        <v>6566</v>
      </c>
      <c r="CT101">
        <v>3682</v>
      </c>
      <c r="CU101">
        <v>3700</v>
      </c>
      <c r="CV101" s="1" t="s">
        <v>307</v>
      </c>
      <c r="CW101" s="1" t="s">
        <v>308</v>
      </c>
      <c r="CY101">
        <v>2984</v>
      </c>
      <c r="CZ101">
        <v>3000</v>
      </c>
      <c r="DA101" s="1" t="s">
        <v>309</v>
      </c>
      <c r="DB101">
        <v>2884</v>
      </c>
      <c r="DC101">
        <v>2884</v>
      </c>
      <c r="DD101">
        <v>0</v>
      </c>
      <c r="DE101">
        <v>0</v>
      </c>
      <c r="DF101">
        <v>1019</v>
      </c>
      <c r="DG101">
        <v>1865</v>
      </c>
      <c r="DH101">
        <v>0</v>
      </c>
      <c r="DI101">
        <v>0</v>
      </c>
      <c r="DJ101">
        <v>0</v>
      </c>
      <c r="DK101" s="1" t="s">
        <v>409</v>
      </c>
      <c r="DL101" s="1" t="s">
        <v>741</v>
      </c>
      <c r="DN101" s="1"/>
      <c r="DO101">
        <v>1025</v>
      </c>
      <c r="DP101">
        <v>0</v>
      </c>
      <c r="DQ101">
        <v>1025</v>
      </c>
      <c r="DR101" s="1"/>
      <c r="DS101">
        <v>776</v>
      </c>
      <c r="DT101">
        <v>105</v>
      </c>
      <c r="DU101">
        <v>334</v>
      </c>
      <c r="DV101">
        <v>278</v>
      </c>
      <c r="DW101" s="1" t="s">
        <v>371</v>
      </c>
      <c r="DX101">
        <v>19</v>
      </c>
      <c r="DZ101">
        <v>2</v>
      </c>
      <c r="EA101">
        <v>2</v>
      </c>
      <c r="EB101">
        <v>10</v>
      </c>
      <c r="EC101">
        <v>3</v>
      </c>
      <c r="ED101">
        <v>0</v>
      </c>
      <c r="EE101">
        <v>0</v>
      </c>
      <c r="EF101">
        <v>15</v>
      </c>
      <c r="EG101">
        <v>2012</v>
      </c>
      <c r="EI101" s="1"/>
      <c r="EJ101" s="1" t="s">
        <v>313</v>
      </c>
      <c r="EK101" s="1" t="s">
        <v>314</v>
      </c>
      <c r="EL101">
        <v>30</v>
      </c>
      <c r="EM101">
        <v>31</v>
      </c>
      <c r="EN101">
        <v>12</v>
      </c>
      <c r="EO101" s="1" t="s">
        <v>315</v>
      </c>
      <c r="EP101">
        <v>13</v>
      </c>
      <c r="EQ101">
        <v>71.873576143802381</v>
      </c>
      <c r="ER101" s="1" t="s">
        <v>411</v>
      </c>
      <c r="ES101">
        <v>8.2842542406944037</v>
      </c>
      <c r="ET101">
        <v>2</v>
      </c>
      <c r="EU101" s="1" t="s">
        <v>1891</v>
      </c>
      <c r="EV101">
        <v>100.13975843728284</v>
      </c>
      <c r="EW101">
        <v>1</v>
      </c>
      <c r="EX101" t="s">
        <v>316</v>
      </c>
      <c r="EY101">
        <v>3</v>
      </c>
      <c r="EZ101" s="1" t="s">
        <v>412</v>
      </c>
      <c r="FA101" s="2">
        <v>42736</v>
      </c>
      <c r="FB101" s="1" t="s">
        <v>1892</v>
      </c>
      <c r="FC101">
        <v>1</v>
      </c>
      <c r="FD101" s="1" t="s">
        <v>322</v>
      </c>
      <c r="FE101" s="2">
        <v>42005</v>
      </c>
      <c r="FF101" s="1" t="s">
        <v>1575</v>
      </c>
      <c r="FG101" s="1" t="s">
        <v>322</v>
      </c>
      <c r="FH101" s="1" t="s">
        <v>322</v>
      </c>
      <c r="FI101" s="1" t="s">
        <v>319</v>
      </c>
      <c r="FJ101" s="1" t="s">
        <v>319</v>
      </c>
      <c r="FK101" s="1" t="s">
        <v>320</v>
      </c>
      <c r="FL101">
        <v>18.920000000000002</v>
      </c>
      <c r="FM101">
        <v>8509.8984799131376</v>
      </c>
      <c r="FN101" s="1" t="s">
        <v>1893</v>
      </c>
      <c r="FO101" s="1" t="s">
        <v>322</v>
      </c>
      <c r="FP101" s="1" t="s">
        <v>323</v>
      </c>
      <c r="FQ101" s="1" t="s">
        <v>324</v>
      </c>
      <c r="FR101" s="1" t="s">
        <v>1750</v>
      </c>
      <c r="FS101" s="1"/>
      <c r="FT101" s="1" t="s">
        <v>1751</v>
      </c>
      <c r="FV101" s="1" t="s">
        <v>322</v>
      </c>
      <c r="FW101" s="1" t="s">
        <v>322</v>
      </c>
      <c r="FX101" s="1" t="s">
        <v>322</v>
      </c>
      <c r="FY101" s="1" t="s">
        <v>1752</v>
      </c>
      <c r="FZ101" s="1" t="s">
        <v>322</v>
      </c>
      <c r="GA101" s="1" t="s">
        <v>322</v>
      </c>
      <c r="GB101" s="1" t="s">
        <v>322</v>
      </c>
      <c r="GC101" s="1" t="s">
        <v>322</v>
      </c>
      <c r="GD101" s="1" t="s">
        <v>319</v>
      </c>
      <c r="GE101" s="1" t="s">
        <v>322</v>
      </c>
      <c r="GF101" s="1" t="s">
        <v>327</v>
      </c>
      <c r="GG101" s="1"/>
      <c r="GH101" s="1" t="s">
        <v>322</v>
      </c>
      <c r="GI101" s="1" t="s">
        <v>416</v>
      </c>
      <c r="GJ101" s="1" t="s">
        <v>322</v>
      </c>
      <c r="GK101" s="2">
        <v>42005</v>
      </c>
      <c r="GL101" s="1" t="s">
        <v>322</v>
      </c>
      <c r="GM101" s="1" t="s">
        <v>322</v>
      </c>
      <c r="GN101">
        <v>42954</v>
      </c>
      <c r="GO101" s="1" t="s">
        <v>319</v>
      </c>
      <c r="GQ101" s="1"/>
      <c r="GR101" s="1"/>
      <c r="GS101" s="1"/>
      <c r="GT101" s="1" t="s">
        <v>322</v>
      </c>
      <c r="GU101" s="1" t="s">
        <v>1479</v>
      </c>
      <c r="GV101" s="1" t="s">
        <v>322</v>
      </c>
      <c r="GW101" s="1" t="s">
        <v>322</v>
      </c>
      <c r="GX101" s="1" t="s">
        <v>319</v>
      </c>
      <c r="GY101" s="1" t="s">
        <v>319</v>
      </c>
      <c r="GZ101" s="1" t="s">
        <v>319</v>
      </c>
      <c r="HA101" s="2">
        <v>44074</v>
      </c>
      <c r="HB101" s="2">
        <v>42653</v>
      </c>
      <c r="HC101" s="1"/>
      <c r="HD101" s="1"/>
      <c r="HE101" s="1"/>
      <c r="HF101" s="1"/>
      <c r="HG101" s="1"/>
      <c r="HH101" s="1"/>
      <c r="HI101" s="1" t="s">
        <v>322</v>
      </c>
      <c r="HJ101" s="1" t="s">
        <v>330</v>
      </c>
      <c r="HK101" s="2"/>
      <c r="HL101" s="1"/>
      <c r="HM101" s="1" t="s">
        <v>322</v>
      </c>
      <c r="HN101" s="1" t="s">
        <v>322</v>
      </c>
      <c r="HO101" s="1"/>
      <c r="HP101" s="1"/>
      <c r="HQ101" s="1"/>
      <c r="HR101" s="1"/>
      <c r="HS101" s="1"/>
      <c r="HT101" s="1"/>
      <c r="HU101" s="1" t="s">
        <v>331</v>
      </c>
      <c r="HV101">
        <v>4624435015</v>
      </c>
      <c r="HW101">
        <v>40638586</v>
      </c>
      <c r="HX101">
        <v>99102567927</v>
      </c>
      <c r="HY101" s="1" t="s">
        <v>1894</v>
      </c>
      <c r="HZ101">
        <v>4319162</v>
      </c>
      <c r="IA101">
        <v>4321629</v>
      </c>
      <c r="IB101" s="1" t="s">
        <v>1895</v>
      </c>
      <c r="IC101">
        <v>830194</v>
      </c>
      <c r="ID101" s="1" t="s">
        <v>1896</v>
      </c>
      <c r="IE101">
        <v>2.2200000000000002</v>
      </c>
      <c r="IF101">
        <v>3.22</v>
      </c>
      <c r="IG101">
        <v>4.22</v>
      </c>
      <c r="IH101">
        <v>5.27</v>
      </c>
      <c r="II101">
        <v>6.58</v>
      </c>
      <c r="IJ101">
        <v>4.05</v>
      </c>
      <c r="IK101">
        <v>3.51</v>
      </c>
    </row>
    <row r="102" spans="1:245" x14ac:dyDescent="0.3">
      <c r="A102">
        <v>1750</v>
      </c>
      <c r="B102">
        <v>2365</v>
      </c>
      <c r="C102" s="1" t="s">
        <v>2390</v>
      </c>
      <c r="D102" s="1" t="s">
        <v>2232</v>
      </c>
      <c r="E102" t="s">
        <v>3275</v>
      </c>
      <c r="F102" s="1" t="s">
        <v>2181</v>
      </c>
      <c r="G102" s="1" t="s">
        <v>2182</v>
      </c>
      <c r="H102">
        <v>686016869</v>
      </c>
      <c r="I102" s="1" t="s">
        <v>2391</v>
      </c>
      <c r="J102" s="1" t="s">
        <v>2392</v>
      </c>
      <c r="L102">
        <v>42513</v>
      </c>
      <c r="M102" s="1" t="s">
        <v>2393</v>
      </c>
      <c r="N102" s="1" t="s">
        <v>2394</v>
      </c>
      <c r="O102">
        <v>232102123</v>
      </c>
      <c r="P102" s="1" t="s">
        <v>273</v>
      </c>
      <c r="Q102" s="1" t="s">
        <v>2324</v>
      </c>
      <c r="R102" s="1" t="s">
        <v>2260</v>
      </c>
      <c r="S102" s="1" t="s">
        <v>2395</v>
      </c>
      <c r="T102" s="1" t="s">
        <v>2396</v>
      </c>
      <c r="U102">
        <v>232102127</v>
      </c>
      <c r="V102" s="1" t="s">
        <v>276</v>
      </c>
      <c r="W102" s="1" t="s">
        <v>2324</v>
      </c>
      <c r="X102" s="1" t="s">
        <v>2187</v>
      </c>
      <c r="Y102" s="1" t="s">
        <v>2397</v>
      </c>
      <c r="Z102" s="1" t="s">
        <v>2398</v>
      </c>
      <c r="AA102">
        <v>232102121</v>
      </c>
      <c r="AB102" s="1" t="s">
        <v>2183</v>
      </c>
      <c r="AC102" s="1" t="s">
        <v>2353</v>
      </c>
      <c r="AD102" s="1" t="s">
        <v>2399</v>
      </c>
      <c r="AE102" s="1" t="s">
        <v>2400</v>
      </c>
      <c r="AF102">
        <v>232102121</v>
      </c>
      <c r="AG102" s="1" t="s">
        <v>2233</v>
      </c>
      <c r="AH102" s="1" t="s">
        <v>2217</v>
      </c>
      <c r="AI102" s="1" t="s">
        <v>2401</v>
      </c>
      <c r="AJ102" s="1" t="s">
        <v>2402</v>
      </c>
      <c r="AK102">
        <v>232102125</v>
      </c>
      <c r="AL102" s="1" t="s">
        <v>2391</v>
      </c>
      <c r="AM102" s="1" t="s">
        <v>2401</v>
      </c>
      <c r="AN102" s="1" t="s">
        <v>2403</v>
      </c>
      <c r="AO102" s="1" t="s">
        <v>2404</v>
      </c>
      <c r="AP102">
        <v>232108460</v>
      </c>
      <c r="AQ102" s="1" t="s">
        <v>2345</v>
      </c>
      <c r="AR102" s="1" t="s">
        <v>2289</v>
      </c>
      <c r="AS102" s="1" t="s">
        <v>2405</v>
      </c>
      <c r="AT102" s="1" t="s">
        <v>2406</v>
      </c>
      <c r="AU102">
        <v>232108468</v>
      </c>
      <c r="AV102" s="1" t="s">
        <v>2368</v>
      </c>
      <c r="AW102" s="1" t="s">
        <v>2223</v>
      </c>
      <c r="AX102" s="1" t="s">
        <v>2199</v>
      </c>
      <c r="AY102">
        <v>620112930</v>
      </c>
      <c r="AZ102" s="1" t="s">
        <v>356</v>
      </c>
      <c r="BA102">
        <v>678408525</v>
      </c>
      <c r="BB102" s="1" t="s">
        <v>2407</v>
      </c>
      <c r="BC102" s="1" t="s">
        <v>2408</v>
      </c>
      <c r="BD102">
        <v>76</v>
      </c>
      <c r="BE102">
        <v>232102121</v>
      </c>
      <c r="BF102">
        <v>49.4453125</v>
      </c>
      <c r="BG102">
        <v>1.0745315551757799</v>
      </c>
      <c r="BH102">
        <v>451647903</v>
      </c>
      <c r="BI102">
        <v>561</v>
      </c>
      <c r="BJ102" s="2">
        <v>37055</v>
      </c>
      <c r="BK102" s="1" t="s">
        <v>3308</v>
      </c>
      <c r="BL102" s="1" t="s">
        <v>290</v>
      </c>
      <c r="BM102" s="1" t="s">
        <v>291</v>
      </c>
      <c r="BN102" s="1" t="s">
        <v>292</v>
      </c>
      <c r="BO102" s="1" t="s">
        <v>291</v>
      </c>
      <c r="BP102" s="1" t="s">
        <v>293</v>
      </c>
      <c r="BQ102" s="1" t="s">
        <v>294</v>
      </c>
      <c r="BR102">
        <v>80</v>
      </c>
      <c r="BS102">
        <v>35889596</v>
      </c>
      <c r="BT102" s="1" t="s">
        <v>295</v>
      </c>
      <c r="BU102" s="1" t="s">
        <v>555</v>
      </c>
      <c r="BV102">
        <v>597886</v>
      </c>
      <c r="BW102">
        <v>9.1506330059276091E-3</v>
      </c>
      <c r="BX102">
        <v>72.856926221401693</v>
      </c>
      <c r="BY102">
        <v>15.166650183512438</v>
      </c>
      <c r="BZ102">
        <v>1.2689105733939912</v>
      </c>
      <c r="CA102">
        <v>89.292486978308133</v>
      </c>
      <c r="CB102" s="1" t="s">
        <v>443</v>
      </c>
      <c r="CC102">
        <v>1</v>
      </c>
      <c r="CD102" s="1" t="s">
        <v>298</v>
      </c>
      <c r="CE102" s="1" t="s">
        <v>299</v>
      </c>
      <c r="CF102">
        <v>1101</v>
      </c>
      <c r="CG102" s="1" t="s">
        <v>300</v>
      </c>
      <c r="CH102" s="1" t="s">
        <v>301</v>
      </c>
      <c r="CI102" s="1" t="s">
        <v>302</v>
      </c>
      <c r="CJ102" s="1" t="s">
        <v>301</v>
      </c>
      <c r="CK102" s="1" t="s">
        <v>302</v>
      </c>
      <c r="CL102" s="1" t="s">
        <v>303</v>
      </c>
      <c r="CM102">
        <v>3601651117009</v>
      </c>
      <c r="CO102" s="1"/>
      <c r="CP102" s="1" t="s">
        <v>304</v>
      </c>
      <c r="CQ102" s="1" t="s">
        <v>766</v>
      </c>
      <c r="CR102" s="1" t="s">
        <v>505</v>
      </c>
      <c r="CS102">
        <v>7477</v>
      </c>
      <c r="CT102">
        <v>3820</v>
      </c>
      <c r="CU102">
        <v>3700</v>
      </c>
      <c r="CV102" s="1" t="s">
        <v>307</v>
      </c>
      <c r="CW102" s="1" t="s">
        <v>308</v>
      </c>
      <c r="CY102">
        <v>3657</v>
      </c>
      <c r="CZ102">
        <v>3500</v>
      </c>
      <c r="DA102" s="1" t="s">
        <v>307</v>
      </c>
      <c r="DB102">
        <v>3657</v>
      </c>
      <c r="DC102">
        <v>3657</v>
      </c>
      <c r="DD102">
        <v>84</v>
      </c>
      <c r="DE102">
        <v>0</v>
      </c>
      <c r="DF102">
        <v>1147</v>
      </c>
      <c r="DG102">
        <v>2510</v>
      </c>
      <c r="DH102">
        <v>0</v>
      </c>
      <c r="DI102">
        <v>0</v>
      </c>
      <c r="DJ102">
        <v>0</v>
      </c>
      <c r="DK102" s="1" t="s">
        <v>409</v>
      </c>
      <c r="DL102" s="1" t="s">
        <v>370</v>
      </c>
      <c r="DN102" s="1"/>
      <c r="DO102">
        <v>1242</v>
      </c>
      <c r="DP102">
        <v>0</v>
      </c>
      <c r="DQ102">
        <v>1242</v>
      </c>
      <c r="DR102" s="1" t="s">
        <v>790</v>
      </c>
      <c r="DS102">
        <v>599</v>
      </c>
      <c r="DT102">
        <v>88</v>
      </c>
      <c r="DU102">
        <v>309</v>
      </c>
      <c r="DV102">
        <v>376</v>
      </c>
      <c r="DW102" s="1" t="s">
        <v>371</v>
      </c>
      <c r="DX102">
        <v>18</v>
      </c>
      <c r="DY102">
        <v>2017</v>
      </c>
      <c r="DZ102">
        <v>2</v>
      </c>
      <c r="EA102">
        <v>2</v>
      </c>
      <c r="EB102">
        <v>11</v>
      </c>
      <c r="EC102">
        <v>3</v>
      </c>
      <c r="ED102">
        <v>0</v>
      </c>
      <c r="EE102">
        <v>0</v>
      </c>
      <c r="EF102">
        <v>16</v>
      </c>
      <c r="EG102">
        <v>2010</v>
      </c>
      <c r="EI102" s="1"/>
      <c r="EJ102" s="1" t="s">
        <v>313</v>
      </c>
      <c r="EK102" s="1" t="s">
        <v>314</v>
      </c>
      <c r="EL102">
        <v>35</v>
      </c>
      <c r="EM102">
        <v>34</v>
      </c>
      <c r="EN102">
        <v>15</v>
      </c>
      <c r="EO102" s="1" t="s">
        <v>315</v>
      </c>
      <c r="EP102">
        <v>40</v>
      </c>
      <c r="EQ102">
        <v>109.19318369822975</v>
      </c>
      <c r="ER102" s="1" t="s">
        <v>411</v>
      </c>
      <c r="ES102">
        <v>5.2784583750226499</v>
      </c>
      <c r="ET102">
        <v>0</v>
      </c>
      <c r="EU102" s="1"/>
      <c r="EV102">
        <v>69.329005522685563</v>
      </c>
      <c r="EW102">
        <v>0</v>
      </c>
      <c r="EX102" t="s">
        <v>316</v>
      </c>
      <c r="EY102">
        <v>0</v>
      </c>
      <c r="EZ102" s="1" t="s">
        <v>412</v>
      </c>
      <c r="FA102" s="2">
        <v>42736</v>
      </c>
      <c r="FB102" s="1" t="s">
        <v>791</v>
      </c>
      <c r="FC102">
        <v>1</v>
      </c>
      <c r="FD102" s="1"/>
      <c r="FE102" s="2">
        <v>42370</v>
      </c>
      <c r="FF102" s="1"/>
      <c r="FG102" s="1" t="s">
        <v>322</v>
      </c>
      <c r="FH102" s="1" t="s">
        <v>319</v>
      </c>
      <c r="FI102" s="1" t="s">
        <v>319</v>
      </c>
      <c r="FJ102" s="1" t="s">
        <v>319</v>
      </c>
      <c r="FK102" s="1" t="s">
        <v>320</v>
      </c>
      <c r="FL102">
        <v>18.920000000000002</v>
      </c>
      <c r="FM102">
        <v>8104.4388346000715</v>
      </c>
      <c r="FN102" s="1" t="s">
        <v>321</v>
      </c>
      <c r="FO102" s="1" t="s">
        <v>322</v>
      </c>
      <c r="FP102" s="1" t="s">
        <v>323</v>
      </c>
      <c r="FQ102" s="1" t="s">
        <v>559</v>
      </c>
      <c r="FR102" s="1" t="s">
        <v>325</v>
      </c>
      <c r="FS102" s="1" t="s">
        <v>374</v>
      </c>
      <c r="FT102" s="1" t="s">
        <v>326</v>
      </c>
      <c r="FU102">
        <v>494198191</v>
      </c>
      <c r="FV102" s="1" t="s">
        <v>322</v>
      </c>
      <c r="FW102" s="1" t="s">
        <v>322</v>
      </c>
      <c r="FX102" s="1" t="s">
        <v>322</v>
      </c>
      <c r="FY102" s="1" t="s">
        <v>322</v>
      </c>
      <c r="FZ102" s="1" t="s">
        <v>322</v>
      </c>
      <c r="GA102" s="1" t="s">
        <v>322</v>
      </c>
      <c r="GB102" s="1" t="s">
        <v>322</v>
      </c>
      <c r="GC102" s="1" t="s">
        <v>322</v>
      </c>
      <c r="GD102" s="1" t="s">
        <v>322</v>
      </c>
      <c r="GE102" s="1" t="s">
        <v>319</v>
      </c>
      <c r="GF102" s="1" t="s">
        <v>415</v>
      </c>
      <c r="GG102" s="1"/>
      <c r="GH102" s="1" t="s">
        <v>322</v>
      </c>
      <c r="GI102" s="1" t="s">
        <v>743</v>
      </c>
      <c r="GJ102" s="1" t="s">
        <v>322</v>
      </c>
      <c r="GK102" s="2">
        <v>41640</v>
      </c>
      <c r="GL102" s="1" t="s">
        <v>322</v>
      </c>
      <c r="GM102" s="1" t="s">
        <v>322</v>
      </c>
      <c r="GN102">
        <v>43010</v>
      </c>
      <c r="GO102" s="1" t="s">
        <v>322</v>
      </c>
      <c r="GP102">
        <v>42370</v>
      </c>
      <c r="GQ102" s="1" t="s">
        <v>2409</v>
      </c>
      <c r="GR102" s="1" t="s">
        <v>322</v>
      </c>
      <c r="GS102" s="1" t="s">
        <v>448</v>
      </c>
      <c r="GT102" s="1" t="s">
        <v>322</v>
      </c>
      <c r="GU102" s="1" t="s">
        <v>2251</v>
      </c>
      <c r="GV102" s="1" t="s">
        <v>322</v>
      </c>
      <c r="GW102" s="1" t="s">
        <v>319</v>
      </c>
      <c r="GX102" s="1" t="s">
        <v>322</v>
      </c>
      <c r="GY102" s="1" t="s">
        <v>319</v>
      </c>
      <c r="GZ102" s="1" t="s">
        <v>319</v>
      </c>
      <c r="HA102" s="2">
        <v>44067</v>
      </c>
      <c r="HB102" s="2">
        <v>42667</v>
      </c>
      <c r="HC102" s="1"/>
      <c r="HD102" s="1"/>
      <c r="HE102" s="1"/>
      <c r="HF102" s="1"/>
      <c r="HG102" s="1"/>
      <c r="HH102" s="1"/>
      <c r="HI102" s="1" t="s">
        <v>322</v>
      </c>
      <c r="HJ102" s="1" t="s">
        <v>794</v>
      </c>
      <c r="HK102" s="2">
        <v>42736</v>
      </c>
      <c r="HL102" s="1"/>
      <c r="HM102" s="1" t="s">
        <v>322</v>
      </c>
      <c r="HN102" s="1" t="s">
        <v>322</v>
      </c>
      <c r="HO102" s="1" t="s">
        <v>322</v>
      </c>
      <c r="HP102" s="1"/>
      <c r="HQ102" s="1"/>
      <c r="HR102" s="1"/>
      <c r="HS102" s="1"/>
      <c r="HT102" s="1"/>
      <c r="HU102" s="1" t="s">
        <v>331</v>
      </c>
      <c r="HV102">
        <v>4622029014</v>
      </c>
      <c r="HW102">
        <v>40638824</v>
      </c>
      <c r="HX102">
        <v>99102569913</v>
      </c>
      <c r="HY102" s="1" t="s">
        <v>2410</v>
      </c>
      <c r="HZ102">
        <v>4242198</v>
      </c>
      <c r="IA102">
        <v>4321253</v>
      </c>
      <c r="IB102" s="1" t="s">
        <v>2411</v>
      </c>
      <c r="IC102">
        <v>830020</v>
      </c>
      <c r="ID102" s="1" t="s">
        <v>2412</v>
      </c>
      <c r="IE102">
        <v>4.3600000000000003</v>
      </c>
      <c r="IF102">
        <v>3.48</v>
      </c>
      <c r="IG102">
        <v>4.4800000000000004</v>
      </c>
      <c r="IH102">
        <v>5.6</v>
      </c>
      <c r="II102">
        <v>6.98</v>
      </c>
      <c r="IJ102">
        <v>7.0194444444444448</v>
      </c>
      <c r="IK102">
        <v>7</v>
      </c>
    </row>
    <row r="103" spans="1:245" x14ac:dyDescent="0.3">
      <c r="A103">
        <v>1917</v>
      </c>
      <c r="B103">
        <v>2424</v>
      </c>
      <c r="C103" s="1" t="s">
        <v>614</v>
      </c>
      <c r="D103" s="1" t="s">
        <v>382</v>
      </c>
      <c r="E103" t="s">
        <v>3275</v>
      </c>
      <c r="F103" s="1" t="s">
        <v>337</v>
      </c>
      <c r="G103" s="1" t="s">
        <v>338</v>
      </c>
      <c r="H103">
        <v>614540304</v>
      </c>
      <c r="I103" s="1" t="s">
        <v>615</v>
      </c>
      <c r="J103" s="1" t="s">
        <v>616</v>
      </c>
      <c r="K103">
        <v>610924857</v>
      </c>
      <c r="L103">
        <v>43150</v>
      </c>
      <c r="M103" s="1" t="s">
        <v>617</v>
      </c>
      <c r="N103" s="1" t="s">
        <v>618</v>
      </c>
      <c r="O103">
        <v>546975648</v>
      </c>
      <c r="P103" s="1" t="s">
        <v>273</v>
      </c>
      <c r="Q103" s="1" t="s">
        <v>454</v>
      </c>
      <c r="R103" s="1" t="s">
        <v>567</v>
      </c>
      <c r="S103" s="1" t="s">
        <v>619</v>
      </c>
      <c r="T103" s="1" t="s">
        <v>620</v>
      </c>
      <c r="U103">
        <v>546975649</v>
      </c>
      <c r="V103" s="1" t="s">
        <v>276</v>
      </c>
      <c r="W103" s="1" t="s">
        <v>454</v>
      </c>
      <c r="X103" s="1" t="s">
        <v>494</v>
      </c>
      <c r="Y103" s="1" t="s">
        <v>621</v>
      </c>
      <c r="Z103" s="1" t="s">
        <v>622</v>
      </c>
      <c r="AA103">
        <v>546975640</v>
      </c>
      <c r="AB103" s="1" t="s">
        <v>615</v>
      </c>
      <c r="AC103" s="1" t="s">
        <v>571</v>
      </c>
      <c r="AD103" s="1" t="s">
        <v>623</v>
      </c>
      <c r="AE103" s="1" t="s">
        <v>624</v>
      </c>
      <c r="AF103">
        <v>557708883</v>
      </c>
      <c r="AG103" s="1" t="s">
        <v>490</v>
      </c>
      <c r="AH103" s="1" t="s">
        <v>625</v>
      </c>
      <c r="AI103" s="1" t="s">
        <v>626</v>
      </c>
      <c r="AJ103" s="1" t="s">
        <v>627</v>
      </c>
      <c r="AK103">
        <v>546975644</v>
      </c>
      <c r="AL103" s="1" t="s">
        <v>565</v>
      </c>
      <c r="AM103" s="1" t="s">
        <v>392</v>
      </c>
      <c r="AN103" s="1" t="s">
        <v>628</v>
      </c>
      <c r="AO103" s="1" t="s">
        <v>629</v>
      </c>
      <c r="AP103">
        <v>546975642</v>
      </c>
      <c r="AQ103" s="1" t="s">
        <v>590</v>
      </c>
      <c r="AR103" s="1"/>
      <c r="AS103" s="1" t="s">
        <v>630</v>
      </c>
      <c r="AT103" s="1" t="s">
        <v>631</v>
      </c>
      <c r="AU103">
        <v>546975647</v>
      </c>
      <c r="AV103" s="1" t="s">
        <v>383</v>
      </c>
      <c r="AW103" s="1"/>
      <c r="AX103" s="1" t="s">
        <v>355</v>
      </c>
      <c r="AY103">
        <v>623422353</v>
      </c>
      <c r="AZ103" s="1" t="s">
        <v>356</v>
      </c>
      <c r="BA103">
        <v>678408525</v>
      </c>
      <c r="BB103" s="1" t="s">
        <v>632</v>
      </c>
      <c r="BC103" s="1" t="s">
        <v>633</v>
      </c>
      <c r="BD103">
        <v>17</v>
      </c>
      <c r="BE103">
        <v>546975640</v>
      </c>
      <c r="BF103">
        <v>45.7958984375</v>
      </c>
      <c r="BG103">
        <v>-0.72784233093261697</v>
      </c>
      <c r="BH103">
        <v>451647903</v>
      </c>
      <c r="BI103">
        <v>1031</v>
      </c>
      <c r="BJ103" s="2">
        <v>39582</v>
      </c>
      <c r="BK103" s="1" t="s">
        <v>3321</v>
      </c>
      <c r="BL103" s="1" t="s">
        <v>290</v>
      </c>
      <c r="BM103" s="1" t="s">
        <v>291</v>
      </c>
      <c r="BN103" s="1" t="s">
        <v>292</v>
      </c>
      <c r="BO103" s="1" t="s">
        <v>291</v>
      </c>
      <c r="BP103" s="1" t="s">
        <v>293</v>
      </c>
      <c r="BQ103" s="1" t="s">
        <v>294</v>
      </c>
      <c r="BR103">
        <v>80</v>
      </c>
      <c r="BS103">
        <v>35222047.450000003</v>
      </c>
      <c r="BT103" s="1" t="s">
        <v>295</v>
      </c>
      <c r="BU103" s="1" t="s">
        <v>401</v>
      </c>
      <c r="BV103">
        <v>365021</v>
      </c>
      <c r="BW103">
        <v>7.4881653039568204E-3</v>
      </c>
      <c r="BX103">
        <v>69.685962945869306</v>
      </c>
      <c r="BY103">
        <v>4.0167413902991127</v>
      </c>
      <c r="BZ103">
        <v>6.7117640271642385</v>
      </c>
      <c r="CA103">
        <v>80.414468363332659</v>
      </c>
      <c r="CB103" s="1" t="s">
        <v>360</v>
      </c>
      <c r="CC103">
        <v>1</v>
      </c>
      <c r="CD103" s="1" t="s">
        <v>402</v>
      </c>
      <c r="CE103" s="1" t="s">
        <v>504</v>
      </c>
      <c r="CF103">
        <v>1101</v>
      </c>
      <c r="CG103" s="1" t="s">
        <v>300</v>
      </c>
      <c r="CH103" s="1" t="s">
        <v>403</v>
      </c>
      <c r="CI103" s="1" t="s">
        <v>404</v>
      </c>
      <c r="CJ103" s="1" t="s">
        <v>301</v>
      </c>
      <c r="CK103" s="1" t="s">
        <v>302</v>
      </c>
      <c r="CL103" s="1" t="s">
        <v>527</v>
      </c>
      <c r="CM103">
        <v>3601651112004</v>
      </c>
      <c r="CO103" s="1"/>
      <c r="CP103" s="1" t="s">
        <v>366</v>
      </c>
      <c r="CQ103" s="1" t="s">
        <v>367</v>
      </c>
      <c r="CR103" s="1" t="s">
        <v>306</v>
      </c>
      <c r="CS103">
        <v>5175</v>
      </c>
      <c r="CT103">
        <v>2475</v>
      </c>
      <c r="CU103">
        <v>2500</v>
      </c>
      <c r="CV103" s="1" t="s">
        <v>584</v>
      </c>
      <c r="CW103" s="1" t="s">
        <v>308</v>
      </c>
      <c r="CY103">
        <v>3066</v>
      </c>
      <c r="CZ103">
        <v>3000</v>
      </c>
      <c r="DA103" s="1" t="s">
        <v>309</v>
      </c>
      <c r="DB103">
        <v>2700</v>
      </c>
      <c r="DC103">
        <v>2700</v>
      </c>
      <c r="DD103">
        <v>0</v>
      </c>
      <c r="DE103">
        <v>0</v>
      </c>
      <c r="DF103">
        <v>0</v>
      </c>
      <c r="DG103">
        <v>2700</v>
      </c>
      <c r="DH103">
        <v>0</v>
      </c>
      <c r="DI103">
        <v>0</v>
      </c>
      <c r="DJ103">
        <v>0</v>
      </c>
      <c r="DK103" s="1" t="s">
        <v>369</v>
      </c>
      <c r="DL103" s="1" t="s">
        <v>445</v>
      </c>
      <c r="DN103" s="1"/>
      <c r="DO103">
        <v>831</v>
      </c>
      <c r="DP103">
        <v>0</v>
      </c>
      <c r="DQ103">
        <v>831</v>
      </c>
      <c r="DR103" s="1"/>
      <c r="DS103">
        <v>1000</v>
      </c>
      <c r="DT103">
        <v>94</v>
      </c>
      <c r="DU103">
        <v>233</v>
      </c>
      <c r="DV103">
        <v>212</v>
      </c>
      <c r="DW103" s="1" t="s">
        <v>371</v>
      </c>
      <c r="DX103">
        <v>18</v>
      </c>
      <c r="DY103">
        <v>2018</v>
      </c>
      <c r="DZ103">
        <v>2</v>
      </c>
      <c r="EA103">
        <v>2</v>
      </c>
      <c r="EB103">
        <v>8</v>
      </c>
      <c r="EC103">
        <v>3</v>
      </c>
      <c r="ED103">
        <v>0</v>
      </c>
      <c r="EE103">
        <v>1</v>
      </c>
      <c r="EF103">
        <v>14</v>
      </c>
      <c r="EG103">
        <v>2014</v>
      </c>
      <c r="EI103" s="1"/>
      <c r="EJ103" s="1" t="s">
        <v>313</v>
      </c>
      <c r="EK103" s="1" t="s">
        <v>314</v>
      </c>
      <c r="EL103">
        <v>23</v>
      </c>
      <c r="EM103">
        <v>22</v>
      </c>
      <c r="EN103">
        <v>10</v>
      </c>
      <c r="EO103" s="1" t="s">
        <v>315</v>
      </c>
      <c r="EP103">
        <v>30</v>
      </c>
      <c r="EQ103">
        <v>73.130233433002331</v>
      </c>
      <c r="ER103" s="1" t="s">
        <v>316</v>
      </c>
      <c r="ES103">
        <v>2.2701181110022897</v>
      </c>
      <c r="ET103">
        <v>0</v>
      </c>
      <c r="EU103" s="1"/>
      <c r="EV103">
        <v>131.8290017317758</v>
      </c>
      <c r="EW103">
        <v>1</v>
      </c>
      <c r="EX103" t="s">
        <v>316</v>
      </c>
      <c r="EY103">
        <v>1</v>
      </c>
      <c r="EZ103" s="1" t="s">
        <v>412</v>
      </c>
      <c r="FA103" s="2">
        <v>44197</v>
      </c>
      <c r="FB103" s="1" t="s">
        <v>635</v>
      </c>
      <c r="FC103">
        <v>1</v>
      </c>
      <c r="FD103" s="1"/>
      <c r="FE103" s="2"/>
      <c r="FF103" s="1"/>
      <c r="FG103" s="1" t="s">
        <v>322</v>
      </c>
      <c r="FH103" s="1" t="s">
        <v>319</v>
      </c>
      <c r="FI103" s="1" t="s">
        <v>319</v>
      </c>
      <c r="FJ103" s="1" t="s">
        <v>319</v>
      </c>
      <c r="FK103" s="1" t="s">
        <v>373</v>
      </c>
      <c r="FL103">
        <v>18.59</v>
      </c>
      <c r="FM103">
        <v>6266.4732965009189</v>
      </c>
      <c r="FN103" s="1" t="s">
        <v>321</v>
      </c>
      <c r="FO103" s="1" t="s">
        <v>319</v>
      </c>
      <c r="FP103" s="1" t="s">
        <v>323</v>
      </c>
      <c r="FQ103" s="1" t="s">
        <v>559</v>
      </c>
      <c r="FR103" s="1" t="s">
        <v>325</v>
      </c>
      <c r="FS103" s="1" t="s">
        <v>374</v>
      </c>
      <c r="FT103" s="1" t="s">
        <v>326</v>
      </c>
      <c r="FU103">
        <v>494198191</v>
      </c>
      <c r="FV103" s="1" t="s">
        <v>319</v>
      </c>
      <c r="FW103" s="1" t="s">
        <v>319</v>
      </c>
      <c r="FX103" s="1" t="s">
        <v>322</v>
      </c>
      <c r="FY103" s="1" t="s">
        <v>322</v>
      </c>
      <c r="FZ103" s="1" t="s">
        <v>322</v>
      </c>
      <c r="GA103" s="1" t="s">
        <v>322</v>
      </c>
      <c r="GB103" s="1"/>
      <c r="GC103" s="1"/>
      <c r="GD103" s="1" t="s">
        <v>322</v>
      </c>
      <c r="GE103" s="1" t="s">
        <v>322</v>
      </c>
      <c r="GF103" s="1" t="s">
        <v>415</v>
      </c>
      <c r="GG103" s="1"/>
      <c r="GH103" s="1" t="s">
        <v>319</v>
      </c>
      <c r="GI103" s="1" t="s">
        <v>636</v>
      </c>
      <c r="GJ103" s="1" t="s">
        <v>322</v>
      </c>
      <c r="GK103" s="2">
        <v>41640</v>
      </c>
      <c r="GL103" s="1" t="s">
        <v>322</v>
      </c>
      <c r="GM103" s="1" t="s">
        <v>322</v>
      </c>
      <c r="GN103">
        <v>42996</v>
      </c>
      <c r="GO103" s="1" t="s">
        <v>322</v>
      </c>
      <c r="GP103">
        <v>41992</v>
      </c>
      <c r="GQ103" s="1" t="s">
        <v>637</v>
      </c>
      <c r="GR103" s="1" t="s">
        <v>322</v>
      </c>
      <c r="GS103" s="1" t="s">
        <v>448</v>
      </c>
      <c r="GT103" s="1" t="s">
        <v>322</v>
      </c>
      <c r="GU103" s="1" t="s">
        <v>532</v>
      </c>
      <c r="GV103" s="1" t="s">
        <v>322</v>
      </c>
      <c r="GW103" s="1" t="s">
        <v>322</v>
      </c>
      <c r="GX103" s="1" t="s">
        <v>322</v>
      </c>
      <c r="GY103" s="1" t="s">
        <v>319</v>
      </c>
      <c r="GZ103" s="1" t="s">
        <v>319</v>
      </c>
      <c r="HA103" s="2">
        <v>44063</v>
      </c>
      <c r="HB103" s="2">
        <v>42625</v>
      </c>
      <c r="HC103" s="1"/>
      <c r="HD103" s="1" t="s">
        <v>322</v>
      </c>
      <c r="HE103" s="1" t="s">
        <v>322</v>
      </c>
      <c r="HF103" s="1" t="s">
        <v>322</v>
      </c>
      <c r="HG103" s="1"/>
      <c r="HH103" s="1"/>
      <c r="HI103" s="1" t="s">
        <v>322</v>
      </c>
      <c r="HJ103" s="1" t="s">
        <v>330</v>
      </c>
      <c r="HK103" s="2"/>
      <c r="HL103" s="1"/>
      <c r="HM103" s="1" t="s">
        <v>322</v>
      </c>
      <c r="HN103" s="1" t="s">
        <v>322</v>
      </c>
      <c r="HO103" s="1"/>
      <c r="HP103" s="1"/>
      <c r="HQ103" s="1"/>
      <c r="HR103" s="1"/>
      <c r="HS103" s="1"/>
      <c r="HT103" s="1"/>
      <c r="HU103" s="1" t="s">
        <v>331</v>
      </c>
      <c r="HV103">
        <v>4626867015</v>
      </c>
      <c r="HW103">
        <v>40638043</v>
      </c>
      <c r="HX103">
        <v>99102564248</v>
      </c>
      <c r="HY103" s="1" t="s">
        <v>638</v>
      </c>
      <c r="HZ103">
        <v>4244688</v>
      </c>
      <c r="IA103">
        <v>4321334</v>
      </c>
      <c r="IB103" s="1" t="s">
        <v>639</v>
      </c>
      <c r="IC103">
        <v>830147</v>
      </c>
      <c r="ID103" s="1" t="s">
        <v>640</v>
      </c>
      <c r="IE103">
        <v>3.68</v>
      </c>
      <c r="IF103">
        <v>4.45</v>
      </c>
      <c r="IG103">
        <v>3.56</v>
      </c>
      <c r="IH103">
        <v>3.4</v>
      </c>
      <c r="II103">
        <v>4.4000000000000004</v>
      </c>
      <c r="IJ103">
        <v>6.87</v>
      </c>
      <c r="IK103">
        <v>6.87</v>
      </c>
    </row>
    <row r="104" spans="1:245" x14ac:dyDescent="0.3">
      <c r="A104">
        <v>1792</v>
      </c>
      <c r="B104">
        <v>2406</v>
      </c>
      <c r="C104" s="1" t="s">
        <v>1410</v>
      </c>
      <c r="D104" s="1" t="s">
        <v>266</v>
      </c>
      <c r="E104" t="s">
        <v>3275</v>
      </c>
      <c r="F104" s="1" t="s">
        <v>1228</v>
      </c>
      <c r="G104" s="1" t="s">
        <v>1229</v>
      </c>
      <c r="H104">
        <v>624328593</v>
      </c>
      <c r="I104" s="1" t="s">
        <v>1411</v>
      </c>
      <c r="J104" s="1" t="s">
        <v>1412</v>
      </c>
      <c r="K104">
        <v>622607842</v>
      </c>
      <c r="L104">
        <v>44403</v>
      </c>
      <c r="M104" s="1" t="s">
        <v>524</v>
      </c>
      <c r="N104" s="1"/>
      <c r="P104" s="1"/>
      <c r="Q104" s="1" t="s">
        <v>1430</v>
      </c>
      <c r="R104" s="1" t="s">
        <v>1389</v>
      </c>
      <c r="S104" s="1" t="s">
        <v>1413</v>
      </c>
      <c r="T104" s="1" t="s">
        <v>1414</v>
      </c>
      <c r="U104">
        <v>387257684</v>
      </c>
      <c r="V104" s="1" t="s">
        <v>276</v>
      </c>
      <c r="W104" s="1" t="s">
        <v>1387</v>
      </c>
      <c r="X104" s="1" t="s">
        <v>1299</v>
      </c>
      <c r="Y104" s="1" t="s">
        <v>1415</v>
      </c>
      <c r="Z104" s="1" t="s">
        <v>1416</v>
      </c>
      <c r="AA104">
        <v>387257682</v>
      </c>
      <c r="AB104" s="1" t="s">
        <v>1255</v>
      </c>
      <c r="AC104" s="1" t="s">
        <v>1259</v>
      </c>
      <c r="AD104" s="1" t="s">
        <v>1417</v>
      </c>
      <c r="AE104" s="1" t="s">
        <v>1416</v>
      </c>
      <c r="AF104">
        <v>387257682</v>
      </c>
      <c r="AG104" s="1" t="s">
        <v>1297</v>
      </c>
      <c r="AH104" s="1" t="s">
        <v>1347</v>
      </c>
      <c r="AI104" s="1" t="s">
        <v>1417</v>
      </c>
      <c r="AJ104" s="1" t="s">
        <v>1416</v>
      </c>
      <c r="AK104">
        <v>387257682</v>
      </c>
      <c r="AL104" s="1" t="s">
        <v>1411</v>
      </c>
      <c r="AM104" s="1" t="s">
        <v>1417</v>
      </c>
      <c r="AN104" s="1" t="s">
        <v>1418</v>
      </c>
      <c r="AO104" s="1" t="s">
        <v>1419</v>
      </c>
      <c r="AP104">
        <v>387257687</v>
      </c>
      <c r="AQ104" s="1" t="s">
        <v>1320</v>
      </c>
      <c r="AR104" s="1" t="s">
        <v>1265</v>
      </c>
      <c r="AS104" s="1" t="s">
        <v>1420</v>
      </c>
      <c r="AT104" s="1" t="s">
        <v>1421</v>
      </c>
      <c r="AU104">
        <v>387257686</v>
      </c>
      <c r="AV104" s="1" t="s">
        <v>1320</v>
      </c>
      <c r="AW104" s="1" t="s">
        <v>1443</v>
      </c>
      <c r="AX104" s="1" t="s">
        <v>1241</v>
      </c>
      <c r="AY104">
        <v>646374592</v>
      </c>
      <c r="AZ104" s="1" t="s">
        <v>1242</v>
      </c>
      <c r="BB104" s="1" t="s">
        <v>1422</v>
      </c>
      <c r="BC104" s="1" t="s">
        <v>1423</v>
      </c>
      <c r="BD104">
        <v>57</v>
      </c>
      <c r="BE104">
        <v>387257676</v>
      </c>
      <c r="BF104">
        <v>48.74072265625</v>
      </c>
      <c r="BG104">
        <v>7.0792999267578098</v>
      </c>
      <c r="BH104">
        <v>451647903</v>
      </c>
      <c r="BI104">
        <v>744</v>
      </c>
      <c r="BJ104" s="2">
        <v>38798</v>
      </c>
      <c r="BK104" s="1" t="s">
        <v>1676</v>
      </c>
      <c r="BL104" s="1" t="s">
        <v>290</v>
      </c>
      <c r="BM104" s="1" t="s">
        <v>291</v>
      </c>
      <c r="BN104" s="1" t="s">
        <v>292</v>
      </c>
      <c r="BO104" s="1" t="s">
        <v>1246</v>
      </c>
      <c r="BP104" s="1" t="s">
        <v>293</v>
      </c>
      <c r="BQ104" s="1" t="s">
        <v>1247</v>
      </c>
      <c r="BR104">
        <v>72</v>
      </c>
      <c r="BS104">
        <v>13470031.6</v>
      </c>
      <c r="BT104" s="1" t="s">
        <v>295</v>
      </c>
      <c r="BU104" s="1" t="s">
        <v>663</v>
      </c>
      <c r="BV104">
        <v>216407</v>
      </c>
      <c r="BW104">
        <v>1.001653382563843E-2</v>
      </c>
      <c r="BX104">
        <v>36.657084459682203</v>
      </c>
      <c r="BY104">
        <v>1.25</v>
      </c>
      <c r="BZ104">
        <v>5.567547965978771</v>
      </c>
      <c r="CA104">
        <v>43.474632425660971</v>
      </c>
      <c r="CB104" s="1" t="s">
        <v>360</v>
      </c>
      <c r="CC104">
        <v>1</v>
      </c>
      <c r="CD104" s="1" t="s">
        <v>298</v>
      </c>
      <c r="CE104" s="1" t="s">
        <v>361</v>
      </c>
      <c r="CF104">
        <v>1106</v>
      </c>
      <c r="CG104" s="1" t="s">
        <v>362</v>
      </c>
      <c r="CH104" s="1" t="s">
        <v>972</v>
      </c>
      <c r="CI104" s="1" t="s">
        <v>973</v>
      </c>
      <c r="CJ104" s="1" t="s">
        <v>972</v>
      </c>
      <c r="CK104" s="1" t="s">
        <v>302</v>
      </c>
      <c r="CL104" s="1" t="s">
        <v>974</v>
      </c>
      <c r="CM104">
        <v>3020409000020</v>
      </c>
      <c r="CO104" s="1"/>
      <c r="CP104" s="1" t="s">
        <v>1424</v>
      </c>
      <c r="CQ104" s="1" t="s">
        <v>305</v>
      </c>
      <c r="CR104" s="1" t="s">
        <v>306</v>
      </c>
      <c r="CS104">
        <v>4719</v>
      </c>
      <c r="CT104">
        <v>2414</v>
      </c>
      <c r="CU104">
        <v>2500</v>
      </c>
      <c r="CV104" s="1" t="s">
        <v>584</v>
      </c>
      <c r="CW104" s="1" t="s">
        <v>308</v>
      </c>
      <c r="CY104">
        <v>2270</v>
      </c>
      <c r="CZ104" t="s">
        <v>368</v>
      </c>
      <c r="DA104" s="1" t="s">
        <v>309</v>
      </c>
      <c r="DB104">
        <v>2305</v>
      </c>
      <c r="DC104">
        <v>2305</v>
      </c>
      <c r="DD104">
        <v>48</v>
      </c>
      <c r="DE104">
        <v>0</v>
      </c>
      <c r="DF104">
        <v>795</v>
      </c>
      <c r="DG104">
        <v>1510</v>
      </c>
      <c r="DH104">
        <v>0</v>
      </c>
      <c r="DI104">
        <v>0</v>
      </c>
      <c r="DJ104">
        <v>0</v>
      </c>
      <c r="DK104" s="1" t="s">
        <v>409</v>
      </c>
      <c r="DL104" s="1" t="s">
        <v>445</v>
      </c>
      <c r="DN104" s="1"/>
      <c r="DO104">
        <v>803</v>
      </c>
      <c r="DP104">
        <v>0</v>
      </c>
      <c r="DQ104">
        <v>803</v>
      </c>
      <c r="DR104" s="1"/>
      <c r="DS104">
        <v>322</v>
      </c>
      <c r="DT104">
        <v>44</v>
      </c>
      <c r="DU104">
        <v>182</v>
      </c>
      <c r="DV104">
        <v>170</v>
      </c>
      <c r="DW104" s="1" t="s">
        <v>371</v>
      </c>
      <c r="DX104">
        <v>12</v>
      </c>
      <c r="DZ104">
        <v>2</v>
      </c>
      <c r="EA104">
        <v>2</v>
      </c>
      <c r="EB104">
        <v>6</v>
      </c>
      <c r="EC104">
        <v>2</v>
      </c>
      <c r="ED104">
        <v>0</v>
      </c>
      <c r="EE104">
        <v>0</v>
      </c>
      <c r="EF104">
        <v>10</v>
      </c>
      <c r="EG104">
        <v>2012</v>
      </c>
      <c r="EI104" s="1"/>
      <c r="EJ104" s="1" t="s">
        <v>313</v>
      </c>
      <c r="EK104" s="1" t="s">
        <v>314</v>
      </c>
      <c r="EL104">
        <v>20</v>
      </c>
      <c r="EM104">
        <v>14</v>
      </c>
      <c r="EN104">
        <v>12</v>
      </c>
      <c r="EO104" s="1" t="s">
        <v>1290</v>
      </c>
      <c r="EP104">
        <v>18</v>
      </c>
      <c r="EQ104">
        <v>87.678687843085385</v>
      </c>
      <c r="ER104" s="1" t="s">
        <v>316</v>
      </c>
      <c r="ES104">
        <v>3.9682164756568818</v>
      </c>
      <c r="ET104">
        <v>0</v>
      </c>
      <c r="EU104" s="1"/>
      <c r="EV104">
        <v>77.569183964626177</v>
      </c>
      <c r="EW104">
        <v>2</v>
      </c>
      <c r="EX104" t="s">
        <v>316</v>
      </c>
      <c r="EY104">
        <v>2</v>
      </c>
      <c r="EZ104" s="1" t="s">
        <v>317</v>
      </c>
      <c r="FA104" s="2"/>
      <c r="FB104" s="1" t="s">
        <v>318</v>
      </c>
      <c r="FC104">
        <v>1</v>
      </c>
      <c r="FD104" s="1"/>
      <c r="FE104" s="2"/>
      <c r="FF104" s="1"/>
      <c r="FG104" s="1" t="s">
        <v>319</v>
      </c>
      <c r="FH104" s="1" t="s">
        <v>319</v>
      </c>
      <c r="FI104" s="1" t="s">
        <v>319</v>
      </c>
      <c r="FJ104" s="1" t="s">
        <v>319</v>
      </c>
      <c r="FK104" s="1" t="s">
        <v>320</v>
      </c>
      <c r="FL104">
        <v>18.920000000000002</v>
      </c>
      <c r="FM104">
        <v>3080.6639522258411</v>
      </c>
      <c r="FN104" s="1" t="s">
        <v>321</v>
      </c>
      <c r="FO104" s="1" t="s">
        <v>319</v>
      </c>
      <c r="FP104" s="1" t="s">
        <v>323</v>
      </c>
      <c r="FQ104" s="1" t="s">
        <v>559</v>
      </c>
      <c r="FR104" s="1" t="s">
        <v>325</v>
      </c>
      <c r="FS104" s="1"/>
      <c r="FT104" s="1" t="s">
        <v>326</v>
      </c>
      <c r="FU104">
        <v>494198191</v>
      </c>
      <c r="FV104" s="1" t="s">
        <v>322</v>
      </c>
      <c r="FW104" s="1" t="s">
        <v>319</v>
      </c>
      <c r="FX104" s="1" t="s">
        <v>322</v>
      </c>
      <c r="FY104" s="1" t="s">
        <v>322</v>
      </c>
      <c r="FZ104" s="1" t="s">
        <v>322</v>
      </c>
      <c r="GA104" s="1" t="s">
        <v>322</v>
      </c>
      <c r="GB104" s="1"/>
      <c r="GC104" s="1"/>
      <c r="GD104" s="1" t="s">
        <v>322</v>
      </c>
      <c r="GE104" s="1" t="s">
        <v>319</v>
      </c>
      <c r="GF104" s="1" t="s">
        <v>415</v>
      </c>
      <c r="GG104" s="1"/>
      <c r="GH104" s="1" t="s">
        <v>319</v>
      </c>
      <c r="GI104" s="1"/>
      <c r="GJ104" s="1" t="s">
        <v>322</v>
      </c>
      <c r="GK104" s="2">
        <v>42005</v>
      </c>
      <c r="GL104" s="1" t="s">
        <v>322</v>
      </c>
      <c r="GM104" s="1" t="s">
        <v>322</v>
      </c>
      <c r="GN104">
        <v>43153</v>
      </c>
      <c r="GO104" s="1" t="s">
        <v>322</v>
      </c>
      <c r="GP104">
        <v>42884</v>
      </c>
      <c r="GQ104" s="1" t="s">
        <v>1425</v>
      </c>
      <c r="GR104" s="1" t="s">
        <v>322</v>
      </c>
      <c r="GS104" s="1" t="s">
        <v>448</v>
      </c>
      <c r="GT104" s="1" t="s">
        <v>319</v>
      </c>
      <c r="GU104" s="1" t="s">
        <v>319</v>
      </c>
      <c r="GV104" s="1" t="s">
        <v>319</v>
      </c>
      <c r="GW104" s="1" t="s">
        <v>319</v>
      </c>
      <c r="GX104" s="1" t="s">
        <v>319</v>
      </c>
      <c r="GY104" s="1" t="s">
        <v>319</v>
      </c>
      <c r="GZ104" s="1" t="s">
        <v>319</v>
      </c>
      <c r="HA104" s="2">
        <v>44067</v>
      </c>
      <c r="HB104" s="2">
        <v>42667</v>
      </c>
      <c r="HC104" s="1"/>
      <c r="HD104" s="1"/>
      <c r="HE104" s="1"/>
      <c r="HF104" s="1"/>
      <c r="HG104" s="1"/>
      <c r="HH104" s="1"/>
      <c r="HI104" s="1" t="s">
        <v>319</v>
      </c>
      <c r="HJ104" s="1" t="s">
        <v>330</v>
      </c>
      <c r="HK104" s="2"/>
      <c r="HL104" s="1"/>
      <c r="HM104" s="1" t="s">
        <v>322</v>
      </c>
      <c r="HN104" s="1" t="s">
        <v>322</v>
      </c>
      <c r="HO104" s="1"/>
      <c r="HP104" s="1"/>
      <c r="HQ104" s="1"/>
      <c r="HR104" s="1"/>
      <c r="HS104" s="1"/>
      <c r="HT104" s="1"/>
      <c r="HU104" s="1" t="s">
        <v>331</v>
      </c>
      <c r="HV104">
        <v>4623798011</v>
      </c>
      <c r="HW104">
        <v>40638379</v>
      </c>
      <c r="HX104">
        <v>99102567525</v>
      </c>
      <c r="HY104" s="1" t="s">
        <v>1426</v>
      </c>
      <c r="HZ104">
        <v>4319350</v>
      </c>
      <c r="IA104">
        <v>4321793</v>
      </c>
      <c r="IB104" s="1" t="s">
        <v>1427</v>
      </c>
      <c r="IC104">
        <v>830138</v>
      </c>
      <c r="ID104" s="1" t="s">
        <v>1428</v>
      </c>
      <c r="IE104">
        <v>3.54</v>
      </c>
      <c r="IF104">
        <v>3.51</v>
      </c>
      <c r="IG104">
        <v>4.1399999999999997</v>
      </c>
      <c r="IH104">
        <v>4.6500000000000004</v>
      </c>
      <c r="II104">
        <v>4.16</v>
      </c>
      <c r="IJ104">
        <v>2.4900000000000002</v>
      </c>
      <c r="IK104">
        <v>2.4900000000000002</v>
      </c>
    </row>
    <row r="105" spans="1:245" x14ac:dyDescent="0.3">
      <c r="A105">
        <v>1956</v>
      </c>
      <c r="B105">
        <v>2450</v>
      </c>
      <c r="C105" s="1" t="s">
        <v>1529</v>
      </c>
      <c r="D105" s="1" t="s">
        <v>1074</v>
      </c>
      <c r="E105" t="s">
        <v>3275</v>
      </c>
      <c r="F105" s="1" t="s">
        <v>3300</v>
      </c>
      <c r="G105" s="1" t="s">
        <v>1452</v>
      </c>
      <c r="H105">
        <v>625291561</v>
      </c>
      <c r="I105" s="1" t="s">
        <v>1530</v>
      </c>
      <c r="J105" s="1" t="s">
        <v>1531</v>
      </c>
      <c r="K105">
        <v>621750184</v>
      </c>
      <c r="L105">
        <v>43466</v>
      </c>
      <c r="M105" s="1" t="s">
        <v>1532</v>
      </c>
      <c r="N105" s="1" t="s">
        <v>1533</v>
      </c>
      <c r="O105">
        <v>134931980</v>
      </c>
      <c r="P105" s="1" t="s">
        <v>273</v>
      </c>
      <c r="Q105" s="1" t="s">
        <v>1683</v>
      </c>
      <c r="R105" s="1" t="s">
        <v>1685</v>
      </c>
      <c r="S105" s="1" t="s">
        <v>1534</v>
      </c>
      <c r="T105" s="1" t="s">
        <v>1535</v>
      </c>
      <c r="U105">
        <v>134931988</v>
      </c>
      <c r="V105" s="1" t="s">
        <v>276</v>
      </c>
      <c r="W105" s="1" t="s">
        <v>1459</v>
      </c>
      <c r="X105" s="1" t="s">
        <v>1560</v>
      </c>
      <c r="Y105" s="1" t="s">
        <v>1536</v>
      </c>
      <c r="Z105" s="1" t="s">
        <v>1537</v>
      </c>
      <c r="AA105">
        <v>134931980</v>
      </c>
      <c r="AB105" s="1" t="s">
        <v>1530</v>
      </c>
      <c r="AC105" s="1" t="s">
        <v>1637</v>
      </c>
      <c r="AD105" s="1" t="s">
        <v>1538</v>
      </c>
      <c r="AE105" s="1" t="s">
        <v>1539</v>
      </c>
      <c r="AF105">
        <v>134931984</v>
      </c>
      <c r="AG105" s="1" t="s">
        <v>1617</v>
      </c>
      <c r="AH105" s="1" t="s">
        <v>1689</v>
      </c>
      <c r="AI105" s="1" t="s">
        <v>1540</v>
      </c>
      <c r="AJ105" s="1" t="s">
        <v>1541</v>
      </c>
      <c r="AK105">
        <v>194931984</v>
      </c>
      <c r="AL105" s="1" t="s">
        <v>1658</v>
      </c>
      <c r="AM105" s="1" t="s">
        <v>1668</v>
      </c>
      <c r="AN105" s="1" t="s">
        <v>1542</v>
      </c>
      <c r="AO105" s="1" t="s">
        <v>1543</v>
      </c>
      <c r="AP105">
        <v>134931980</v>
      </c>
      <c r="AQ105" s="1" t="s">
        <v>1453</v>
      </c>
      <c r="AR105" s="1" t="s">
        <v>1466</v>
      </c>
      <c r="AS105" s="1" t="s">
        <v>1544</v>
      </c>
      <c r="AT105" s="1" t="s">
        <v>1545</v>
      </c>
      <c r="AU105">
        <v>134931987</v>
      </c>
      <c r="AV105" s="1" t="s">
        <v>1582</v>
      </c>
      <c r="AW105" s="1" t="s">
        <v>1695</v>
      </c>
      <c r="AX105" s="1" t="s">
        <v>1470</v>
      </c>
      <c r="AY105">
        <v>609519426</v>
      </c>
      <c r="AZ105" s="1" t="s">
        <v>1471</v>
      </c>
      <c r="BA105">
        <v>784179653</v>
      </c>
      <c r="BB105" s="1" t="s">
        <v>1546</v>
      </c>
      <c r="BC105" s="1" t="s">
        <v>1547</v>
      </c>
      <c r="BD105">
        <v>78</v>
      </c>
      <c r="BE105">
        <v>134931980</v>
      </c>
      <c r="BF105">
        <v>48.947470499999902</v>
      </c>
      <c r="BG105">
        <v>2.2061495999999998</v>
      </c>
      <c r="BH105">
        <v>451647903</v>
      </c>
      <c r="BI105">
        <v>1320</v>
      </c>
      <c r="BJ105" s="2">
        <v>42067</v>
      </c>
      <c r="BK105" s="1" t="s">
        <v>3376</v>
      </c>
      <c r="BL105" s="1" t="s">
        <v>290</v>
      </c>
      <c r="BM105" s="1" t="s">
        <v>291</v>
      </c>
      <c r="BN105" s="1" t="s">
        <v>292</v>
      </c>
      <c r="BO105" s="1" t="s">
        <v>1502</v>
      </c>
      <c r="BP105" s="1" t="s">
        <v>293</v>
      </c>
      <c r="BQ105" s="1" t="s">
        <v>1093</v>
      </c>
      <c r="BR105">
        <v>85</v>
      </c>
      <c r="BS105">
        <v>27783172.899999999</v>
      </c>
      <c r="BT105" s="1" t="s">
        <v>295</v>
      </c>
      <c r="BU105" s="1" t="s">
        <v>359</v>
      </c>
      <c r="BV105">
        <v>449173</v>
      </c>
      <c r="BW105">
        <v>1.3502386529359537E-2</v>
      </c>
      <c r="BX105">
        <v>61.828509263532702</v>
      </c>
      <c r="BY105">
        <v>3.7666754576822465</v>
      </c>
      <c r="BZ105">
        <v>14.314734840992505</v>
      </c>
      <c r="CA105">
        <v>79.909919562207449</v>
      </c>
      <c r="CB105" s="1" t="s">
        <v>443</v>
      </c>
      <c r="CC105">
        <v>1</v>
      </c>
      <c r="CD105" s="1" t="s">
        <v>361</v>
      </c>
      <c r="CE105" s="1" t="s">
        <v>402</v>
      </c>
      <c r="CF105">
        <v>1101</v>
      </c>
      <c r="CG105" s="1" t="s">
        <v>300</v>
      </c>
      <c r="CH105" s="1" t="s">
        <v>301</v>
      </c>
      <c r="CI105" s="1" t="s">
        <v>302</v>
      </c>
      <c r="CJ105" s="1" t="s">
        <v>301</v>
      </c>
      <c r="CK105" s="1" t="s">
        <v>302</v>
      </c>
      <c r="CL105" s="1" t="s">
        <v>303</v>
      </c>
      <c r="CM105">
        <v>3601651117009</v>
      </c>
      <c r="CO105" s="1"/>
      <c r="CP105" s="1" t="s">
        <v>304</v>
      </c>
      <c r="CQ105" s="1" t="s">
        <v>766</v>
      </c>
      <c r="CR105" s="1" t="s">
        <v>505</v>
      </c>
      <c r="CS105">
        <v>5515</v>
      </c>
      <c r="CT105">
        <v>3080</v>
      </c>
      <c r="CU105">
        <v>3000</v>
      </c>
      <c r="CV105" s="1" t="s">
        <v>309</v>
      </c>
      <c r="CW105" s="1" t="s">
        <v>308</v>
      </c>
      <c r="CY105">
        <v>2435</v>
      </c>
      <c r="CZ105" t="s">
        <v>368</v>
      </c>
      <c r="DA105" s="1" t="s">
        <v>309</v>
      </c>
      <c r="DB105">
        <v>2435</v>
      </c>
      <c r="DC105">
        <v>2435</v>
      </c>
      <c r="DD105">
        <v>48</v>
      </c>
      <c r="DE105">
        <v>0</v>
      </c>
      <c r="DF105">
        <v>923</v>
      </c>
      <c r="DG105">
        <v>1512</v>
      </c>
      <c r="DH105">
        <v>0</v>
      </c>
      <c r="DI105">
        <v>0</v>
      </c>
      <c r="DJ105">
        <v>0</v>
      </c>
      <c r="DK105" s="1" t="s">
        <v>409</v>
      </c>
      <c r="DL105" s="1" t="s">
        <v>445</v>
      </c>
      <c r="DN105" s="1" t="s">
        <v>1095</v>
      </c>
      <c r="DO105">
        <v>650</v>
      </c>
      <c r="DP105">
        <v>0</v>
      </c>
      <c r="DQ105">
        <v>650</v>
      </c>
      <c r="DR105" s="1"/>
      <c r="DS105">
        <v>1000</v>
      </c>
      <c r="DT105">
        <v>99</v>
      </c>
      <c r="DU105">
        <v>326</v>
      </c>
      <c r="DV105">
        <v>200</v>
      </c>
      <c r="DW105" s="1" t="s">
        <v>371</v>
      </c>
      <c r="DX105">
        <v>15</v>
      </c>
      <c r="DZ105">
        <v>2</v>
      </c>
      <c r="EA105">
        <v>2</v>
      </c>
      <c r="EB105">
        <v>8</v>
      </c>
      <c r="EC105">
        <v>2</v>
      </c>
      <c r="ED105">
        <v>0</v>
      </c>
      <c r="EE105">
        <v>1</v>
      </c>
      <c r="EF105">
        <v>13</v>
      </c>
      <c r="EG105">
        <v>2015</v>
      </c>
      <c r="EI105" s="1"/>
      <c r="EJ105" s="1" t="s">
        <v>313</v>
      </c>
      <c r="EK105" s="1" t="s">
        <v>314</v>
      </c>
      <c r="EL105">
        <v>28</v>
      </c>
      <c r="EM105">
        <v>29</v>
      </c>
      <c r="EN105">
        <v>12</v>
      </c>
      <c r="EO105" s="1" t="s">
        <v>315</v>
      </c>
      <c r="EP105">
        <v>9</v>
      </c>
      <c r="EQ105">
        <v>150.97907750798689</v>
      </c>
      <c r="ER105" s="1" t="s">
        <v>411</v>
      </c>
      <c r="ES105">
        <v>4.7136990647880346</v>
      </c>
      <c r="ET105">
        <v>0</v>
      </c>
      <c r="EU105" s="1"/>
      <c r="EV105">
        <v>60.926319255319967</v>
      </c>
      <c r="EW105">
        <v>0</v>
      </c>
      <c r="EX105" t="s">
        <v>316</v>
      </c>
      <c r="EY105">
        <v>0</v>
      </c>
      <c r="EZ105" s="1" t="s">
        <v>1381</v>
      </c>
      <c r="FA105" s="2"/>
      <c r="FB105" s="1" t="s">
        <v>1548</v>
      </c>
      <c r="FC105">
        <v>1</v>
      </c>
      <c r="FD105" s="1"/>
      <c r="FE105" s="2">
        <v>42370</v>
      </c>
      <c r="FF105" s="1" t="s">
        <v>322</v>
      </c>
      <c r="FG105" s="1" t="s">
        <v>322</v>
      </c>
      <c r="FH105" s="1" t="s">
        <v>322</v>
      </c>
      <c r="FI105" s="1" t="s">
        <v>319</v>
      </c>
      <c r="FJ105" s="1" t="s">
        <v>319</v>
      </c>
      <c r="FK105" s="1" t="s">
        <v>1096</v>
      </c>
      <c r="FL105">
        <v>19.27</v>
      </c>
      <c r="FM105">
        <v>10953.17130124777</v>
      </c>
      <c r="FN105" s="1" t="s">
        <v>321</v>
      </c>
      <c r="FO105" s="1" t="s">
        <v>322</v>
      </c>
      <c r="FP105" s="1" t="s">
        <v>323</v>
      </c>
      <c r="FQ105" s="1" t="s">
        <v>324</v>
      </c>
      <c r="FR105" s="1" t="s">
        <v>325</v>
      </c>
      <c r="FS105" s="1"/>
      <c r="FT105" s="1" t="s">
        <v>666</v>
      </c>
      <c r="FV105" s="1" t="s">
        <v>322</v>
      </c>
      <c r="FW105" s="1" t="s">
        <v>322</v>
      </c>
      <c r="FX105" s="1" t="s">
        <v>322</v>
      </c>
      <c r="FY105" s="1"/>
      <c r="FZ105" s="1" t="s">
        <v>319</v>
      </c>
      <c r="GA105" s="1" t="s">
        <v>322</v>
      </c>
      <c r="GB105" s="1" t="s">
        <v>322</v>
      </c>
      <c r="GC105" s="1" t="s">
        <v>322</v>
      </c>
      <c r="GD105" s="1" t="s">
        <v>322</v>
      </c>
      <c r="GE105" s="1" t="s">
        <v>319</v>
      </c>
      <c r="GF105" s="1" t="s">
        <v>667</v>
      </c>
      <c r="GG105" s="1"/>
      <c r="GH105" s="1" t="s">
        <v>322</v>
      </c>
      <c r="GI105" s="1"/>
      <c r="GJ105" s="1" t="s">
        <v>322</v>
      </c>
      <c r="GK105" s="2">
        <v>42005</v>
      </c>
      <c r="GL105" s="1" t="s">
        <v>322</v>
      </c>
      <c r="GM105" s="1" t="s">
        <v>322</v>
      </c>
      <c r="GN105">
        <v>43116</v>
      </c>
      <c r="GO105" s="1" t="s">
        <v>322</v>
      </c>
      <c r="GP105">
        <v>2016</v>
      </c>
      <c r="GQ105" s="1" t="s">
        <v>1549</v>
      </c>
      <c r="GR105" s="1" t="s">
        <v>322</v>
      </c>
      <c r="GS105" s="1" t="s">
        <v>448</v>
      </c>
      <c r="GT105" s="1" t="s">
        <v>319</v>
      </c>
      <c r="GU105" s="1" t="s">
        <v>319</v>
      </c>
      <c r="GV105" s="1" t="s">
        <v>319</v>
      </c>
      <c r="GW105" s="1" t="s">
        <v>319</v>
      </c>
      <c r="GX105" s="1" t="s">
        <v>319</v>
      </c>
      <c r="GY105" s="1" t="s">
        <v>319</v>
      </c>
      <c r="GZ105" s="1" t="s">
        <v>319</v>
      </c>
      <c r="HA105" s="2">
        <v>44063</v>
      </c>
      <c r="HB105" s="2">
        <v>42660</v>
      </c>
      <c r="HC105" s="1"/>
      <c r="HD105" s="1"/>
      <c r="HE105" s="1"/>
      <c r="HF105" s="1"/>
      <c r="HG105" s="1"/>
      <c r="HH105" s="1"/>
      <c r="HI105" s="1" t="s">
        <v>322</v>
      </c>
      <c r="HJ105" s="1" t="s">
        <v>330</v>
      </c>
      <c r="HK105" s="2"/>
      <c r="HL105" s="1"/>
      <c r="HM105" s="1" t="s">
        <v>322</v>
      </c>
      <c r="HN105" s="1" t="s">
        <v>322</v>
      </c>
      <c r="HO105" s="1"/>
      <c r="HP105" s="1"/>
      <c r="HQ105" s="1"/>
      <c r="HR105" s="1"/>
      <c r="HS105" s="1"/>
      <c r="HT105" s="1"/>
      <c r="HU105" s="1" t="s">
        <v>331</v>
      </c>
      <c r="HV105">
        <v>4302692016</v>
      </c>
      <c r="HW105">
        <v>40638422</v>
      </c>
      <c r="HX105">
        <v>99102567666</v>
      </c>
      <c r="HY105" s="1" t="s">
        <v>1550</v>
      </c>
      <c r="HZ105">
        <v>4302701</v>
      </c>
      <c r="IA105">
        <v>4310792</v>
      </c>
      <c r="IB105" s="1" t="s">
        <v>1551</v>
      </c>
      <c r="IC105">
        <v>830118</v>
      </c>
      <c r="ID105" s="1" t="s">
        <v>1552</v>
      </c>
      <c r="IE105">
        <v>3.1</v>
      </c>
      <c r="IF105">
        <v>3</v>
      </c>
      <c r="IG105">
        <v>2.9</v>
      </c>
      <c r="IH105">
        <v>3.9</v>
      </c>
      <c r="II105">
        <v>4.87</v>
      </c>
      <c r="IJ105">
        <v>7</v>
      </c>
      <c r="IK105">
        <v>7</v>
      </c>
    </row>
    <row r="106" spans="1:245" x14ac:dyDescent="0.3">
      <c r="A106">
        <v>1952</v>
      </c>
      <c r="B106">
        <v>2451</v>
      </c>
      <c r="C106" s="1" t="s">
        <v>879</v>
      </c>
      <c r="D106" s="1" t="s">
        <v>642</v>
      </c>
      <c r="E106" t="s">
        <v>3275</v>
      </c>
      <c r="F106" s="1" t="s">
        <v>643</v>
      </c>
      <c r="G106" s="1" t="s">
        <v>644</v>
      </c>
      <c r="H106">
        <v>610920310</v>
      </c>
      <c r="I106" s="1" t="s">
        <v>880</v>
      </c>
      <c r="J106" s="1" t="s">
        <v>881</v>
      </c>
      <c r="K106">
        <v>633923117</v>
      </c>
      <c r="L106">
        <v>44074</v>
      </c>
      <c r="M106" s="1" t="s">
        <v>882</v>
      </c>
      <c r="N106" s="1" t="s">
        <v>883</v>
      </c>
      <c r="O106">
        <v>241033125</v>
      </c>
      <c r="P106" s="1" t="s">
        <v>884</v>
      </c>
      <c r="Q106" s="1" t="s">
        <v>723</v>
      </c>
      <c r="R106" s="1" t="s">
        <v>647</v>
      </c>
      <c r="S106" s="1" t="s">
        <v>882</v>
      </c>
      <c r="T106" s="1" t="s">
        <v>883</v>
      </c>
      <c r="U106">
        <v>241033125</v>
      </c>
      <c r="V106" s="1" t="s">
        <v>754</v>
      </c>
      <c r="W106" s="1" t="s">
        <v>645</v>
      </c>
      <c r="X106" s="1" t="s">
        <v>857</v>
      </c>
      <c r="Y106" s="1" t="s">
        <v>389</v>
      </c>
      <c r="Z106" s="1"/>
      <c r="AB106" s="1" t="s">
        <v>853</v>
      </c>
      <c r="AC106" s="1" t="s">
        <v>777</v>
      </c>
      <c r="AD106" s="1" t="s">
        <v>885</v>
      </c>
      <c r="AE106" s="1" t="s">
        <v>886</v>
      </c>
      <c r="AF106">
        <v>241033126</v>
      </c>
      <c r="AG106" s="1" t="s">
        <v>645</v>
      </c>
      <c r="AH106" s="1" t="s">
        <v>838</v>
      </c>
      <c r="AI106" s="1" t="s">
        <v>887</v>
      </c>
      <c r="AJ106" s="1" t="s">
        <v>888</v>
      </c>
      <c r="AK106">
        <v>241033124</v>
      </c>
      <c r="AL106" s="1" t="s">
        <v>748</v>
      </c>
      <c r="AM106" s="1" t="s">
        <v>685</v>
      </c>
      <c r="AN106" s="1" t="s">
        <v>524</v>
      </c>
      <c r="AO106" s="1"/>
      <c r="AQ106" s="1" t="s">
        <v>830</v>
      </c>
      <c r="AR106" s="1" t="s">
        <v>734</v>
      </c>
      <c r="AS106" s="1" t="s">
        <v>889</v>
      </c>
      <c r="AT106" s="1" t="s">
        <v>890</v>
      </c>
      <c r="AU106">
        <v>241033120</v>
      </c>
      <c r="AV106" s="1" t="s">
        <v>787</v>
      </c>
      <c r="AW106" s="1"/>
      <c r="AX106" s="1" t="s">
        <v>659</v>
      </c>
      <c r="AY106">
        <v>617425670</v>
      </c>
      <c r="AZ106" s="1" t="s">
        <v>660</v>
      </c>
      <c r="BA106">
        <v>678409252</v>
      </c>
      <c r="BB106" s="1" t="s">
        <v>891</v>
      </c>
      <c r="BC106" s="1" t="s">
        <v>892</v>
      </c>
      <c r="BD106">
        <v>49</v>
      </c>
      <c r="BE106">
        <v>241033120</v>
      </c>
      <c r="BF106">
        <v>47.277430000000003</v>
      </c>
      <c r="BG106">
        <v>-6.5009999999999998E-2</v>
      </c>
      <c r="BH106">
        <v>451647903</v>
      </c>
      <c r="BI106">
        <v>1437</v>
      </c>
      <c r="BJ106" s="2">
        <v>43201</v>
      </c>
      <c r="BK106" s="1" t="s">
        <v>3383</v>
      </c>
      <c r="BL106" s="1" t="s">
        <v>290</v>
      </c>
      <c r="BM106" s="1" t="s">
        <v>893</v>
      </c>
      <c r="BN106" s="1" t="s">
        <v>292</v>
      </c>
      <c r="BO106" s="1" t="s">
        <v>291</v>
      </c>
      <c r="BP106" s="1" t="s">
        <v>293</v>
      </c>
      <c r="BQ106" s="1" t="s">
        <v>294</v>
      </c>
      <c r="BR106">
        <v>80</v>
      </c>
      <c r="BS106">
        <v>12812624.49</v>
      </c>
      <c r="BT106" s="1" t="s">
        <v>295</v>
      </c>
      <c r="BU106" s="1" t="s">
        <v>663</v>
      </c>
      <c r="BV106">
        <v>197792</v>
      </c>
      <c r="BW106">
        <v>1.0971282908937192E-2</v>
      </c>
      <c r="BX106">
        <v>34.085646469308401</v>
      </c>
      <c r="BY106">
        <v>3.1833036636557428</v>
      </c>
      <c r="BZ106">
        <v>3.0958281136678316</v>
      </c>
      <c r="CA106">
        <v>40.364778246631971</v>
      </c>
      <c r="CB106" s="1"/>
      <c r="CC106">
        <v>1</v>
      </c>
      <c r="CD106" s="1" t="s">
        <v>298</v>
      </c>
      <c r="CE106" s="1" t="s">
        <v>361</v>
      </c>
      <c r="CF106">
        <v>1101</v>
      </c>
      <c r="CG106" s="1" t="s">
        <v>300</v>
      </c>
      <c r="CH106" s="1" t="s">
        <v>403</v>
      </c>
      <c r="CI106" s="1" t="s">
        <v>404</v>
      </c>
      <c r="CJ106" s="1" t="s">
        <v>301</v>
      </c>
      <c r="CK106" s="1" t="s">
        <v>302</v>
      </c>
      <c r="CL106" s="1" t="s">
        <v>527</v>
      </c>
      <c r="CM106">
        <v>3601651112004</v>
      </c>
      <c r="CO106" s="1"/>
      <c r="CP106" s="1" t="s">
        <v>894</v>
      </c>
      <c r="CQ106" s="1" t="s">
        <v>406</v>
      </c>
      <c r="CR106" s="1" t="s">
        <v>306</v>
      </c>
      <c r="CS106">
        <v>5350</v>
      </c>
      <c r="CT106">
        <v>3250</v>
      </c>
      <c r="CU106">
        <v>3000</v>
      </c>
      <c r="CV106" s="1" t="s">
        <v>309</v>
      </c>
      <c r="CW106" s="1" t="s">
        <v>308</v>
      </c>
      <c r="CY106">
        <v>2100</v>
      </c>
      <c r="CZ106" t="s">
        <v>368</v>
      </c>
      <c r="DA106" s="1" t="s">
        <v>309</v>
      </c>
      <c r="DB106">
        <v>2100</v>
      </c>
      <c r="DC106">
        <v>2100</v>
      </c>
      <c r="DD106">
        <v>0</v>
      </c>
      <c r="DE106">
        <v>0</v>
      </c>
      <c r="DF106">
        <v>650</v>
      </c>
      <c r="DG106">
        <v>1450</v>
      </c>
      <c r="DH106">
        <v>0</v>
      </c>
      <c r="DI106">
        <v>0</v>
      </c>
      <c r="DJ106">
        <v>0</v>
      </c>
      <c r="DK106" s="1" t="s">
        <v>310</v>
      </c>
      <c r="DL106" s="1" t="s">
        <v>311</v>
      </c>
      <c r="DN106" s="1"/>
      <c r="DO106">
        <v>800</v>
      </c>
      <c r="DP106">
        <v>800</v>
      </c>
      <c r="DQ106">
        <v>0</v>
      </c>
      <c r="DR106" s="1"/>
      <c r="DS106">
        <v>510</v>
      </c>
      <c r="DT106">
        <v>97</v>
      </c>
      <c r="DU106">
        <v>270</v>
      </c>
      <c r="DV106">
        <v>109</v>
      </c>
      <c r="DW106" s="1" t="s">
        <v>371</v>
      </c>
      <c r="DY106">
        <v>2018</v>
      </c>
      <c r="DZ106">
        <v>2</v>
      </c>
      <c r="EA106">
        <v>2</v>
      </c>
      <c r="EB106">
        <v>5</v>
      </c>
      <c r="EC106">
        <v>2</v>
      </c>
      <c r="ED106">
        <v>0</v>
      </c>
      <c r="EE106">
        <v>0</v>
      </c>
      <c r="EF106">
        <v>9</v>
      </c>
      <c r="EG106">
        <v>2017</v>
      </c>
      <c r="EI106" s="1"/>
      <c r="EJ106" s="1" t="s">
        <v>313</v>
      </c>
      <c r="EK106" s="1" t="s">
        <v>314</v>
      </c>
      <c r="EL106">
        <v>28</v>
      </c>
      <c r="EM106">
        <v>28</v>
      </c>
      <c r="EN106">
        <v>12</v>
      </c>
      <c r="EO106" s="1" t="s">
        <v>315</v>
      </c>
      <c r="EP106">
        <v>25</v>
      </c>
      <c r="EQ106">
        <v>80.439228542266648</v>
      </c>
      <c r="ER106" s="1" t="s">
        <v>316</v>
      </c>
      <c r="ES106">
        <v>2.6560122631880492</v>
      </c>
      <c r="ET106">
        <v>0</v>
      </c>
      <c r="EU106" s="1"/>
      <c r="EV106">
        <v>108.01116536964734</v>
      </c>
      <c r="EW106">
        <v>0</v>
      </c>
      <c r="EX106" t="s">
        <v>316</v>
      </c>
      <c r="EY106">
        <v>0</v>
      </c>
      <c r="EZ106" s="1" t="s">
        <v>412</v>
      </c>
      <c r="FA106" s="2">
        <v>43101</v>
      </c>
      <c r="FB106" s="1" t="s">
        <v>413</v>
      </c>
      <c r="FC106">
        <v>1</v>
      </c>
      <c r="FD106" s="1"/>
      <c r="FE106" s="2"/>
      <c r="FF106" s="1"/>
      <c r="FG106" s="1" t="s">
        <v>322</v>
      </c>
      <c r="FH106" s="1" t="s">
        <v>322</v>
      </c>
      <c r="FI106" s="1" t="s">
        <v>322</v>
      </c>
      <c r="FJ106" s="1" t="s">
        <v>322</v>
      </c>
      <c r="FK106" s="1" t="s">
        <v>373</v>
      </c>
      <c r="FL106">
        <v>18.59</v>
      </c>
      <c r="FN106" s="1" t="s">
        <v>321</v>
      </c>
      <c r="FO106" s="1" t="s">
        <v>322</v>
      </c>
      <c r="FP106" s="1" t="s">
        <v>323</v>
      </c>
      <c r="FQ106" s="1" t="s">
        <v>324</v>
      </c>
      <c r="FR106" s="1" t="s">
        <v>325</v>
      </c>
      <c r="FS106" s="1"/>
      <c r="FT106" s="1" t="s">
        <v>326</v>
      </c>
      <c r="FU106">
        <v>494198191</v>
      </c>
      <c r="FV106" s="1" t="s">
        <v>322</v>
      </c>
      <c r="FW106" s="1" t="s">
        <v>322</v>
      </c>
      <c r="FX106" s="1" t="s">
        <v>322</v>
      </c>
      <c r="FY106" s="1" t="s">
        <v>322</v>
      </c>
      <c r="FZ106" s="1" t="s">
        <v>319</v>
      </c>
      <c r="GA106" s="1" t="s">
        <v>322</v>
      </c>
      <c r="GB106" s="1" t="s">
        <v>322</v>
      </c>
      <c r="GC106" s="1" t="s">
        <v>322</v>
      </c>
      <c r="GD106" s="1" t="s">
        <v>319</v>
      </c>
      <c r="GE106" s="1" t="s">
        <v>322</v>
      </c>
      <c r="GF106" s="1" t="s">
        <v>667</v>
      </c>
      <c r="GG106" s="1"/>
      <c r="GH106" s="1" t="s">
        <v>322</v>
      </c>
      <c r="GI106" s="1"/>
      <c r="GJ106" s="1" t="s">
        <v>322</v>
      </c>
      <c r="GK106" s="2">
        <v>43101</v>
      </c>
      <c r="GL106" s="1" t="s">
        <v>322</v>
      </c>
      <c r="GM106" s="1" t="s">
        <v>330</v>
      </c>
      <c r="GO106" s="1" t="s">
        <v>319</v>
      </c>
      <c r="GQ106" s="1"/>
      <c r="GR106" s="1"/>
      <c r="GS106" s="1"/>
      <c r="GT106" s="1" t="s">
        <v>319</v>
      </c>
      <c r="GU106" s="1" t="s">
        <v>319</v>
      </c>
      <c r="GV106" s="1" t="s">
        <v>319</v>
      </c>
      <c r="GW106" s="1" t="s">
        <v>319</v>
      </c>
      <c r="GX106" s="1" t="s">
        <v>319</v>
      </c>
      <c r="GY106" s="1" t="s">
        <v>319</v>
      </c>
      <c r="GZ106" s="1" t="s">
        <v>319</v>
      </c>
      <c r="HA106" s="2">
        <v>44091</v>
      </c>
      <c r="HB106" s="2">
        <v>43201</v>
      </c>
      <c r="HC106" s="1"/>
      <c r="HD106" s="1"/>
      <c r="HE106" s="1"/>
      <c r="HF106" s="1"/>
      <c r="HG106" s="1"/>
      <c r="HH106" s="1" t="s">
        <v>322</v>
      </c>
      <c r="HI106" s="1"/>
      <c r="HJ106" s="1" t="s">
        <v>794</v>
      </c>
      <c r="HK106" s="2">
        <v>43101</v>
      </c>
      <c r="HL106" s="1"/>
      <c r="HM106" s="1" t="s">
        <v>322</v>
      </c>
      <c r="HN106" s="1" t="s">
        <v>322</v>
      </c>
      <c r="HO106" s="1"/>
      <c r="HP106" s="1"/>
      <c r="HQ106" s="1"/>
      <c r="HR106" s="1"/>
      <c r="HS106" s="1"/>
      <c r="HT106" s="1"/>
      <c r="HU106" s="1" t="s">
        <v>331</v>
      </c>
      <c r="HW106">
        <v>40638132</v>
      </c>
      <c r="HX106">
        <v>99102519932</v>
      </c>
      <c r="HY106" s="1" t="s">
        <v>895</v>
      </c>
      <c r="IB106" s="1" t="s">
        <v>896</v>
      </c>
      <c r="IC106">
        <v>808925</v>
      </c>
      <c r="ID106" s="1" t="s">
        <v>897</v>
      </c>
      <c r="IE106">
        <v>0</v>
      </c>
      <c r="IF106">
        <v>0</v>
      </c>
      <c r="IG106">
        <v>0</v>
      </c>
      <c r="IH106">
        <v>3.96</v>
      </c>
      <c r="II106">
        <v>3.16</v>
      </c>
      <c r="IJ106">
        <v>1.56</v>
      </c>
      <c r="IK106">
        <v>1.56</v>
      </c>
    </row>
    <row r="107" spans="1:245" x14ac:dyDescent="0.3">
      <c r="A107">
        <v>1940</v>
      </c>
      <c r="B107">
        <v>2441</v>
      </c>
      <c r="C107" s="1" t="s">
        <v>3029</v>
      </c>
      <c r="D107" s="1" t="s">
        <v>2861</v>
      </c>
      <c r="E107" t="s">
        <v>3275</v>
      </c>
      <c r="F107" s="1" t="s">
        <v>2862</v>
      </c>
      <c r="G107" s="1" t="s">
        <v>2863</v>
      </c>
      <c r="H107">
        <v>610902271</v>
      </c>
      <c r="I107" s="1" t="s">
        <v>3030</v>
      </c>
      <c r="J107" s="1" t="s">
        <v>3031</v>
      </c>
      <c r="L107">
        <v>42957</v>
      </c>
      <c r="M107" s="1" t="s">
        <v>3032</v>
      </c>
      <c r="N107" s="1" t="s">
        <v>3033</v>
      </c>
      <c r="O107">
        <v>769088479</v>
      </c>
      <c r="P107" s="1" t="s">
        <v>884</v>
      </c>
      <c r="Q107" s="1" t="s">
        <v>2864</v>
      </c>
      <c r="R107" s="1" t="s">
        <v>2866</v>
      </c>
      <c r="S107" s="1" t="s">
        <v>3034</v>
      </c>
      <c r="T107" s="1" t="s">
        <v>3033</v>
      </c>
      <c r="U107">
        <v>769088479</v>
      </c>
      <c r="V107" s="1" t="s">
        <v>754</v>
      </c>
      <c r="W107" s="1" t="s">
        <v>1730</v>
      </c>
      <c r="X107" s="1" t="s">
        <v>2965</v>
      </c>
      <c r="Y107" s="1" t="s">
        <v>389</v>
      </c>
      <c r="Z107" s="1"/>
      <c r="AB107" s="1" t="s">
        <v>2984</v>
      </c>
      <c r="AC107" s="1" t="s">
        <v>2990</v>
      </c>
      <c r="AD107" s="1" t="s">
        <v>3035</v>
      </c>
      <c r="AE107" s="1" t="s">
        <v>3036</v>
      </c>
      <c r="AF107">
        <v>492302135</v>
      </c>
      <c r="AG107" s="1" t="s">
        <v>2940</v>
      </c>
      <c r="AH107" s="1" t="s">
        <v>2874</v>
      </c>
      <c r="AI107" s="1" t="s">
        <v>3037</v>
      </c>
      <c r="AJ107" s="1" t="s">
        <v>3038</v>
      </c>
      <c r="AK107">
        <v>492302134</v>
      </c>
      <c r="AL107" s="1" t="s">
        <v>3030</v>
      </c>
      <c r="AM107" s="1" t="s">
        <v>2971</v>
      </c>
      <c r="AN107" s="1" t="s">
        <v>3039</v>
      </c>
      <c r="AO107" s="1" t="s">
        <v>3040</v>
      </c>
      <c r="AP107">
        <v>492302132</v>
      </c>
      <c r="AQ107" s="1" t="s">
        <v>2961</v>
      </c>
      <c r="AR107" s="1" t="s">
        <v>2877</v>
      </c>
      <c r="AS107" s="1" t="s">
        <v>524</v>
      </c>
      <c r="AT107" s="1"/>
      <c r="AV107" s="1" t="s">
        <v>2917</v>
      </c>
      <c r="AW107" s="1" t="s">
        <v>2998</v>
      </c>
      <c r="AX107" s="1" t="s">
        <v>2881</v>
      </c>
      <c r="AY107">
        <v>621287385</v>
      </c>
      <c r="AZ107" s="1" t="s">
        <v>2882</v>
      </c>
      <c r="BA107">
        <v>784179657</v>
      </c>
      <c r="BB107" s="1" t="s">
        <v>3041</v>
      </c>
      <c r="BC107" s="1" t="s">
        <v>3042</v>
      </c>
      <c r="BD107">
        <v>4</v>
      </c>
      <c r="BE107">
        <v>492302130</v>
      </c>
      <c r="BF107">
        <v>44.235583401996799</v>
      </c>
      <c r="BG107">
        <v>5.9113901853561401</v>
      </c>
      <c r="BH107">
        <v>451647903</v>
      </c>
      <c r="BI107">
        <v>1387</v>
      </c>
      <c r="BJ107" s="2">
        <v>41956</v>
      </c>
      <c r="BK107" s="1" t="s">
        <v>3413</v>
      </c>
      <c r="BL107" s="1" t="s">
        <v>290</v>
      </c>
      <c r="BM107" s="1" t="s">
        <v>291</v>
      </c>
      <c r="BN107" s="1" t="s">
        <v>292</v>
      </c>
      <c r="BO107" s="1" t="s">
        <v>291</v>
      </c>
      <c r="BP107" s="1" t="s">
        <v>293</v>
      </c>
      <c r="BQ107" s="1" t="s">
        <v>294</v>
      </c>
      <c r="BR107">
        <v>80</v>
      </c>
      <c r="BS107">
        <v>16496236.810000001</v>
      </c>
      <c r="BT107" s="1" t="s">
        <v>295</v>
      </c>
      <c r="BU107" s="1" t="s">
        <v>663</v>
      </c>
      <c r="BV107">
        <v>213716</v>
      </c>
      <c r="BW107">
        <v>9.8766437213107482E-3</v>
      </c>
      <c r="BX107">
        <v>37.228522450055998</v>
      </c>
      <c r="BY107">
        <v>3.3213940352959277</v>
      </c>
      <c r="BZ107">
        <v>6.2777268631458645</v>
      </c>
      <c r="CA107">
        <v>46.827643348497794</v>
      </c>
      <c r="CB107" s="1" t="s">
        <v>360</v>
      </c>
      <c r="CC107">
        <v>1</v>
      </c>
      <c r="CD107" s="1" t="s">
        <v>298</v>
      </c>
      <c r="CE107" s="1" t="s">
        <v>504</v>
      </c>
      <c r="CF107">
        <v>1106</v>
      </c>
      <c r="CG107" s="1" t="s">
        <v>362</v>
      </c>
      <c r="CH107" s="1" t="s">
        <v>363</v>
      </c>
      <c r="CI107" s="1" t="s">
        <v>364</v>
      </c>
      <c r="CJ107" s="1" t="s">
        <v>363</v>
      </c>
      <c r="CK107" s="1" t="s">
        <v>364</v>
      </c>
      <c r="CL107" s="1" t="s">
        <v>2673</v>
      </c>
      <c r="CM107">
        <v>3601651111007</v>
      </c>
      <c r="CO107" s="1"/>
      <c r="CP107" s="1" t="s">
        <v>444</v>
      </c>
      <c r="CQ107" s="1" t="s">
        <v>406</v>
      </c>
      <c r="CR107" s="1" t="s">
        <v>505</v>
      </c>
      <c r="CS107">
        <v>5952</v>
      </c>
      <c r="CT107">
        <v>2532</v>
      </c>
      <c r="CU107">
        <v>2500</v>
      </c>
      <c r="CV107" s="1" t="s">
        <v>584</v>
      </c>
      <c r="CW107" s="1" t="s">
        <v>308</v>
      </c>
      <c r="CY107">
        <v>3420</v>
      </c>
      <c r="CZ107">
        <v>3500</v>
      </c>
      <c r="DA107" s="1" t="s">
        <v>307</v>
      </c>
      <c r="DB107">
        <v>3420</v>
      </c>
      <c r="DC107">
        <v>3420</v>
      </c>
      <c r="DD107">
        <v>0</v>
      </c>
      <c r="DE107">
        <v>0</v>
      </c>
      <c r="DF107">
        <v>0</v>
      </c>
      <c r="DG107">
        <v>3420</v>
      </c>
      <c r="DH107">
        <v>0</v>
      </c>
      <c r="DI107">
        <v>0</v>
      </c>
      <c r="DJ107">
        <v>0</v>
      </c>
      <c r="DK107" s="1" t="s">
        <v>369</v>
      </c>
      <c r="DL107" s="1" t="s">
        <v>370</v>
      </c>
      <c r="DN107" s="1"/>
      <c r="DO107">
        <v>760</v>
      </c>
      <c r="DP107">
        <v>0</v>
      </c>
      <c r="DQ107">
        <v>760</v>
      </c>
      <c r="DR107" s="1"/>
      <c r="DS107">
        <v>400</v>
      </c>
      <c r="DT107">
        <v>90</v>
      </c>
      <c r="DU107">
        <v>260</v>
      </c>
      <c r="DV107">
        <v>276</v>
      </c>
      <c r="DW107" s="1" t="s">
        <v>371</v>
      </c>
      <c r="DX107">
        <v>15</v>
      </c>
      <c r="DZ107">
        <v>2</v>
      </c>
      <c r="EA107">
        <v>2</v>
      </c>
      <c r="EB107">
        <v>6</v>
      </c>
      <c r="EC107">
        <v>2</v>
      </c>
      <c r="ED107">
        <v>0</v>
      </c>
      <c r="EE107">
        <v>1</v>
      </c>
      <c r="EF107">
        <v>11</v>
      </c>
      <c r="EG107">
        <v>2014</v>
      </c>
      <c r="EI107" s="1"/>
      <c r="EJ107" s="1" t="s">
        <v>313</v>
      </c>
      <c r="EK107" s="1" t="s">
        <v>314</v>
      </c>
      <c r="EL107">
        <v>12</v>
      </c>
      <c r="EM107">
        <v>11</v>
      </c>
      <c r="EO107" s="1" t="s">
        <v>664</v>
      </c>
      <c r="EP107">
        <v>7</v>
      </c>
      <c r="EQ107">
        <v>59.493615395695166</v>
      </c>
      <c r="ER107" s="1" t="s">
        <v>316</v>
      </c>
      <c r="ES107">
        <v>7.5149829973509688</v>
      </c>
      <c r="ET107">
        <v>0</v>
      </c>
      <c r="EU107" s="1"/>
      <c r="EV107">
        <v>144.66342269900616</v>
      </c>
      <c r="EW107">
        <v>0</v>
      </c>
      <c r="EX107" t="s">
        <v>316</v>
      </c>
      <c r="EY107">
        <v>0</v>
      </c>
      <c r="EZ107" s="1" t="s">
        <v>317</v>
      </c>
      <c r="FA107" s="2"/>
      <c r="FB107" s="1" t="s">
        <v>318</v>
      </c>
      <c r="FC107">
        <v>1</v>
      </c>
      <c r="FD107" s="1"/>
      <c r="FE107" s="2"/>
      <c r="FF107" s="1"/>
      <c r="FG107" s="1"/>
      <c r="FH107" s="1" t="s">
        <v>319</v>
      </c>
      <c r="FI107" s="1" t="s">
        <v>319</v>
      </c>
      <c r="FJ107" s="1" t="s">
        <v>319</v>
      </c>
      <c r="FK107" s="1" t="s">
        <v>1143</v>
      </c>
      <c r="FL107">
        <v>18.97</v>
      </c>
      <c r="FM107">
        <v>4206.8289855072462</v>
      </c>
      <c r="FN107" s="1" t="s">
        <v>321</v>
      </c>
      <c r="FO107" s="1" t="s">
        <v>319</v>
      </c>
      <c r="FP107" s="1" t="s">
        <v>323</v>
      </c>
      <c r="FQ107" s="1" t="s">
        <v>324</v>
      </c>
      <c r="FR107" s="1" t="s">
        <v>325</v>
      </c>
      <c r="FS107" s="1"/>
      <c r="FT107" s="1" t="s">
        <v>666</v>
      </c>
      <c r="FV107" s="1" t="s">
        <v>319</v>
      </c>
      <c r="FW107" s="1" t="s">
        <v>322</v>
      </c>
      <c r="FX107" s="1" t="s">
        <v>322</v>
      </c>
      <c r="FY107" s="1"/>
      <c r="FZ107" s="1" t="s">
        <v>319</v>
      </c>
      <c r="GA107" s="1" t="s">
        <v>322</v>
      </c>
      <c r="GB107" s="1" t="s">
        <v>322</v>
      </c>
      <c r="GC107" s="1" t="s">
        <v>322</v>
      </c>
      <c r="GD107" s="1" t="s">
        <v>319</v>
      </c>
      <c r="GE107" s="1" t="s">
        <v>322</v>
      </c>
      <c r="GF107" s="1" t="s">
        <v>667</v>
      </c>
      <c r="GG107" s="1"/>
      <c r="GH107" s="1" t="s">
        <v>322</v>
      </c>
      <c r="GI107" s="1"/>
      <c r="GJ107" s="1" t="s">
        <v>322</v>
      </c>
      <c r="GK107" s="2">
        <v>42370</v>
      </c>
      <c r="GL107" s="1" t="s">
        <v>322</v>
      </c>
      <c r="GM107" s="1" t="s">
        <v>322</v>
      </c>
      <c r="GN107">
        <v>42989</v>
      </c>
      <c r="GO107" s="1" t="s">
        <v>322</v>
      </c>
      <c r="GP107">
        <v>41957</v>
      </c>
      <c r="GQ107" s="1" t="s">
        <v>1425</v>
      </c>
      <c r="GR107" s="1" t="s">
        <v>322</v>
      </c>
      <c r="GS107" s="1" t="s">
        <v>448</v>
      </c>
      <c r="GT107" s="1" t="s">
        <v>319</v>
      </c>
      <c r="GU107" s="1" t="s">
        <v>319</v>
      </c>
      <c r="GV107" s="1" t="s">
        <v>319</v>
      </c>
      <c r="GW107" s="1" t="s">
        <v>319</v>
      </c>
      <c r="GX107" s="1" t="s">
        <v>319</v>
      </c>
      <c r="GY107" s="1" t="s">
        <v>319</v>
      </c>
      <c r="GZ107" s="1" t="s">
        <v>319</v>
      </c>
      <c r="HA107" s="2">
        <v>44068</v>
      </c>
      <c r="HB107" s="2">
        <v>42887</v>
      </c>
      <c r="HC107" s="1"/>
      <c r="HD107" s="1"/>
      <c r="HE107" s="1"/>
      <c r="HF107" s="1"/>
      <c r="HG107" s="1"/>
      <c r="HH107" s="1"/>
      <c r="HI107" s="1" t="s">
        <v>322</v>
      </c>
      <c r="HJ107" s="1" t="s">
        <v>330</v>
      </c>
      <c r="HK107" s="2"/>
      <c r="HL107" s="1"/>
      <c r="HM107" s="1" t="s">
        <v>322</v>
      </c>
      <c r="HN107" s="1" t="s">
        <v>322</v>
      </c>
      <c r="HO107" s="1"/>
      <c r="HP107" s="1"/>
      <c r="HQ107" s="1"/>
      <c r="HR107" s="1"/>
      <c r="HS107" s="1"/>
      <c r="HT107" s="1"/>
      <c r="HU107" s="1" t="s">
        <v>331</v>
      </c>
      <c r="HV107">
        <v>4378964012</v>
      </c>
      <c r="HW107">
        <v>40639083</v>
      </c>
      <c r="HX107">
        <v>99102571033</v>
      </c>
      <c r="HY107" s="1" t="s">
        <v>3043</v>
      </c>
      <c r="HZ107">
        <v>4379039</v>
      </c>
      <c r="IA107">
        <v>4331117</v>
      </c>
      <c r="IB107" s="1" t="s">
        <v>3044</v>
      </c>
      <c r="IC107">
        <v>830164</v>
      </c>
      <c r="ID107" s="1" t="s">
        <v>3045</v>
      </c>
      <c r="IF107">
        <v>3</v>
      </c>
      <c r="IG107">
        <v>2.2000000000000002</v>
      </c>
      <c r="IH107">
        <v>1.94</v>
      </c>
      <c r="II107">
        <v>2.94</v>
      </c>
      <c r="IJ107">
        <v>4.9400000000000004</v>
      </c>
      <c r="IK107">
        <v>4.9400000000000004</v>
      </c>
    </row>
    <row r="108" spans="1:245" x14ac:dyDescent="0.3">
      <c r="A108">
        <v>1775</v>
      </c>
      <c r="B108">
        <v>2389</v>
      </c>
      <c r="C108" s="1" t="s">
        <v>2610</v>
      </c>
      <c r="D108" s="1" t="s">
        <v>2414</v>
      </c>
      <c r="E108" t="s">
        <v>3275</v>
      </c>
      <c r="F108" s="1" t="s">
        <v>2415</v>
      </c>
      <c r="G108" s="1" t="s">
        <v>2416</v>
      </c>
      <c r="H108">
        <v>782575744</v>
      </c>
      <c r="I108" s="1" t="s">
        <v>2611</v>
      </c>
      <c r="J108" s="1" t="s">
        <v>2612</v>
      </c>
      <c r="L108">
        <v>44200</v>
      </c>
      <c r="M108" s="1" t="s">
        <v>2613</v>
      </c>
      <c r="N108" s="1" t="s">
        <v>2614</v>
      </c>
      <c r="O108">
        <v>296798888</v>
      </c>
      <c r="P108" s="1" t="s">
        <v>273</v>
      </c>
      <c r="Q108" s="1" t="s">
        <v>2634</v>
      </c>
      <c r="R108" s="1" t="s">
        <v>2572</v>
      </c>
      <c r="S108" s="1" t="s">
        <v>2615</v>
      </c>
      <c r="T108" s="1" t="s">
        <v>2616</v>
      </c>
      <c r="U108">
        <v>296798889</v>
      </c>
      <c r="V108" s="1" t="s">
        <v>276</v>
      </c>
      <c r="W108" s="1" t="s">
        <v>2634</v>
      </c>
      <c r="X108" s="1" t="s">
        <v>2638</v>
      </c>
      <c r="Y108" s="1" t="s">
        <v>389</v>
      </c>
      <c r="Z108" s="1"/>
      <c r="AB108" s="1" t="s">
        <v>2460</v>
      </c>
      <c r="AC108" s="1" t="s">
        <v>2534</v>
      </c>
      <c r="AD108" s="1" t="s">
        <v>2617</v>
      </c>
      <c r="AE108" s="1" t="s">
        <v>2618</v>
      </c>
      <c r="AF108">
        <v>296798885</v>
      </c>
      <c r="AG108" s="1" t="s">
        <v>2417</v>
      </c>
      <c r="AH108" s="1" t="s">
        <v>2466</v>
      </c>
      <c r="AI108" s="1" t="s">
        <v>2619</v>
      </c>
      <c r="AJ108" s="1" t="s">
        <v>2620</v>
      </c>
      <c r="AK108">
        <v>296798886</v>
      </c>
      <c r="AL108" s="1" t="s">
        <v>2480</v>
      </c>
      <c r="AM108" s="1" t="s">
        <v>2619</v>
      </c>
      <c r="AN108" s="1" t="s">
        <v>2621</v>
      </c>
      <c r="AO108" s="1" t="s">
        <v>2622</v>
      </c>
      <c r="AP108">
        <v>296798883</v>
      </c>
      <c r="AQ108" s="1" t="s">
        <v>2570</v>
      </c>
      <c r="AR108" s="1" t="s">
        <v>2646</v>
      </c>
      <c r="AS108" s="1" t="s">
        <v>2623</v>
      </c>
      <c r="AT108" s="1" t="s">
        <v>2624</v>
      </c>
      <c r="AU108">
        <v>296798887</v>
      </c>
      <c r="AV108" s="1" t="s">
        <v>2611</v>
      </c>
      <c r="AW108" s="1" t="s">
        <v>2625</v>
      </c>
      <c r="AX108" s="1" t="s">
        <v>2429</v>
      </c>
      <c r="AY108">
        <v>624644373</v>
      </c>
      <c r="AZ108" s="1" t="s">
        <v>2430</v>
      </c>
      <c r="BB108" s="1" t="s">
        <v>2626</v>
      </c>
      <c r="BC108" s="1" t="s">
        <v>2627</v>
      </c>
      <c r="BD108">
        <v>22</v>
      </c>
      <c r="BE108">
        <v>296792400</v>
      </c>
      <c r="BF108">
        <v>48.5357666015625</v>
      </c>
      <c r="BG108">
        <v>-2.75567626953125</v>
      </c>
      <c r="BH108">
        <v>451647903</v>
      </c>
      <c r="BI108">
        <v>801</v>
      </c>
      <c r="BJ108" s="2">
        <v>38889</v>
      </c>
      <c r="BK108" s="1" t="s">
        <v>1245</v>
      </c>
      <c r="BL108" s="1" t="s">
        <v>290</v>
      </c>
      <c r="BM108" s="1" t="s">
        <v>291</v>
      </c>
      <c r="BN108" s="1" t="s">
        <v>292</v>
      </c>
      <c r="BO108" s="1" t="s">
        <v>291</v>
      </c>
      <c r="BP108" s="1" t="s">
        <v>293</v>
      </c>
      <c r="BQ108" s="1" t="s">
        <v>294</v>
      </c>
      <c r="BR108">
        <v>72.5</v>
      </c>
      <c r="BS108">
        <v>25498684.690000001</v>
      </c>
      <c r="BT108" s="1" t="s">
        <v>295</v>
      </c>
      <c r="BU108" s="1" t="s">
        <v>296</v>
      </c>
      <c r="BV108">
        <v>385257</v>
      </c>
      <c r="BW108">
        <v>1.283666626613875E-2</v>
      </c>
      <c r="BX108">
        <v>56.428562009626198</v>
      </c>
      <c r="BY108">
        <v>0.71667106217445742</v>
      </c>
      <c r="BZ108">
        <v>9.7476604909782196</v>
      </c>
      <c r="CA108">
        <v>66.89289356277888</v>
      </c>
      <c r="CB108" s="1" t="s">
        <v>297</v>
      </c>
      <c r="CC108">
        <v>1</v>
      </c>
      <c r="CD108" s="1" t="s">
        <v>298</v>
      </c>
      <c r="CE108" s="1" t="s">
        <v>504</v>
      </c>
      <c r="CF108">
        <v>1101</v>
      </c>
      <c r="CG108" s="1" t="s">
        <v>300</v>
      </c>
      <c r="CH108" s="1" t="s">
        <v>403</v>
      </c>
      <c r="CI108" s="1" t="s">
        <v>404</v>
      </c>
      <c r="CJ108" s="1" t="s">
        <v>301</v>
      </c>
      <c r="CK108" s="1" t="s">
        <v>302</v>
      </c>
      <c r="CL108" s="1" t="s">
        <v>527</v>
      </c>
      <c r="CM108">
        <v>3601651112004</v>
      </c>
      <c r="CO108" s="1"/>
      <c r="CP108" s="1" t="s">
        <v>444</v>
      </c>
      <c r="CQ108" s="1" t="s">
        <v>556</v>
      </c>
      <c r="CR108" s="1" t="s">
        <v>306</v>
      </c>
      <c r="CS108">
        <v>7106</v>
      </c>
      <c r="CT108">
        <v>3900</v>
      </c>
      <c r="CU108">
        <v>3700</v>
      </c>
      <c r="CV108" s="1" t="s">
        <v>307</v>
      </c>
      <c r="CW108" s="1" t="s">
        <v>308</v>
      </c>
      <c r="CY108">
        <v>3206</v>
      </c>
      <c r="CZ108">
        <v>3000</v>
      </c>
      <c r="DA108" s="1" t="s">
        <v>309</v>
      </c>
      <c r="DB108">
        <v>3206</v>
      </c>
      <c r="DC108">
        <v>3206</v>
      </c>
      <c r="DD108">
        <v>0</v>
      </c>
      <c r="DE108">
        <v>0</v>
      </c>
      <c r="DF108">
        <v>856</v>
      </c>
      <c r="DG108">
        <v>2350</v>
      </c>
      <c r="DH108">
        <v>0</v>
      </c>
      <c r="DI108">
        <v>0</v>
      </c>
      <c r="DJ108">
        <v>0</v>
      </c>
      <c r="DK108" s="1" t="s">
        <v>369</v>
      </c>
      <c r="DL108" s="1"/>
      <c r="DN108" s="1"/>
      <c r="DO108">
        <v>1065</v>
      </c>
      <c r="DP108">
        <v>0</v>
      </c>
      <c r="DQ108">
        <v>1065</v>
      </c>
      <c r="DR108" s="1" t="s">
        <v>479</v>
      </c>
      <c r="DS108">
        <v>600</v>
      </c>
      <c r="DT108">
        <v>102</v>
      </c>
      <c r="DU108">
        <v>337</v>
      </c>
      <c r="DV108">
        <v>435</v>
      </c>
      <c r="DW108" s="1" t="s">
        <v>371</v>
      </c>
      <c r="DX108">
        <v>17</v>
      </c>
      <c r="DZ108">
        <v>2</v>
      </c>
      <c r="EA108">
        <v>2</v>
      </c>
      <c r="EB108">
        <v>10</v>
      </c>
      <c r="EC108">
        <v>2</v>
      </c>
      <c r="ED108">
        <v>0</v>
      </c>
      <c r="EE108">
        <v>0</v>
      </c>
      <c r="EF108">
        <v>14</v>
      </c>
      <c r="EG108">
        <v>2012</v>
      </c>
      <c r="EI108" s="1"/>
      <c r="EJ108" s="1" t="s">
        <v>313</v>
      </c>
      <c r="EK108" s="1" t="s">
        <v>314</v>
      </c>
      <c r="EL108">
        <v>30</v>
      </c>
      <c r="EM108">
        <v>26</v>
      </c>
      <c r="EN108">
        <v>13</v>
      </c>
      <c r="EO108" s="1" t="s">
        <v>315</v>
      </c>
      <c r="EP108">
        <v>18</v>
      </c>
      <c r="EQ108">
        <v>84.983011845246438</v>
      </c>
      <c r="ER108" s="1" t="s">
        <v>316</v>
      </c>
      <c r="ES108">
        <v>1.1826661688205271</v>
      </c>
      <c r="ET108">
        <v>0</v>
      </c>
      <c r="EU108" s="1"/>
      <c r="EV108">
        <v>136.68241865368663</v>
      </c>
      <c r="EW108">
        <v>2</v>
      </c>
      <c r="EX108" t="s">
        <v>316</v>
      </c>
      <c r="EY108">
        <v>2</v>
      </c>
      <c r="EZ108" s="1" t="s">
        <v>317</v>
      </c>
      <c r="FA108" s="2"/>
      <c r="FB108" s="1" t="s">
        <v>318</v>
      </c>
      <c r="FC108">
        <v>1</v>
      </c>
      <c r="FD108" s="1"/>
      <c r="FE108" s="2"/>
      <c r="FF108" s="1"/>
      <c r="FG108" s="1" t="s">
        <v>319</v>
      </c>
      <c r="FH108" s="1" t="s">
        <v>319</v>
      </c>
      <c r="FI108" s="1" t="s">
        <v>319</v>
      </c>
      <c r="FJ108" s="1" t="s">
        <v>319</v>
      </c>
      <c r="FK108" s="1" t="s">
        <v>373</v>
      </c>
      <c r="FL108">
        <v>18.59</v>
      </c>
      <c r="FM108">
        <v>4200.2918968692438</v>
      </c>
      <c r="FN108" s="1" t="s">
        <v>321</v>
      </c>
      <c r="FO108" s="1" t="s">
        <v>322</v>
      </c>
      <c r="FP108" s="1" t="s">
        <v>323</v>
      </c>
      <c r="FQ108" s="1" t="s">
        <v>559</v>
      </c>
      <c r="FR108" s="1" t="s">
        <v>325</v>
      </c>
      <c r="FS108" s="1"/>
      <c r="FT108" s="1" t="s">
        <v>326</v>
      </c>
      <c r="FU108">
        <v>494198191</v>
      </c>
      <c r="FV108" s="1" t="s">
        <v>322</v>
      </c>
      <c r="FW108" s="1" t="s">
        <v>319</v>
      </c>
      <c r="FX108" s="1" t="s">
        <v>322</v>
      </c>
      <c r="FY108" s="1" t="s">
        <v>322</v>
      </c>
      <c r="FZ108" s="1" t="s">
        <v>322</v>
      </c>
      <c r="GA108" s="1" t="s">
        <v>322</v>
      </c>
      <c r="GB108" s="1" t="s">
        <v>319</v>
      </c>
      <c r="GC108" s="1"/>
      <c r="GD108" s="1" t="s">
        <v>319</v>
      </c>
      <c r="GE108" s="1" t="s">
        <v>319</v>
      </c>
      <c r="GF108" s="1" t="s">
        <v>415</v>
      </c>
      <c r="GG108" s="1"/>
      <c r="GH108" s="1" t="s">
        <v>319</v>
      </c>
      <c r="GI108" s="1"/>
      <c r="GJ108" s="1" t="s">
        <v>322</v>
      </c>
      <c r="GK108" s="2">
        <v>42005</v>
      </c>
      <c r="GL108" s="1" t="s">
        <v>322</v>
      </c>
      <c r="GM108" s="1" t="s">
        <v>322</v>
      </c>
      <c r="GN108">
        <v>42989</v>
      </c>
      <c r="GO108" s="1" t="s">
        <v>319</v>
      </c>
      <c r="GQ108" s="1"/>
      <c r="GR108" s="1"/>
      <c r="GS108" s="1"/>
      <c r="GT108" s="1" t="s">
        <v>322</v>
      </c>
      <c r="GU108" s="1" t="s">
        <v>2629</v>
      </c>
      <c r="GV108" s="1" t="s">
        <v>322</v>
      </c>
      <c r="GW108" s="1" t="s">
        <v>319</v>
      </c>
      <c r="GX108" s="1" t="s">
        <v>322</v>
      </c>
      <c r="GY108" s="1" t="s">
        <v>319</v>
      </c>
      <c r="GZ108" s="1" t="s">
        <v>319</v>
      </c>
      <c r="HA108" s="2">
        <v>44092</v>
      </c>
      <c r="HB108" s="2">
        <v>42653</v>
      </c>
      <c r="HC108" s="1"/>
      <c r="HD108" s="1"/>
      <c r="HE108" s="1"/>
      <c r="HF108" s="1"/>
      <c r="HG108" s="1"/>
      <c r="HH108" s="1"/>
      <c r="HI108" s="1" t="s">
        <v>322</v>
      </c>
      <c r="HJ108" s="1" t="s">
        <v>485</v>
      </c>
      <c r="HK108" s="2">
        <v>42736</v>
      </c>
      <c r="HL108" s="1"/>
      <c r="HM108" s="1" t="s">
        <v>322</v>
      </c>
      <c r="HN108" s="1" t="s">
        <v>322</v>
      </c>
      <c r="HO108" s="1"/>
      <c r="HP108" s="1"/>
      <c r="HQ108" s="1"/>
      <c r="HR108" s="1"/>
      <c r="HS108" s="1"/>
      <c r="HT108" s="1"/>
      <c r="HU108" s="1" t="s">
        <v>331</v>
      </c>
      <c r="HV108">
        <v>4624432010</v>
      </c>
      <c r="HW108">
        <v>40638907</v>
      </c>
      <c r="HX108">
        <v>99102570039</v>
      </c>
      <c r="HY108" s="1" t="s">
        <v>2630</v>
      </c>
      <c r="HZ108">
        <v>4320769</v>
      </c>
      <c r="IA108">
        <v>4321088</v>
      </c>
      <c r="IB108" s="1" t="s">
        <v>2631</v>
      </c>
      <c r="IC108">
        <v>830067</v>
      </c>
      <c r="ID108" s="1" t="s">
        <v>2632</v>
      </c>
      <c r="IE108">
        <v>6.85</v>
      </c>
      <c r="IF108">
        <v>6.21</v>
      </c>
      <c r="IG108">
        <v>4.96</v>
      </c>
      <c r="IH108">
        <v>3.96</v>
      </c>
      <c r="II108">
        <v>3.21</v>
      </c>
      <c r="IJ108">
        <v>1.86</v>
      </c>
      <c r="IK108">
        <v>1.86</v>
      </c>
    </row>
    <row r="109" spans="1:245" x14ac:dyDescent="0.3">
      <c r="A109">
        <v>1927</v>
      </c>
      <c r="B109">
        <v>2430</v>
      </c>
      <c r="C109" s="1" t="s">
        <v>2139</v>
      </c>
      <c r="D109" s="1" t="s">
        <v>266</v>
      </c>
      <c r="E109" t="s">
        <v>3275</v>
      </c>
      <c r="F109" s="1" t="s">
        <v>267</v>
      </c>
      <c r="G109" s="1" t="s">
        <v>268</v>
      </c>
      <c r="H109">
        <v>608729156</v>
      </c>
      <c r="I109" s="1" t="s">
        <v>2140</v>
      </c>
      <c r="J109" s="1" t="s">
        <v>2141</v>
      </c>
      <c r="L109">
        <v>44067</v>
      </c>
      <c r="M109" s="1" t="s">
        <v>2142</v>
      </c>
      <c r="N109" s="1" t="s">
        <v>2143</v>
      </c>
      <c r="O109">
        <v>325066060</v>
      </c>
      <c r="P109" s="1" t="s">
        <v>884</v>
      </c>
      <c r="Q109" s="1" t="s">
        <v>1984</v>
      </c>
      <c r="R109" s="1" t="s">
        <v>2101</v>
      </c>
      <c r="S109" s="1" t="s">
        <v>2142</v>
      </c>
      <c r="T109" s="1" t="s">
        <v>2143</v>
      </c>
      <c r="U109">
        <v>325066060</v>
      </c>
      <c r="V109" s="1" t="s">
        <v>754</v>
      </c>
      <c r="W109" s="1" t="s">
        <v>2099</v>
      </c>
      <c r="X109" s="1" t="s">
        <v>274</v>
      </c>
      <c r="Y109" s="1" t="s">
        <v>2144</v>
      </c>
      <c r="Z109" s="1" t="s">
        <v>2145</v>
      </c>
      <c r="AB109" s="1" t="s">
        <v>2121</v>
      </c>
      <c r="AC109" s="1" t="s">
        <v>2166</v>
      </c>
      <c r="AD109" s="1" t="s">
        <v>2146</v>
      </c>
      <c r="AE109" s="1" t="s">
        <v>2147</v>
      </c>
      <c r="AF109">
        <v>325066060</v>
      </c>
      <c r="AG109" s="1" t="s">
        <v>2160</v>
      </c>
      <c r="AH109" s="1" t="s">
        <v>279</v>
      </c>
      <c r="AI109" s="1" t="s">
        <v>2148</v>
      </c>
      <c r="AJ109" s="1" t="s">
        <v>2149</v>
      </c>
      <c r="AK109">
        <v>325066060</v>
      </c>
      <c r="AL109" s="1" t="s">
        <v>2086</v>
      </c>
      <c r="AM109" s="1" t="s">
        <v>2013</v>
      </c>
      <c r="AN109" s="1" t="s">
        <v>2150</v>
      </c>
      <c r="AO109" s="1" t="s">
        <v>2151</v>
      </c>
      <c r="AP109">
        <v>325066062</v>
      </c>
      <c r="AQ109" s="1" t="s">
        <v>2049</v>
      </c>
      <c r="AR109" s="1" t="s">
        <v>2015</v>
      </c>
      <c r="AS109" s="1" t="s">
        <v>285</v>
      </c>
      <c r="AT109" s="1" t="s">
        <v>286</v>
      </c>
      <c r="AU109">
        <v>325066067</v>
      </c>
      <c r="AV109" s="1" t="s">
        <v>2140</v>
      </c>
      <c r="AW109" s="1" t="s">
        <v>2063</v>
      </c>
      <c r="AX109" s="1" t="s">
        <v>287</v>
      </c>
      <c r="AY109">
        <v>7873000104</v>
      </c>
      <c r="AZ109" s="1"/>
      <c r="BB109" s="1" t="s">
        <v>2152</v>
      </c>
      <c r="BC109" s="1" t="s">
        <v>2153</v>
      </c>
      <c r="BD109">
        <v>52</v>
      </c>
      <c r="BE109">
        <v>325066060</v>
      </c>
      <c r="BF109">
        <v>48.6243896484375</v>
      </c>
      <c r="BG109">
        <v>4.9689178466796804</v>
      </c>
      <c r="BH109">
        <v>451647903</v>
      </c>
      <c r="BI109">
        <v>1171</v>
      </c>
      <c r="BJ109" s="2">
        <v>40345</v>
      </c>
      <c r="BK109" s="1" t="s">
        <v>3284</v>
      </c>
      <c r="BL109" s="1" t="s">
        <v>2154</v>
      </c>
      <c r="BM109" s="1" t="s">
        <v>893</v>
      </c>
      <c r="BN109" s="1" t="s">
        <v>2155</v>
      </c>
      <c r="BO109" s="1" t="s">
        <v>291</v>
      </c>
      <c r="BP109" s="1" t="s">
        <v>293</v>
      </c>
      <c r="BQ109" s="1" t="s">
        <v>294</v>
      </c>
      <c r="BR109">
        <v>69</v>
      </c>
      <c r="BS109">
        <v>24290406.510000002</v>
      </c>
      <c r="BT109" s="1" t="s">
        <v>295</v>
      </c>
      <c r="BU109" s="1" t="s">
        <v>296</v>
      </c>
      <c r="BV109">
        <v>352955</v>
      </c>
      <c r="BW109">
        <v>1.033990996288621E-2</v>
      </c>
      <c r="BX109">
        <v>52.713654644952904</v>
      </c>
      <c r="BY109">
        <v>9.7976088437616884</v>
      </c>
      <c r="BZ109">
        <v>4.2288526625788441</v>
      </c>
      <c r="CA109">
        <v>66.740116151293435</v>
      </c>
      <c r="CB109" s="1" t="s">
        <v>360</v>
      </c>
      <c r="CC109">
        <v>1</v>
      </c>
      <c r="CD109" s="1" t="s">
        <v>298</v>
      </c>
      <c r="CE109" s="1" t="s">
        <v>361</v>
      </c>
      <c r="CF109">
        <v>1101</v>
      </c>
      <c r="CG109" s="1" t="s">
        <v>300</v>
      </c>
      <c r="CH109" s="1" t="s">
        <v>972</v>
      </c>
      <c r="CI109" s="1" t="s">
        <v>973</v>
      </c>
      <c r="CJ109" s="1" t="s">
        <v>972</v>
      </c>
      <c r="CK109" s="1" t="s">
        <v>302</v>
      </c>
      <c r="CL109" s="1" t="s">
        <v>974</v>
      </c>
      <c r="CM109">
        <v>3020409000020</v>
      </c>
      <c r="CO109" s="1"/>
      <c r="CP109" s="1" t="s">
        <v>444</v>
      </c>
      <c r="CQ109" s="1" t="s">
        <v>406</v>
      </c>
      <c r="CR109" s="1" t="s">
        <v>306</v>
      </c>
      <c r="CS109">
        <v>5990</v>
      </c>
      <c r="CT109">
        <v>2500</v>
      </c>
      <c r="CU109">
        <v>2500</v>
      </c>
      <c r="CV109" s="1" t="s">
        <v>584</v>
      </c>
      <c r="CW109" s="1" t="s">
        <v>308</v>
      </c>
      <c r="CY109">
        <v>3000</v>
      </c>
      <c r="CZ109">
        <v>3000</v>
      </c>
      <c r="DA109" s="1" t="s">
        <v>309</v>
      </c>
      <c r="DB109">
        <v>3490</v>
      </c>
      <c r="DC109">
        <v>3490</v>
      </c>
      <c r="DD109">
        <v>0</v>
      </c>
      <c r="DE109">
        <v>0</v>
      </c>
      <c r="DF109">
        <v>1000</v>
      </c>
      <c r="DG109">
        <v>2490</v>
      </c>
      <c r="DH109">
        <v>0</v>
      </c>
      <c r="DI109">
        <v>0</v>
      </c>
      <c r="DJ109">
        <v>0</v>
      </c>
      <c r="DK109" s="1" t="s">
        <v>409</v>
      </c>
      <c r="DL109" s="1" t="s">
        <v>741</v>
      </c>
      <c r="DN109" s="1"/>
      <c r="DO109">
        <v>800</v>
      </c>
      <c r="DP109">
        <v>0</v>
      </c>
      <c r="DQ109">
        <v>800</v>
      </c>
      <c r="DR109" s="1"/>
      <c r="DS109">
        <v>400</v>
      </c>
      <c r="DT109">
        <v>81</v>
      </c>
      <c r="DU109">
        <v>251</v>
      </c>
      <c r="DV109">
        <v>265</v>
      </c>
      <c r="DW109" s="1" t="s">
        <v>371</v>
      </c>
      <c r="DX109">
        <v>15</v>
      </c>
      <c r="DZ109">
        <v>2</v>
      </c>
      <c r="EA109">
        <v>2</v>
      </c>
      <c r="EB109">
        <v>9</v>
      </c>
      <c r="EC109">
        <v>2</v>
      </c>
      <c r="ED109">
        <v>0</v>
      </c>
      <c r="EE109">
        <v>0</v>
      </c>
      <c r="EF109">
        <v>13</v>
      </c>
      <c r="EG109">
        <v>2010</v>
      </c>
      <c r="EI109" s="1"/>
      <c r="EJ109" s="1" t="s">
        <v>313</v>
      </c>
      <c r="EK109" s="1" t="s">
        <v>314</v>
      </c>
      <c r="EL109">
        <v>20</v>
      </c>
      <c r="EM109">
        <v>14</v>
      </c>
      <c r="EN109">
        <v>10</v>
      </c>
      <c r="EO109" s="1" t="s">
        <v>315</v>
      </c>
      <c r="EP109">
        <v>16</v>
      </c>
      <c r="EQ109">
        <v>95.468823783029137</v>
      </c>
      <c r="ER109" s="1" t="s">
        <v>316</v>
      </c>
      <c r="ES109">
        <v>0.513273246145318</v>
      </c>
      <c r="ET109">
        <v>0</v>
      </c>
      <c r="EU109" s="1"/>
      <c r="EV109">
        <v>83.663539121686824</v>
      </c>
      <c r="EW109">
        <v>3</v>
      </c>
      <c r="EX109" t="s">
        <v>481</v>
      </c>
      <c r="EY109">
        <v>3</v>
      </c>
      <c r="EZ109" s="1" t="s">
        <v>317</v>
      </c>
      <c r="FA109" s="2"/>
      <c r="FB109" s="1" t="s">
        <v>607</v>
      </c>
      <c r="FC109">
        <v>1</v>
      </c>
      <c r="FD109" s="1"/>
      <c r="FE109" s="2"/>
      <c r="FF109" s="1"/>
      <c r="FG109" s="1" t="s">
        <v>322</v>
      </c>
      <c r="FH109" s="1" t="s">
        <v>319</v>
      </c>
      <c r="FI109" s="1" t="s">
        <v>319</v>
      </c>
      <c r="FJ109" s="1" t="s">
        <v>319</v>
      </c>
      <c r="FK109" s="1" t="s">
        <v>320</v>
      </c>
      <c r="FL109">
        <v>18.920000000000002</v>
      </c>
      <c r="FM109">
        <v>4286.0857763300755</v>
      </c>
      <c r="FN109" s="1" t="s">
        <v>321</v>
      </c>
      <c r="FO109" s="1" t="s">
        <v>319</v>
      </c>
      <c r="FP109" s="1" t="s">
        <v>323</v>
      </c>
      <c r="FQ109" s="1" t="s">
        <v>559</v>
      </c>
      <c r="FR109" s="1" t="s">
        <v>325</v>
      </c>
      <c r="FS109" s="1"/>
      <c r="FT109" s="1" t="s">
        <v>326</v>
      </c>
      <c r="FU109">
        <v>494198191</v>
      </c>
      <c r="FV109" s="1" t="s">
        <v>322</v>
      </c>
      <c r="FW109" s="1" t="s">
        <v>322</v>
      </c>
      <c r="FX109" s="1" t="s">
        <v>322</v>
      </c>
      <c r="FY109" s="1" t="s">
        <v>322</v>
      </c>
      <c r="FZ109" s="1" t="s">
        <v>322</v>
      </c>
      <c r="GA109" s="1" t="s">
        <v>322</v>
      </c>
      <c r="GB109" s="1" t="s">
        <v>322</v>
      </c>
      <c r="GC109" s="1" t="s">
        <v>322</v>
      </c>
      <c r="GD109" s="1" t="s">
        <v>322</v>
      </c>
      <c r="GE109" s="1" t="s">
        <v>322</v>
      </c>
      <c r="GF109" s="1" t="s">
        <v>415</v>
      </c>
      <c r="GG109" s="1"/>
      <c r="GH109" s="1" t="s">
        <v>322</v>
      </c>
      <c r="GI109" s="1"/>
      <c r="GJ109" s="1" t="s">
        <v>322</v>
      </c>
      <c r="GK109" s="2">
        <v>42005</v>
      </c>
      <c r="GL109" s="1" t="s">
        <v>322</v>
      </c>
      <c r="GM109" s="1" t="s">
        <v>322</v>
      </c>
      <c r="GN109">
        <v>43052</v>
      </c>
      <c r="GO109" s="1" t="s">
        <v>319</v>
      </c>
      <c r="GQ109" s="1"/>
      <c r="GR109" s="1"/>
      <c r="GS109" s="1"/>
      <c r="GT109" s="1" t="s">
        <v>319</v>
      </c>
      <c r="GU109" s="1" t="s">
        <v>319</v>
      </c>
      <c r="GV109" s="1" t="s">
        <v>319</v>
      </c>
      <c r="GW109" s="1" t="s">
        <v>319</v>
      </c>
      <c r="GX109" s="1" t="s">
        <v>319</v>
      </c>
      <c r="GY109" s="1" t="s">
        <v>319</v>
      </c>
      <c r="GZ109" s="1" t="s">
        <v>319</v>
      </c>
      <c r="HA109" s="2">
        <v>44063</v>
      </c>
      <c r="HB109" s="2">
        <v>42653</v>
      </c>
      <c r="HC109" s="1"/>
      <c r="HD109" s="1"/>
      <c r="HE109" s="1"/>
      <c r="HF109" s="1"/>
      <c r="HG109" s="1"/>
      <c r="HH109" s="1"/>
      <c r="HI109" s="1" t="s">
        <v>319</v>
      </c>
      <c r="HJ109" s="1" t="s">
        <v>330</v>
      </c>
      <c r="HK109" s="2"/>
      <c r="HL109" s="1"/>
      <c r="HM109" s="1" t="s">
        <v>322</v>
      </c>
      <c r="HN109" s="1" t="s">
        <v>322</v>
      </c>
      <c r="HO109" s="1" t="s">
        <v>322</v>
      </c>
      <c r="HP109" s="1"/>
      <c r="HQ109" s="1"/>
      <c r="HR109" s="1"/>
      <c r="HS109" s="1"/>
      <c r="HT109" s="1"/>
      <c r="HU109" s="1" t="s">
        <v>331</v>
      </c>
      <c r="HV109">
        <v>4629995010</v>
      </c>
      <c r="HW109">
        <v>40638712</v>
      </c>
      <c r="HX109">
        <v>99102569406</v>
      </c>
      <c r="HY109" s="1" t="s">
        <v>2156</v>
      </c>
      <c r="HZ109">
        <v>4319810</v>
      </c>
      <c r="IA109">
        <v>4321870</v>
      </c>
      <c r="IB109" s="1" t="s">
        <v>2157</v>
      </c>
      <c r="IC109">
        <v>830133</v>
      </c>
      <c r="ID109" s="1" t="s">
        <v>2158</v>
      </c>
      <c r="IE109">
        <v>2.06</v>
      </c>
      <c r="IF109">
        <v>1.81</v>
      </c>
      <c r="IG109">
        <v>2.38</v>
      </c>
      <c r="IH109">
        <v>1.92</v>
      </c>
      <c r="II109">
        <v>2.06</v>
      </c>
      <c r="IJ109">
        <v>1.25</v>
      </c>
      <c r="IK109">
        <v>1.25</v>
      </c>
    </row>
    <row r="110" spans="1:245" x14ac:dyDescent="0.3">
      <c r="A110">
        <v>1719</v>
      </c>
      <c r="B110">
        <v>2344</v>
      </c>
      <c r="C110" s="1" t="s">
        <v>2503</v>
      </c>
      <c r="D110" s="1" t="s">
        <v>1103</v>
      </c>
      <c r="E110" t="s">
        <v>3275</v>
      </c>
      <c r="F110" s="1" t="s">
        <v>2504</v>
      </c>
      <c r="G110" s="1" t="s">
        <v>2505</v>
      </c>
      <c r="H110">
        <v>610925352</v>
      </c>
      <c r="I110" s="1" t="s">
        <v>2506</v>
      </c>
      <c r="J110" s="1" t="s">
        <v>2507</v>
      </c>
      <c r="L110">
        <v>43864</v>
      </c>
      <c r="M110" s="1" t="s">
        <v>2508</v>
      </c>
      <c r="N110" s="1" t="s">
        <v>2509</v>
      </c>
      <c r="O110">
        <v>611933480</v>
      </c>
      <c r="P110" s="1" t="s">
        <v>273</v>
      </c>
      <c r="Q110" s="1" t="s">
        <v>2658</v>
      </c>
      <c r="R110" s="1" t="s">
        <v>2729</v>
      </c>
      <c r="S110" s="1" t="s">
        <v>2510</v>
      </c>
      <c r="T110" s="1" t="s">
        <v>2511</v>
      </c>
      <c r="U110">
        <v>477593516</v>
      </c>
      <c r="V110" s="1" t="s">
        <v>276</v>
      </c>
      <c r="W110" s="1" t="s">
        <v>2840</v>
      </c>
      <c r="X110" s="1" t="s">
        <v>2796</v>
      </c>
      <c r="Y110" s="1" t="s">
        <v>389</v>
      </c>
      <c r="Z110" s="1"/>
      <c r="AB110" s="1" t="s">
        <v>2751</v>
      </c>
      <c r="AC110" s="1" t="s">
        <v>2707</v>
      </c>
      <c r="AD110" s="1" t="s">
        <v>2512</v>
      </c>
      <c r="AE110" s="1" t="s">
        <v>2513</v>
      </c>
      <c r="AF110">
        <v>477593516</v>
      </c>
      <c r="AG110" s="1" t="s">
        <v>2701</v>
      </c>
      <c r="AH110" s="1" t="s">
        <v>2736</v>
      </c>
      <c r="AI110" s="1" t="s">
        <v>2514</v>
      </c>
      <c r="AJ110" s="1" t="s">
        <v>2515</v>
      </c>
      <c r="AK110">
        <v>638312155</v>
      </c>
      <c r="AL110" s="1" t="s">
        <v>2804</v>
      </c>
      <c r="AM110" s="1" t="s">
        <v>2514</v>
      </c>
      <c r="AN110" s="1" t="s">
        <v>2516</v>
      </c>
      <c r="AO110" s="1" t="s">
        <v>2517</v>
      </c>
      <c r="AP110">
        <v>477593512</v>
      </c>
      <c r="AQ110" s="1" t="s">
        <v>2725</v>
      </c>
      <c r="AR110" s="1" t="s">
        <v>2829</v>
      </c>
      <c r="AS110" s="1" t="s">
        <v>2518</v>
      </c>
      <c r="AT110" s="1" t="s">
        <v>2519</v>
      </c>
      <c r="AU110">
        <v>477593510</v>
      </c>
      <c r="AV110" s="1" t="s">
        <v>2725</v>
      </c>
      <c r="AW110" s="1" t="s">
        <v>2741</v>
      </c>
      <c r="AX110" s="1" t="s">
        <v>2520</v>
      </c>
      <c r="AY110">
        <v>789331672</v>
      </c>
      <c r="AZ110" s="1" t="s">
        <v>2430</v>
      </c>
      <c r="BB110" s="1" t="s">
        <v>2521</v>
      </c>
      <c r="BC110" s="1" t="s">
        <v>2522</v>
      </c>
      <c r="BD110">
        <v>42</v>
      </c>
      <c r="BE110">
        <v>477593510</v>
      </c>
      <c r="BF110">
        <v>45.4102783203125</v>
      </c>
      <c r="BG110">
        <v>4.3759765625</v>
      </c>
      <c r="BH110">
        <v>451647903</v>
      </c>
      <c r="BI110">
        <v>181</v>
      </c>
      <c r="BJ110" s="2">
        <v>35552</v>
      </c>
      <c r="BK110" s="1" t="s">
        <v>3292</v>
      </c>
      <c r="BL110" s="1" t="s">
        <v>290</v>
      </c>
      <c r="BM110" s="1" t="s">
        <v>291</v>
      </c>
      <c r="BN110" s="1" t="s">
        <v>292</v>
      </c>
      <c r="BO110" s="1" t="s">
        <v>291</v>
      </c>
      <c r="BP110" s="1" t="s">
        <v>293</v>
      </c>
      <c r="BQ110" s="1" t="s">
        <v>294</v>
      </c>
      <c r="BR110">
        <v>80</v>
      </c>
      <c r="BS110">
        <v>26489993.350000001</v>
      </c>
      <c r="BT110" s="1" t="s">
        <v>295</v>
      </c>
      <c r="BU110" s="1" t="s">
        <v>296</v>
      </c>
      <c r="BV110">
        <v>491462</v>
      </c>
      <c r="BW110">
        <v>9.8869061734321445E-3</v>
      </c>
      <c r="BX110">
        <v>66.614360123953304</v>
      </c>
      <c r="BY110">
        <v>5.5714050240654034</v>
      </c>
      <c r="BZ110">
        <v>3.893130370761082</v>
      </c>
      <c r="CA110">
        <v>76.078895518779788</v>
      </c>
      <c r="CB110" s="1" t="s">
        <v>297</v>
      </c>
      <c r="CC110">
        <v>1</v>
      </c>
      <c r="CD110" s="1" t="s">
        <v>402</v>
      </c>
      <c r="CE110" s="1" t="s">
        <v>504</v>
      </c>
      <c r="CF110">
        <v>1106</v>
      </c>
      <c r="CG110" s="1" t="s">
        <v>362</v>
      </c>
      <c r="CH110" s="1" t="s">
        <v>972</v>
      </c>
      <c r="CI110" s="1" t="s">
        <v>973</v>
      </c>
      <c r="CJ110" s="1" t="s">
        <v>972</v>
      </c>
      <c r="CK110" s="1" t="s">
        <v>302</v>
      </c>
      <c r="CL110" s="1" t="s">
        <v>974</v>
      </c>
      <c r="CM110">
        <v>3020409000020</v>
      </c>
      <c r="CO110" s="1"/>
      <c r="CP110" s="1" t="s">
        <v>765</v>
      </c>
      <c r="CQ110" s="1" t="s">
        <v>556</v>
      </c>
      <c r="CR110" s="1" t="s">
        <v>505</v>
      </c>
      <c r="CS110">
        <v>8181</v>
      </c>
      <c r="CT110">
        <v>4811</v>
      </c>
      <c r="CU110" t="s">
        <v>693</v>
      </c>
      <c r="CV110" s="1" t="s">
        <v>478</v>
      </c>
      <c r="CW110" s="1" t="s">
        <v>308</v>
      </c>
      <c r="CY110">
        <v>3370</v>
      </c>
      <c r="CZ110">
        <v>3500</v>
      </c>
      <c r="DA110" s="1" t="s">
        <v>307</v>
      </c>
      <c r="DB110">
        <v>3370</v>
      </c>
      <c r="DC110">
        <v>3370</v>
      </c>
      <c r="DD110">
        <v>0</v>
      </c>
      <c r="DE110">
        <v>0</v>
      </c>
      <c r="DF110">
        <v>540</v>
      </c>
      <c r="DG110">
        <v>2830</v>
      </c>
      <c r="DH110">
        <v>0</v>
      </c>
      <c r="DI110">
        <v>0</v>
      </c>
      <c r="DJ110">
        <v>0</v>
      </c>
      <c r="DK110" s="1" t="s">
        <v>310</v>
      </c>
      <c r="DL110" s="1" t="s">
        <v>311</v>
      </c>
      <c r="DN110" s="1"/>
      <c r="DO110">
        <v>956</v>
      </c>
      <c r="DP110">
        <v>956</v>
      </c>
      <c r="DQ110">
        <v>0</v>
      </c>
      <c r="DR110" s="1"/>
      <c r="DS110">
        <v>400</v>
      </c>
      <c r="DT110">
        <v>0</v>
      </c>
      <c r="DU110">
        <v>200</v>
      </c>
      <c r="DV110">
        <v>291</v>
      </c>
      <c r="DW110" s="1" t="s">
        <v>558</v>
      </c>
      <c r="DX110">
        <v>18</v>
      </c>
      <c r="DZ110">
        <v>2</v>
      </c>
      <c r="EA110">
        <v>2</v>
      </c>
      <c r="EB110">
        <v>10</v>
      </c>
      <c r="EC110">
        <v>3</v>
      </c>
      <c r="ED110">
        <v>0</v>
      </c>
      <c r="EE110">
        <v>0</v>
      </c>
      <c r="EF110">
        <v>15</v>
      </c>
      <c r="EG110">
        <v>2010</v>
      </c>
      <c r="EI110" s="1"/>
      <c r="EJ110" s="1" t="s">
        <v>313</v>
      </c>
      <c r="EK110" s="1" t="s">
        <v>314</v>
      </c>
      <c r="EL110">
        <v>37</v>
      </c>
      <c r="EM110">
        <v>34</v>
      </c>
      <c r="EN110">
        <v>16</v>
      </c>
      <c r="EO110" s="1" t="s">
        <v>315</v>
      </c>
      <c r="EP110">
        <v>45</v>
      </c>
      <c r="EQ110">
        <v>132.1739588338676</v>
      </c>
      <c r="ER110" s="1" t="s">
        <v>480</v>
      </c>
      <c r="ES110">
        <v>3.291184233911046</v>
      </c>
      <c r="ET110">
        <v>1</v>
      </c>
      <c r="EU110" s="1" t="s">
        <v>249</v>
      </c>
      <c r="EV110">
        <v>121.37887454663937</v>
      </c>
      <c r="EW110">
        <v>0</v>
      </c>
      <c r="EX110" t="s">
        <v>316</v>
      </c>
      <c r="EY110">
        <v>1</v>
      </c>
      <c r="EZ110" s="1" t="s">
        <v>1381</v>
      </c>
      <c r="FA110" s="2"/>
      <c r="FB110" s="1" t="s">
        <v>1382</v>
      </c>
      <c r="FC110">
        <v>1</v>
      </c>
      <c r="FD110" s="1"/>
      <c r="FE110" s="2"/>
      <c r="FF110" s="1" t="s">
        <v>2523</v>
      </c>
      <c r="FG110" s="1" t="s">
        <v>322</v>
      </c>
      <c r="FH110" s="1" t="s">
        <v>322</v>
      </c>
      <c r="FI110" s="1" t="s">
        <v>322</v>
      </c>
      <c r="FJ110" s="1" t="s">
        <v>322</v>
      </c>
      <c r="FK110" s="1" t="s">
        <v>1143</v>
      </c>
      <c r="FL110">
        <v>18.97</v>
      </c>
      <c r="FM110">
        <v>7835.7807971014481</v>
      </c>
      <c r="FN110" s="1" t="s">
        <v>321</v>
      </c>
      <c r="FO110" s="1" t="s">
        <v>322</v>
      </c>
      <c r="FP110" s="1" t="s">
        <v>1222</v>
      </c>
      <c r="FQ110" s="1" t="s">
        <v>324</v>
      </c>
      <c r="FR110" s="1" t="s">
        <v>325</v>
      </c>
      <c r="FS110" s="1" t="s">
        <v>374</v>
      </c>
      <c r="FT110" s="1" t="s">
        <v>326</v>
      </c>
      <c r="FU110">
        <v>494198191</v>
      </c>
      <c r="FV110" s="1" t="s">
        <v>319</v>
      </c>
      <c r="FW110" s="1" t="s">
        <v>319</v>
      </c>
      <c r="FX110" s="1" t="s">
        <v>322</v>
      </c>
      <c r="FY110" s="1" t="s">
        <v>322</v>
      </c>
      <c r="FZ110" s="1" t="s">
        <v>322</v>
      </c>
      <c r="GA110" s="1" t="s">
        <v>322</v>
      </c>
      <c r="GB110" s="1" t="s">
        <v>319</v>
      </c>
      <c r="GC110" s="1" t="s">
        <v>322</v>
      </c>
      <c r="GD110" s="1" t="s">
        <v>319</v>
      </c>
      <c r="GE110" s="1" t="s">
        <v>319</v>
      </c>
      <c r="GF110" s="1" t="s">
        <v>415</v>
      </c>
      <c r="GG110" s="1"/>
      <c r="GH110" s="1" t="s">
        <v>322</v>
      </c>
      <c r="GI110" s="1" t="s">
        <v>484</v>
      </c>
      <c r="GJ110" s="1" t="s">
        <v>322</v>
      </c>
      <c r="GK110" s="2">
        <v>42005</v>
      </c>
      <c r="GL110" s="1" t="s">
        <v>322</v>
      </c>
      <c r="GM110" s="1" t="s">
        <v>322</v>
      </c>
      <c r="GN110">
        <v>43193</v>
      </c>
      <c r="GO110" s="1" t="s">
        <v>319</v>
      </c>
      <c r="GQ110" s="1"/>
      <c r="GR110" s="1"/>
      <c r="GS110" s="1"/>
      <c r="GT110" s="1" t="s">
        <v>319</v>
      </c>
      <c r="GU110" s="1" t="s">
        <v>319</v>
      </c>
      <c r="GV110" s="1" t="s">
        <v>319</v>
      </c>
      <c r="GW110" s="1" t="s">
        <v>319</v>
      </c>
      <c r="GX110" s="1" t="s">
        <v>319</v>
      </c>
      <c r="GY110" s="1" t="s">
        <v>319</v>
      </c>
      <c r="GZ110" s="1" t="s">
        <v>319</v>
      </c>
      <c r="HA110" s="2">
        <v>44085</v>
      </c>
      <c r="HB110" s="2">
        <v>42667</v>
      </c>
      <c r="HC110" s="1"/>
      <c r="HD110" s="1"/>
      <c r="HE110" s="1"/>
      <c r="HF110" s="1"/>
      <c r="HG110" s="1"/>
      <c r="HH110" s="1"/>
      <c r="HI110" s="1" t="s">
        <v>319</v>
      </c>
      <c r="HJ110" s="1" t="s">
        <v>330</v>
      </c>
      <c r="HK110" s="2"/>
      <c r="HL110" s="1"/>
      <c r="HM110" s="1" t="s">
        <v>322</v>
      </c>
      <c r="HN110" s="1" t="s">
        <v>322</v>
      </c>
      <c r="HO110" s="1"/>
      <c r="HP110" s="1"/>
      <c r="HQ110" s="1"/>
      <c r="HR110" s="1"/>
      <c r="HS110" s="1"/>
      <c r="HT110" s="1"/>
      <c r="HU110" s="1" t="s">
        <v>331</v>
      </c>
      <c r="HV110">
        <v>4621974016</v>
      </c>
      <c r="HW110">
        <v>40638988</v>
      </c>
      <c r="HX110">
        <v>99102570792</v>
      </c>
      <c r="HY110" s="1" t="s">
        <v>2524</v>
      </c>
      <c r="HZ110">
        <v>4304165</v>
      </c>
      <c r="IA110">
        <v>4321149</v>
      </c>
      <c r="IB110" s="1" t="s">
        <v>2525</v>
      </c>
      <c r="IC110">
        <v>830229</v>
      </c>
      <c r="ID110" s="1" t="s">
        <v>2526</v>
      </c>
      <c r="IE110">
        <v>3.53</v>
      </c>
      <c r="IF110">
        <v>4.53</v>
      </c>
      <c r="IG110">
        <v>5.66</v>
      </c>
      <c r="IH110">
        <v>6.38</v>
      </c>
      <c r="II110">
        <v>5.14</v>
      </c>
      <c r="IJ110">
        <v>4.42</v>
      </c>
      <c r="IK110">
        <v>4.42</v>
      </c>
    </row>
    <row r="111" spans="1:245" x14ac:dyDescent="0.3">
      <c r="A111">
        <v>1797</v>
      </c>
      <c r="B111">
        <v>2409</v>
      </c>
      <c r="C111" s="1" t="s">
        <v>2816</v>
      </c>
      <c r="D111" s="1" t="s">
        <v>1103</v>
      </c>
      <c r="E111" t="s">
        <v>3275</v>
      </c>
      <c r="F111" s="1" t="s">
        <v>2504</v>
      </c>
      <c r="G111" s="1" t="s">
        <v>2505</v>
      </c>
      <c r="H111">
        <v>610925352</v>
      </c>
      <c r="I111" s="1" t="s">
        <v>2817</v>
      </c>
      <c r="J111" s="1" t="s">
        <v>2818</v>
      </c>
      <c r="L111">
        <v>44162</v>
      </c>
      <c r="M111" s="1" t="s">
        <v>2819</v>
      </c>
      <c r="N111" s="1" t="s">
        <v>2820</v>
      </c>
      <c r="O111">
        <v>477343790</v>
      </c>
      <c r="P111" s="1" t="s">
        <v>273</v>
      </c>
      <c r="Q111" s="1" t="s">
        <v>2658</v>
      </c>
      <c r="R111" s="1" t="s">
        <v>2729</v>
      </c>
      <c r="S111" s="1" t="s">
        <v>2821</v>
      </c>
      <c r="T111" s="1" t="s">
        <v>2822</v>
      </c>
      <c r="U111">
        <v>477343799</v>
      </c>
      <c r="V111" s="1" t="s">
        <v>276</v>
      </c>
      <c r="W111" s="1" t="s">
        <v>2840</v>
      </c>
      <c r="X111" s="1" t="s">
        <v>2796</v>
      </c>
      <c r="Y111" s="1" t="s">
        <v>2823</v>
      </c>
      <c r="Z111" s="1" t="s">
        <v>2824</v>
      </c>
      <c r="AA111">
        <v>477343799</v>
      </c>
      <c r="AB111" s="1" t="s">
        <v>2751</v>
      </c>
      <c r="AC111" s="1" t="s">
        <v>2707</v>
      </c>
      <c r="AD111" s="1" t="s">
        <v>2825</v>
      </c>
      <c r="AE111" s="1" t="s">
        <v>2826</v>
      </c>
      <c r="AF111">
        <v>477343796</v>
      </c>
      <c r="AG111" s="1" t="s">
        <v>2701</v>
      </c>
      <c r="AH111" s="1" t="s">
        <v>2736</v>
      </c>
      <c r="AI111" s="1" t="s">
        <v>2827</v>
      </c>
      <c r="AJ111" s="1" t="s">
        <v>2828</v>
      </c>
      <c r="AK111">
        <v>477343795</v>
      </c>
      <c r="AL111" s="1" t="s">
        <v>2804</v>
      </c>
      <c r="AM111" s="1" t="s">
        <v>2514</v>
      </c>
      <c r="AN111" s="1" t="s">
        <v>2829</v>
      </c>
      <c r="AO111" s="1" t="s">
        <v>2830</v>
      </c>
      <c r="AP111">
        <v>477343792</v>
      </c>
      <c r="AQ111" s="1" t="s">
        <v>2725</v>
      </c>
      <c r="AR111" s="1" t="s">
        <v>2829</v>
      </c>
      <c r="AS111" s="1" t="s">
        <v>2831</v>
      </c>
      <c r="AT111" s="1" t="s">
        <v>2832</v>
      </c>
      <c r="AU111">
        <v>477343797</v>
      </c>
      <c r="AV111" s="1" t="s">
        <v>2725</v>
      </c>
      <c r="AW111" s="1" t="s">
        <v>2741</v>
      </c>
      <c r="AX111" s="1" t="s">
        <v>2520</v>
      </c>
      <c r="AY111">
        <v>789331673</v>
      </c>
      <c r="AZ111" s="1" t="s">
        <v>2430</v>
      </c>
      <c r="BB111" s="1" t="s">
        <v>2833</v>
      </c>
      <c r="BC111" s="1" t="s">
        <v>2834</v>
      </c>
      <c r="BD111">
        <v>42</v>
      </c>
      <c r="BE111">
        <v>477343790</v>
      </c>
      <c r="BF111">
        <v>45.455810546875</v>
      </c>
      <c r="BG111">
        <v>4.4131317138671804</v>
      </c>
      <c r="BH111">
        <v>451647903</v>
      </c>
      <c r="BI111">
        <v>876</v>
      </c>
      <c r="BJ111" s="2">
        <v>39240</v>
      </c>
      <c r="BK111" s="1" t="s">
        <v>1649</v>
      </c>
      <c r="BL111" s="1" t="s">
        <v>290</v>
      </c>
      <c r="BM111" s="1" t="s">
        <v>291</v>
      </c>
      <c r="BN111" s="1" t="s">
        <v>292</v>
      </c>
      <c r="BO111" s="1" t="s">
        <v>291</v>
      </c>
      <c r="BP111" s="1" t="s">
        <v>293</v>
      </c>
      <c r="BQ111" s="1" t="s">
        <v>294</v>
      </c>
      <c r="BR111">
        <v>80</v>
      </c>
      <c r="BS111">
        <v>20475338.91</v>
      </c>
      <c r="BT111" s="1" t="s">
        <v>295</v>
      </c>
      <c r="BU111" s="1" t="s">
        <v>359</v>
      </c>
      <c r="BV111">
        <v>352953</v>
      </c>
      <c r="BW111">
        <v>1.5409851555400521E-2</v>
      </c>
      <c r="BX111">
        <v>52.199973626953302</v>
      </c>
      <c r="BY111">
        <v>11.114343640799094</v>
      </c>
      <c r="BZ111">
        <v>2.6520647897848399</v>
      </c>
      <c r="CA111">
        <v>65.966382057537231</v>
      </c>
      <c r="CB111" s="1" t="s">
        <v>715</v>
      </c>
      <c r="CC111">
        <v>1</v>
      </c>
      <c r="CD111" s="1" t="s">
        <v>402</v>
      </c>
      <c r="CE111" s="1" t="s">
        <v>504</v>
      </c>
      <c r="CF111">
        <v>1106</v>
      </c>
      <c r="CG111" s="1" t="s">
        <v>362</v>
      </c>
      <c r="CH111" s="1" t="s">
        <v>972</v>
      </c>
      <c r="CI111" s="1" t="s">
        <v>973</v>
      </c>
      <c r="CJ111" s="1" t="s">
        <v>972</v>
      </c>
      <c r="CK111" s="1" t="s">
        <v>302</v>
      </c>
      <c r="CL111" s="1" t="s">
        <v>974</v>
      </c>
      <c r="CM111">
        <v>3020409000020</v>
      </c>
      <c r="CO111" s="1"/>
      <c r="CP111" s="1" t="s">
        <v>304</v>
      </c>
      <c r="CQ111" s="1" t="s">
        <v>367</v>
      </c>
      <c r="CR111" s="1" t="s">
        <v>407</v>
      </c>
      <c r="CS111">
        <v>6343</v>
      </c>
      <c r="CT111">
        <v>4183</v>
      </c>
      <c r="CU111" t="s">
        <v>477</v>
      </c>
      <c r="CV111" s="1" t="s">
        <v>478</v>
      </c>
      <c r="CW111" s="1" t="s">
        <v>308</v>
      </c>
      <c r="CY111">
        <v>3416</v>
      </c>
      <c r="CZ111">
        <v>3500</v>
      </c>
      <c r="DA111" s="1" t="s">
        <v>307</v>
      </c>
      <c r="DB111">
        <v>3160</v>
      </c>
      <c r="DC111">
        <v>2160</v>
      </c>
      <c r="DD111">
        <v>0</v>
      </c>
      <c r="DE111">
        <v>1000</v>
      </c>
      <c r="DF111">
        <v>0</v>
      </c>
      <c r="DG111">
        <v>2160</v>
      </c>
      <c r="DH111">
        <v>0</v>
      </c>
      <c r="DI111">
        <v>0</v>
      </c>
      <c r="DJ111">
        <v>0</v>
      </c>
      <c r="DK111" s="1" t="s">
        <v>409</v>
      </c>
      <c r="DL111" s="1" t="s">
        <v>445</v>
      </c>
      <c r="DN111" s="1" t="s">
        <v>1095</v>
      </c>
      <c r="DO111">
        <v>908</v>
      </c>
      <c r="DP111">
        <v>0</v>
      </c>
      <c r="DQ111">
        <v>908</v>
      </c>
      <c r="DR111" s="1"/>
      <c r="DS111">
        <v>514</v>
      </c>
      <c r="DT111">
        <v>143</v>
      </c>
      <c r="DU111">
        <v>311</v>
      </c>
      <c r="DV111">
        <v>258</v>
      </c>
      <c r="DW111" s="1" t="s">
        <v>371</v>
      </c>
      <c r="DX111">
        <v>17</v>
      </c>
      <c r="DY111">
        <v>2017</v>
      </c>
      <c r="DZ111">
        <v>2</v>
      </c>
      <c r="EA111">
        <v>2</v>
      </c>
      <c r="EB111">
        <v>8</v>
      </c>
      <c r="EC111">
        <v>3</v>
      </c>
      <c r="ED111">
        <v>0</v>
      </c>
      <c r="EE111">
        <v>1</v>
      </c>
      <c r="EF111">
        <v>14</v>
      </c>
      <c r="EG111">
        <v>2014</v>
      </c>
      <c r="EI111" s="1"/>
      <c r="EJ111" s="1" t="s">
        <v>313</v>
      </c>
      <c r="EK111" s="1" t="s">
        <v>314</v>
      </c>
      <c r="EL111">
        <v>28</v>
      </c>
      <c r="EM111">
        <v>28</v>
      </c>
      <c r="EN111">
        <v>12</v>
      </c>
      <c r="EO111" s="1" t="s">
        <v>315</v>
      </c>
      <c r="EP111">
        <v>21</v>
      </c>
      <c r="EQ111">
        <v>132.1739588338676</v>
      </c>
      <c r="ER111" s="1" t="s">
        <v>480</v>
      </c>
      <c r="ES111">
        <v>3.291184233911046</v>
      </c>
      <c r="ET111">
        <v>0</v>
      </c>
      <c r="EU111" s="1"/>
      <c r="EV111">
        <v>121.37887454663937</v>
      </c>
      <c r="EW111">
        <v>3</v>
      </c>
      <c r="EX111" t="s">
        <v>446</v>
      </c>
      <c r="EY111">
        <v>3</v>
      </c>
      <c r="EZ111" s="1" t="s">
        <v>317</v>
      </c>
      <c r="FA111" s="2"/>
      <c r="FB111" s="1" t="s">
        <v>318</v>
      </c>
      <c r="FC111">
        <v>1</v>
      </c>
      <c r="FD111" s="1"/>
      <c r="FE111" s="2"/>
      <c r="FF111" s="1"/>
      <c r="FG111" s="1" t="s">
        <v>322</v>
      </c>
      <c r="FH111" s="1" t="s">
        <v>322</v>
      </c>
      <c r="FI111" s="1" t="s">
        <v>322</v>
      </c>
      <c r="FJ111" s="1" t="s">
        <v>322</v>
      </c>
      <c r="FK111" s="1" t="s">
        <v>1143</v>
      </c>
      <c r="FL111">
        <v>18.97</v>
      </c>
      <c r="FM111">
        <v>4902.986171497585</v>
      </c>
      <c r="FN111" s="1" t="s">
        <v>321</v>
      </c>
      <c r="FO111" s="1" t="s">
        <v>322</v>
      </c>
      <c r="FP111" s="1" t="s">
        <v>323</v>
      </c>
      <c r="FQ111" s="1" t="s">
        <v>324</v>
      </c>
      <c r="FR111" s="1" t="s">
        <v>325</v>
      </c>
      <c r="FS111" s="1" t="s">
        <v>374</v>
      </c>
      <c r="FT111" s="1" t="s">
        <v>326</v>
      </c>
      <c r="FU111">
        <v>494198191</v>
      </c>
      <c r="FV111" s="1" t="s">
        <v>319</v>
      </c>
      <c r="FW111" s="1" t="s">
        <v>319</v>
      </c>
      <c r="FX111" s="1" t="s">
        <v>322</v>
      </c>
      <c r="FY111" s="1" t="s">
        <v>322</v>
      </c>
      <c r="FZ111" s="1" t="s">
        <v>322</v>
      </c>
      <c r="GA111" s="1" t="s">
        <v>322</v>
      </c>
      <c r="GB111" s="1" t="s">
        <v>319</v>
      </c>
      <c r="GC111" s="1" t="s">
        <v>322</v>
      </c>
      <c r="GD111" s="1" t="s">
        <v>322</v>
      </c>
      <c r="GE111" s="1" t="s">
        <v>319</v>
      </c>
      <c r="GF111" s="1" t="s">
        <v>415</v>
      </c>
      <c r="GG111" s="1"/>
      <c r="GH111" s="1" t="s">
        <v>322</v>
      </c>
      <c r="GI111" s="1" t="s">
        <v>2835</v>
      </c>
      <c r="GJ111" s="1" t="s">
        <v>322</v>
      </c>
      <c r="GK111" s="2">
        <v>42370</v>
      </c>
      <c r="GL111" s="1" t="s">
        <v>322</v>
      </c>
      <c r="GM111" s="1" t="s">
        <v>322</v>
      </c>
      <c r="GN111">
        <v>43193</v>
      </c>
      <c r="GO111" s="1" t="s">
        <v>319</v>
      </c>
      <c r="GQ111" s="1"/>
      <c r="GR111" s="1"/>
      <c r="GS111" s="1"/>
      <c r="GT111" s="1" t="s">
        <v>319</v>
      </c>
      <c r="GU111" s="1" t="s">
        <v>319</v>
      </c>
      <c r="GV111" s="1" t="s">
        <v>322</v>
      </c>
      <c r="GW111" s="1" t="s">
        <v>322</v>
      </c>
      <c r="GX111" s="1" t="s">
        <v>319</v>
      </c>
      <c r="GY111" s="1" t="s">
        <v>319</v>
      </c>
      <c r="GZ111" s="1" t="s">
        <v>319</v>
      </c>
      <c r="HA111" s="2">
        <v>44067</v>
      </c>
      <c r="HB111" s="2">
        <v>42667</v>
      </c>
      <c r="HC111" s="1"/>
      <c r="HD111" s="1"/>
      <c r="HE111" s="1"/>
      <c r="HF111" s="1"/>
      <c r="HG111" s="1"/>
      <c r="HH111" s="1"/>
      <c r="HI111" s="1" t="s">
        <v>322</v>
      </c>
      <c r="HJ111" s="1" t="s">
        <v>330</v>
      </c>
      <c r="HK111" s="2"/>
      <c r="HL111" s="1"/>
      <c r="HM111" s="1" t="s">
        <v>322</v>
      </c>
      <c r="HN111" s="1" t="s">
        <v>322</v>
      </c>
      <c r="HO111" s="1"/>
      <c r="HP111" s="1"/>
      <c r="HQ111" s="1"/>
      <c r="HR111" s="1"/>
      <c r="HS111" s="1"/>
      <c r="HT111" s="1"/>
      <c r="HU111" s="1" t="s">
        <v>331</v>
      </c>
      <c r="HV111">
        <v>4625378014</v>
      </c>
      <c r="HW111">
        <v>40638994</v>
      </c>
      <c r="HX111">
        <v>99102570807</v>
      </c>
      <c r="HY111" s="1" t="s">
        <v>2836</v>
      </c>
      <c r="HZ111">
        <v>4320879</v>
      </c>
      <c r="IA111">
        <v>4321524</v>
      </c>
      <c r="IB111" s="1" t="s">
        <v>2837</v>
      </c>
      <c r="IC111">
        <v>830227</v>
      </c>
      <c r="ID111" s="1" t="s">
        <v>2838</v>
      </c>
      <c r="IE111">
        <v>7.16</v>
      </c>
      <c r="IF111">
        <v>7.07</v>
      </c>
      <c r="IG111">
        <v>6.81</v>
      </c>
      <c r="IH111">
        <v>5.44</v>
      </c>
      <c r="II111">
        <v>6.8</v>
      </c>
      <c r="IJ111">
        <v>5.36</v>
      </c>
      <c r="IK111">
        <v>5.36</v>
      </c>
    </row>
    <row r="112" spans="1:245" x14ac:dyDescent="0.3">
      <c r="A112">
        <v>1929</v>
      </c>
      <c r="B112">
        <v>2431</v>
      </c>
      <c r="C112" s="1" t="s">
        <v>2633</v>
      </c>
      <c r="D112" s="1" t="s">
        <v>2414</v>
      </c>
      <c r="E112" t="s">
        <v>3275</v>
      </c>
      <c r="F112" s="1" t="s">
        <v>2415</v>
      </c>
      <c r="G112" s="1" t="s">
        <v>2416</v>
      </c>
      <c r="H112">
        <v>782575744</v>
      </c>
      <c r="I112" s="1" t="s">
        <v>2634</v>
      </c>
      <c r="J112" s="1" t="s">
        <v>2635</v>
      </c>
      <c r="L112">
        <v>44200</v>
      </c>
      <c r="M112" s="1" t="s">
        <v>2636</v>
      </c>
      <c r="N112" s="1" t="s">
        <v>2637</v>
      </c>
      <c r="O112">
        <v>296861508</v>
      </c>
      <c r="P112" s="1" t="s">
        <v>273</v>
      </c>
      <c r="Q112" s="1" t="s">
        <v>2634</v>
      </c>
      <c r="R112" s="1" t="s">
        <v>2572</v>
      </c>
      <c r="S112" s="1" t="s">
        <v>2638</v>
      </c>
      <c r="T112" s="1" t="s">
        <v>2639</v>
      </c>
      <c r="U112">
        <v>296861509</v>
      </c>
      <c r="V112" s="1" t="s">
        <v>276</v>
      </c>
      <c r="W112" s="1" t="s">
        <v>2634</v>
      </c>
      <c r="X112" s="1" t="s">
        <v>2638</v>
      </c>
      <c r="Y112" s="1" t="s">
        <v>2640</v>
      </c>
      <c r="Z112" s="1" t="s">
        <v>2641</v>
      </c>
      <c r="AA112">
        <v>296861505</v>
      </c>
      <c r="AB112" s="1" t="s">
        <v>2460</v>
      </c>
      <c r="AC112" s="1" t="s">
        <v>2534</v>
      </c>
      <c r="AD112" s="1" t="s">
        <v>2642</v>
      </c>
      <c r="AE112" s="1" t="s">
        <v>2643</v>
      </c>
      <c r="AF112">
        <v>296861506</v>
      </c>
      <c r="AG112" s="1" t="s">
        <v>2417</v>
      </c>
      <c r="AH112" s="1" t="s">
        <v>2466</v>
      </c>
      <c r="AI112" s="1" t="s">
        <v>2644</v>
      </c>
      <c r="AJ112" s="1" t="s">
        <v>2645</v>
      </c>
      <c r="AK112">
        <v>296861504</v>
      </c>
      <c r="AL112" s="1" t="s">
        <v>2480</v>
      </c>
      <c r="AM112" s="1" t="s">
        <v>2619</v>
      </c>
      <c r="AN112" s="1" t="s">
        <v>2646</v>
      </c>
      <c r="AO112" s="1" t="s">
        <v>2647</v>
      </c>
      <c r="AP112">
        <v>296861502</v>
      </c>
      <c r="AQ112" s="1" t="s">
        <v>2570</v>
      </c>
      <c r="AR112" s="1" t="s">
        <v>2646</v>
      </c>
      <c r="AS112" s="1" t="s">
        <v>2648</v>
      </c>
      <c r="AT112" s="1" t="s">
        <v>2649</v>
      </c>
      <c r="AU112">
        <v>296861507</v>
      </c>
      <c r="AV112" s="1" t="s">
        <v>2611</v>
      </c>
      <c r="AW112" s="1" t="s">
        <v>2625</v>
      </c>
      <c r="AX112" s="1" t="s">
        <v>2429</v>
      </c>
      <c r="AY112">
        <v>624644374</v>
      </c>
      <c r="AZ112" s="1" t="s">
        <v>2430</v>
      </c>
      <c r="BB112" s="1" t="s">
        <v>2650</v>
      </c>
      <c r="BC112" s="1" t="s">
        <v>2651</v>
      </c>
      <c r="BD112">
        <v>22</v>
      </c>
      <c r="BE112">
        <v>296861500</v>
      </c>
      <c r="BF112">
        <v>48.532555000000002</v>
      </c>
      <c r="BG112">
        <v>-2.0093440000000502</v>
      </c>
      <c r="BH112">
        <v>451647903</v>
      </c>
      <c r="BI112">
        <v>1213</v>
      </c>
      <c r="BJ112" s="2">
        <v>41010</v>
      </c>
      <c r="BK112" s="1" t="s">
        <v>3411</v>
      </c>
      <c r="BL112" s="1" t="s">
        <v>290</v>
      </c>
      <c r="BM112" s="1" t="s">
        <v>291</v>
      </c>
      <c r="BN112" s="1" t="s">
        <v>292</v>
      </c>
      <c r="BO112" s="1" t="s">
        <v>291</v>
      </c>
      <c r="BP112" s="1" t="s">
        <v>293</v>
      </c>
      <c r="BQ112" s="1" t="s">
        <v>294</v>
      </c>
      <c r="BR112">
        <v>80</v>
      </c>
      <c r="BS112">
        <v>20739319.359999999</v>
      </c>
      <c r="BT112" s="1" t="s">
        <v>295</v>
      </c>
      <c r="BU112" s="1" t="s">
        <v>359</v>
      </c>
      <c r="BV112">
        <v>307259</v>
      </c>
      <c r="BW112">
        <v>1.1079188242987148E-2</v>
      </c>
      <c r="BX112">
        <v>52.428232346541797</v>
      </c>
      <c r="BY112">
        <v>3.2642029845497937</v>
      </c>
      <c r="BZ112">
        <v>6.0772351157117415</v>
      </c>
      <c r="CA112">
        <v>61.769670446803332</v>
      </c>
      <c r="CB112" s="1" t="s">
        <v>360</v>
      </c>
      <c r="CC112">
        <v>1</v>
      </c>
      <c r="CD112" s="1" t="s">
        <v>298</v>
      </c>
      <c r="CE112" s="1" t="s">
        <v>361</v>
      </c>
      <c r="CF112">
        <v>1101</v>
      </c>
      <c r="CG112" s="1" t="s">
        <v>300</v>
      </c>
      <c r="CH112" s="1" t="s">
        <v>403</v>
      </c>
      <c r="CI112" s="1" t="s">
        <v>404</v>
      </c>
      <c r="CJ112" s="1" t="s">
        <v>301</v>
      </c>
      <c r="CK112" s="1" t="s">
        <v>302</v>
      </c>
      <c r="CL112" s="1" t="s">
        <v>527</v>
      </c>
      <c r="CM112">
        <v>3601651112004</v>
      </c>
      <c r="CO112" s="1" t="s">
        <v>322</v>
      </c>
      <c r="CP112" s="1" t="s">
        <v>2652</v>
      </c>
      <c r="CQ112" s="1" t="s">
        <v>766</v>
      </c>
      <c r="CR112" s="1" t="s">
        <v>505</v>
      </c>
      <c r="CS112">
        <v>5485</v>
      </c>
      <c r="CT112">
        <v>2485</v>
      </c>
      <c r="CU112">
        <v>2500</v>
      </c>
      <c r="CV112" s="1" t="s">
        <v>584</v>
      </c>
      <c r="CW112" s="1" t="s">
        <v>308</v>
      </c>
      <c r="CY112">
        <v>3039</v>
      </c>
      <c r="CZ112">
        <v>3000</v>
      </c>
      <c r="DA112" s="1" t="s">
        <v>309</v>
      </c>
      <c r="DB112">
        <v>3000</v>
      </c>
      <c r="DC112">
        <v>3000</v>
      </c>
      <c r="DD112">
        <v>0</v>
      </c>
      <c r="DE112">
        <v>0</v>
      </c>
      <c r="DF112">
        <v>1000</v>
      </c>
      <c r="DG112">
        <v>2000</v>
      </c>
      <c r="DH112">
        <v>0</v>
      </c>
      <c r="DI112">
        <v>0</v>
      </c>
      <c r="DJ112">
        <v>0</v>
      </c>
      <c r="DK112" s="1" t="s">
        <v>409</v>
      </c>
      <c r="DL112" s="1" t="s">
        <v>741</v>
      </c>
      <c r="DN112" s="1"/>
      <c r="DO112">
        <v>750</v>
      </c>
      <c r="DP112">
        <v>0</v>
      </c>
      <c r="DQ112">
        <v>750</v>
      </c>
      <c r="DR112" s="1"/>
      <c r="DS112">
        <v>400</v>
      </c>
      <c r="DT112">
        <v>67</v>
      </c>
      <c r="DU112">
        <v>228</v>
      </c>
      <c r="DV112">
        <v>252</v>
      </c>
      <c r="DW112" s="1" t="s">
        <v>371</v>
      </c>
      <c r="DX112">
        <v>17</v>
      </c>
      <c r="DY112">
        <v>2017</v>
      </c>
      <c r="DZ112">
        <v>2</v>
      </c>
      <c r="EA112">
        <v>2</v>
      </c>
      <c r="EB112">
        <v>6</v>
      </c>
      <c r="EC112">
        <v>2</v>
      </c>
      <c r="ED112">
        <v>0</v>
      </c>
      <c r="EE112">
        <v>0</v>
      </c>
      <c r="EF112">
        <v>10</v>
      </c>
      <c r="EG112">
        <v>2012</v>
      </c>
      <c r="EI112" s="1"/>
      <c r="EJ112" s="1" t="s">
        <v>313</v>
      </c>
      <c r="EK112" s="1" t="s">
        <v>314</v>
      </c>
      <c r="EL112">
        <v>28</v>
      </c>
      <c r="EM112">
        <v>24</v>
      </c>
      <c r="EN112">
        <v>12</v>
      </c>
      <c r="EO112" s="1" t="s">
        <v>315</v>
      </c>
      <c r="EP112">
        <v>29</v>
      </c>
      <c r="EQ112">
        <v>84.983011845246438</v>
      </c>
      <c r="ER112" s="1" t="s">
        <v>316</v>
      </c>
      <c r="ES112">
        <v>1.1826661688205271</v>
      </c>
      <c r="ET112">
        <v>0</v>
      </c>
      <c r="EU112" s="1"/>
      <c r="EV112">
        <v>136.68241865368663</v>
      </c>
      <c r="EW112">
        <v>0</v>
      </c>
      <c r="EX112" t="s">
        <v>316</v>
      </c>
      <c r="EY112">
        <v>0</v>
      </c>
      <c r="EZ112" s="1" t="s">
        <v>412</v>
      </c>
      <c r="FA112" s="2">
        <v>44197</v>
      </c>
      <c r="FB112" s="1" t="s">
        <v>529</v>
      </c>
      <c r="FC112">
        <v>1</v>
      </c>
      <c r="FD112" s="1"/>
      <c r="FE112" s="2"/>
      <c r="FF112" s="1"/>
      <c r="FG112" s="1" t="s">
        <v>322</v>
      </c>
      <c r="FH112" s="1" t="s">
        <v>319</v>
      </c>
      <c r="FI112" s="1" t="s">
        <v>319</v>
      </c>
      <c r="FJ112" s="1" t="s">
        <v>319</v>
      </c>
      <c r="FK112" s="1" t="s">
        <v>373</v>
      </c>
      <c r="FL112">
        <v>18.59</v>
      </c>
      <c r="FM112">
        <v>3898.8449355432772</v>
      </c>
      <c r="FN112" s="1" t="s">
        <v>321</v>
      </c>
      <c r="FO112" s="1" t="s">
        <v>319</v>
      </c>
      <c r="FP112" s="1" t="s">
        <v>323</v>
      </c>
      <c r="FQ112" s="1" t="s">
        <v>324</v>
      </c>
      <c r="FR112" s="1" t="s">
        <v>325</v>
      </c>
      <c r="FS112" s="1"/>
      <c r="FT112" s="1" t="s">
        <v>666</v>
      </c>
      <c r="FV112" s="1" t="s">
        <v>322</v>
      </c>
      <c r="FW112" s="1" t="s">
        <v>322</v>
      </c>
      <c r="FX112" s="1" t="s">
        <v>322</v>
      </c>
      <c r="FY112" s="1" t="s">
        <v>322</v>
      </c>
      <c r="FZ112" s="1" t="s">
        <v>319</v>
      </c>
      <c r="GA112" s="1" t="s">
        <v>322</v>
      </c>
      <c r="GB112" s="1" t="s">
        <v>322</v>
      </c>
      <c r="GC112" s="1"/>
      <c r="GD112" s="1" t="s">
        <v>322</v>
      </c>
      <c r="GE112" s="1" t="s">
        <v>319</v>
      </c>
      <c r="GF112" s="1" t="s">
        <v>415</v>
      </c>
      <c r="GG112" s="1"/>
      <c r="GH112" s="1" t="s">
        <v>322</v>
      </c>
      <c r="GI112" s="1"/>
      <c r="GJ112" s="1" t="s">
        <v>322</v>
      </c>
      <c r="GK112" s="2">
        <v>42005</v>
      </c>
      <c r="GL112" s="1" t="s">
        <v>322</v>
      </c>
      <c r="GM112" s="1" t="s">
        <v>322</v>
      </c>
      <c r="GN112">
        <v>43157</v>
      </c>
      <c r="GO112" s="1" t="s">
        <v>322</v>
      </c>
      <c r="GP112">
        <v>41010</v>
      </c>
      <c r="GQ112" s="1" t="s">
        <v>2653</v>
      </c>
      <c r="GR112" s="1" t="s">
        <v>322</v>
      </c>
      <c r="GS112" s="1" t="s">
        <v>448</v>
      </c>
      <c r="GT112" s="1" t="s">
        <v>322</v>
      </c>
      <c r="GU112" s="1" t="s">
        <v>2586</v>
      </c>
      <c r="GV112" s="1" t="s">
        <v>322</v>
      </c>
      <c r="GW112" s="1" t="s">
        <v>322</v>
      </c>
      <c r="GX112" s="1" t="s">
        <v>319</v>
      </c>
      <c r="GY112" s="1" t="s">
        <v>319</v>
      </c>
      <c r="GZ112" s="1" t="s">
        <v>319</v>
      </c>
      <c r="HA112" s="2">
        <v>44064</v>
      </c>
      <c r="HB112" s="2">
        <v>42653</v>
      </c>
      <c r="HC112" s="1"/>
      <c r="HD112" s="1"/>
      <c r="HE112" s="1"/>
      <c r="HF112" s="1"/>
      <c r="HG112" s="1"/>
      <c r="HH112" s="1"/>
      <c r="HI112" s="1" t="s">
        <v>322</v>
      </c>
      <c r="HJ112" s="1" t="s">
        <v>330</v>
      </c>
      <c r="HK112" s="2"/>
      <c r="HL112" s="1"/>
      <c r="HM112" s="1" t="s">
        <v>322</v>
      </c>
      <c r="HN112" s="1" t="s">
        <v>322</v>
      </c>
      <c r="HO112" s="1"/>
      <c r="HP112" s="1"/>
      <c r="HQ112" s="1"/>
      <c r="HR112" s="1"/>
      <c r="HS112" s="1"/>
      <c r="HT112" s="1"/>
      <c r="HU112" s="1" t="s">
        <v>331</v>
      </c>
      <c r="HV112">
        <v>4632582013</v>
      </c>
      <c r="HW112">
        <v>40638913</v>
      </c>
      <c r="HX112">
        <v>99102570041</v>
      </c>
      <c r="HY112" s="1" t="s">
        <v>2654</v>
      </c>
      <c r="HZ112">
        <v>4304146</v>
      </c>
      <c r="IA112">
        <v>4321346</v>
      </c>
      <c r="IB112" s="1" t="s">
        <v>2655</v>
      </c>
      <c r="IC112">
        <v>830069</v>
      </c>
      <c r="ID112" s="1" t="s">
        <v>2656</v>
      </c>
      <c r="IE112">
        <v>4</v>
      </c>
      <c r="IF112">
        <v>5</v>
      </c>
      <c r="IG112">
        <v>6.25</v>
      </c>
      <c r="IH112">
        <v>7.81</v>
      </c>
      <c r="II112">
        <v>6.8</v>
      </c>
      <c r="IJ112">
        <v>3.28</v>
      </c>
      <c r="IK112">
        <v>3.28</v>
      </c>
    </row>
    <row r="113" spans="1:245" x14ac:dyDescent="0.3">
      <c r="A113">
        <v>1942</v>
      </c>
      <c r="B113">
        <v>2443</v>
      </c>
      <c r="C113" s="1" t="s">
        <v>2159</v>
      </c>
      <c r="D113" s="1" t="s">
        <v>1451</v>
      </c>
      <c r="E113" t="s">
        <v>3275</v>
      </c>
      <c r="F113" s="1" t="s">
        <v>267</v>
      </c>
      <c r="G113" s="1" t="s">
        <v>268</v>
      </c>
      <c r="H113">
        <v>608729156</v>
      </c>
      <c r="I113" s="1" t="s">
        <v>2160</v>
      </c>
      <c r="J113" s="1" t="s">
        <v>2161</v>
      </c>
      <c r="L113">
        <v>43435</v>
      </c>
      <c r="M113" s="1" t="s">
        <v>2162</v>
      </c>
      <c r="N113" s="1" t="s">
        <v>2163</v>
      </c>
      <c r="O113">
        <v>323503950</v>
      </c>
      <c r="P113" s="1" t="s">
        <v>273</v>
      </c>
      <c r="Q113" s="1" t="s">
        <v>1984</v>
      </c>
      <c r="R113" s="1" t="s">
        <v>2101</v>
      </c>
      <c r="S113" s="1" t="s">
        <v>2164</v>
      </c>
      <c r="T113" s="1" t="s">
        <v>2165</v>
      </c>
      <c r="U113">
        <v>688749108</v>
      </c>
      <c r="V113" s="1"/>
      <c r="W113" s="1" t="s">
        <v>2099</v>
      </c>
      <c r="X113" s="1" t="s">
        <v>274</v>
      </c>
      <c r="Y113" s="1" t="s">
        <v>2166</v>
      </c>
      <c r="Z113" s="1" t="s">
        <v>2167</v>
      </c>
      <c r="AA113">
        <v>323503950</v>
      </c>
      <c r="AB113" s="1" t="s">
        <v>2121</v>
      </c>
      <c r="AC113" s="1" t="s">
        <v>2166</v>
      </c>
      <c r="AD113" s="1" t="s">
        <v>524</v>
      </c>
      <c r="AE113" s="1"/>
      <c r="AG113" s="1" t="s">
        <v>2160</v>
      </c>
      <c r="AH113" s="1" t="s">
        <v>279</v>
      </c>
      <c r="AI113" s="1" t="s">
        <v>2168</v>
      </c>
      <c r="AJ113" s="1" t="s">
        <v>2169</v>
      </c>
      <c r="AK113">
        <v>323503950</v>
      </c>
      <c r="AL113" s="1" t="s">
        <v>2086</v>
      </c>
      <c r="AM113" s="1" t="s">
        <v>2013</v>
      </c>
      <c r="AN113" s="1" t="s">
        <v>2170</v>
      </c>
      <c r="AO113" s="1" t="s">
        <v>2171</v>
      </c>
      <c r="AP113">
        <v>323503952</v>
      </c>
      <c r="AQ113" s="1" t="s">
        <v>2049</v>
      </c>
      <c r="AR113" s="1" t="s">
        <v>2015</v>
      </c>
      <c r="AS113" s="1" t="s">
        <v>2172</v>
      </c>
      <c r="AT113" s="1" t="s">
        <v>2173</v>
      </c>
      <c r="AU113">
        <v>323503957</v>
      </c>
      <c r="AV113" s="1" t="s">
        <v>2140</v>
      </c>
      <c r="AW113" s="1" t="s">
        <v>2063</v>
      </c>
      <c r="AX113" s="1" t="s">
        <v>287</v>
      </c>
      <c r="AY113">
        <v>7873000105</v>
      </c>
      <c r="AZ113" s="1"/>
      <c r="BB113" s="1" t="s">
        <v>2174</v>
      </c>
      <c r="BC113" s="1" t="s">
        <v>2175</v>
      </c>
      <c r="BD113">
        <v>2</v>
      </c>
      <c r="BE113">
        <v>323503950</v>
      </c>
      <c r="BF113">
        <v>49.841912612412798</v>
      </c>
      <c r="BG113">
        <v>3.32905054092407</v>
      </c>
      <c r="BH113">
        <v>451647903</v>
      </c>
      <c r="BI113">
        <v>1353</v>
      </c>
      <c r="BJ113" s="2">
        <v>42216</v>
      </c>
      <c r="BK113" s="1" t="s">
        <v>3311</v>
      </c>
      <c r="BL113" s="1" t="s">
        <v>290</v>
      </c>
      <c r="BM113" s="1" t="s">
        <v>917</v>
      </c>
      <c r="BN113" s="1" t="s">
        <v>292</v>
      </c>
      <c r="BO113" s="1" t="s">
        <v>291</v>
      </c>
      <c r="BP113" s="1" t="s">
        <v>293</v>
      </c>
      <c r="BQ113" s="1" t="s">
        <v>294</v>
      </c>
      <c r="BR113">
        <v>75</v>
      </c>
      <c r="BS113">
        <v>26058689.129999999</v>
      </c>
      <c r="BT113" s="1" t="s">
        <v>295</v>
      </c>
      <c r="BU113" s="1" t="s">
        <v>296</v>
      </c>
      <c r="BV113">
        <v>357961</v>
      </c>
      <c r="BW113">
        <v>1.3940166029243287E-2</v>
      </c>
      <c r="BX113">
        <v>49.800026373046698</v>
      </c>
      <c r="BY113">
        <v>0.91666666666666663</v>
      </c>
      <c r="BZ113">
        <v>11.72169292982572</v>
      </c>
      <c r="CA113">
        <v>62.438385969539084</v>
      </c>
      <c r="CB113" s="1" t="s">
        <v>360</v>
      </c>
      <c r="CC113">
        <v>1</v>
      </c>
      <c r="CD113" s="1" t="s">
        <v>298</v>
      </c>
      <c r="CE113" s="1" t="s">
        <v>504</v>
      </c>
      <c r="CF113">
        <v>1101</v>
      </c>
      <c r="CG113" s="1" t="s">
        <v>300</v>
      </c>
      <c r="CH113" s="1" t="s">
        <v>1474</v>
      </c>
      <c r="CI113" s="1" t="s">
        <v>1475</v>
      </c>
      <c r="CJ113" s="1" t="s">
        <v>1474</v>
      </c>
      <c r="CK113" s="1" t="s">
        <v>1475</v>
      </c>
      <c r="CL113" s="1" t="s">
        <v>1476</v>
      </c>
      <c r="CM113">
        <v>3020409000010</v>
      </c>
      <c r="CO113" s="1"/>
      <c r="CP113" s="1" t="s">
        <v>444</v>
      </c>
      <c r="CQ113" s="1" t="s">
        <v>367</v>
      </c>
      <c r="CR113" s="1" t="s">
        <v>306</v>
      </c>
      <c r="CS113">
        <v>5935</v>
      </c>
      <c r="CT113">
        <v>2980</v>
      </c>
      <c r="CU113">
        <v>3000</v>
      </c>
      <c r="CV113" s="1" t="s">
        <v>309</v>
      </c>
      <c r="CW113" s="1" t="s">
        <v>308</v>
      </c>
      <c r="CY113">
        <v>3000</v>
      </c>
      <c r="CZ113">
        <v>3000</v>
      </c>
      <c r="DA113" s="1" t="s">
        <v>309</v>
      </c>
      <c r="DB113">
        <v>2500</v>
      </c>
      <c r="DC113">
        <v>2500</v>
      </c>
      <c r="DD113">
        <v>0</v>
      </c>
      <c r="DE113">
        <v>0</v>
      </c>
      <c r="DF113">
        <v>1270</v>
      </c>
      <c r="DG113">
        <v>1230</v>
      </c>
      <c r="DH113">
        <v>455</v>
      </c>
      <c r="DI113">
        <v>0</v>
      </c>
      <c r="DJ113">
        <v>455</v>
      </c>
      <c r="DK113" s="1" t="s">
        <v>369</v>
      </c>
      <c r="DL113" s="1" t="s">
        <v>370</v>
      </c>
      <c r="DN113" s="1"/>
      <c r="DO113">
        <v>800</v>
      </c>
      <c r="DP113">
        <v>0</v>
      </c>
      <c r="DQ113">
        <v>800</v>
      </c>
      <c r="DR113" s="1"/>
      <c r="DS113">
        <v>400</v>
      </c>
      <c r="DT113">
        <v>94</v>
      </c>
      <c r="DU113">
        <v>314</v>
      </c>
      <c r="DV113">
        <v>188</v>
      </c>
      <c r="DW113" s="1" t="s">
        <v>371</v>
      </c>
      <c r="DX113">
        <v>15</v>
      </c>
      <c r="DZ113">
        <v>2</v>
      </c>
      <c r="EA113">
        <v>2</v>
      </c>
      <c r="EB113">
        <v>8</v>
      </c>
      <c r="EC113">
        <v>2</v>
      </c>
      <c r="ED113">
        <v>0</v>
      </c>
      <c r="EE113">
        <v>1</v>
      </c>
      <c r="EF113">
        <v>13</v>
      </c>
      <c r="EG113">
        <v>2015</v>
      </c>
      <c r="EI113" s="1"/>
      <c r="EJ113" s="1" t="s">
        <v>313</v>
      </c>
      <c r="EK113" s="1" t="s">
        <v>314</v>
      </c>
      <c r="EL113">
        <v>28</v>
      </c>
      <c r="EM113">
        <v>25</v>
      </c>
      <c r="EN113">
        <v>12</v>
      </c>
      <c r="EO113" s="1" t="s">
        <v>315</v>
      </c>
      <c r="EP113">
        <v>22</v>
      </c>
      <c r="EQ113">
        <v>85.473800107204426</v>
      </c>
      <c r="ER113" s="1" t="s">
        <v>316</v>
      </c>
      <c r="ES113">
        <v>3.2595940718849148</v>
      </c>
      <c r="ET113">
        <v>0</v>
      </c>
      <c r="EU113" s="1"/>
      <c r="EV113">
        <v>69.719095426427344</v>
      </c>
      <c r="EW113">
        <v>0</v>
      </c>
      <c r="EX113" t="s">
        <v>316</v>
      </c>
      <c r="EY113">
        <v>0</v>
      </c>
      <c r="EZ113" s="1" t="s">
        <v>412</v>
      </c>
      <c r="FA113" s="2">
        <v>44197</v>
      </c>
      <c r="FB113" s="1" t="s">
        <v>529</v>
      </c>
      <c r="FC113">
        <v>1</v>
      </c>
      <c r="FD113" s="1"/>
      <c r="FE113" s="2"/>
      <c r="FF113" s="1"/>
      <c r="FG113" s="1" t="s">
        <v>322</v>
      </c>
      <c r="FH113" s="1" t="s">
        <v>319</v>
      </c>
      <c r="FI113" s="1" t="s">
        <v>319</v>
      </c>
      <c r="FJ113" s="1" t="s">
        <v>319</v>
      </c>
      <c r="FK113" s="1" t="s">
        <v>320</v>
      </c>
      <c r="FL113">
        <v>18.920000000000002</v>
      </c>
      <c r="FM113">
        <v>3945.9585595367353</v>
      </c>
      <c r="FN113" s="1" t="s">
        <v>321</v>
      </c>
      <c r="FO113" s="1" t="s">
        <v>322</v>
      </c>
      <c r="FP113" s="1" t="s">
        <v>323</v>
      </c>
      <c r="FQ113" s="1" t="s">
        <v>324</v>
      </c>
      <c r="FR113" s="1" t="s">
        <v>1750</v>
      </c>
      <c r="FS113" s="1" t="s">
        <v>918</v>
      </c>
      <c r="FT113" s="1" t="s">
        <v>1751</v>
      </c>
      <c r="FV113" s="1" t="s">
        <v>322</v>
      </c>
      <c r="FW113" s="1" t="s">
        <v>322</v>
      </c>
      <c r="FX113" s="1" t="s">
        <v>322</v>
      </c>
      <c r="FY113" s="1"/>
      <c r="FZ113" s="1" t="s">
        <v>319</v>
      </c>
      <c r="GA113" s="1" t="s">
        <v>322</v>
      </c>
      <c r="GB113" s="1" t="s">
        <v>322</v>
      </c>
      <c r="GC113" s="1" t="s">
        <v>322</v>
      </c>
      <c r="GD113" s="1" t="s">
        <v>322</v>
      </c>
      <c r="GE113" s="1" t="s">
        <v>322</v>
      </c>
      <c r="GF113" s="1" t="s">
        <v>667</v>
      </c>
      <c r="GG113" s="1"/>
      <c r="GH113" s="1" t="s">
        <v>322</v>
      </c>
      <c r="GI113" s="1"/>
      <c r="GJ113" s="1" t="s">
        <v>322</v>
      </c>
      <c r="GK113" s="2">
        <v>42005</v>
      </c>
      <c r="GL113" s="1" t="s">
        <v>322</v>
      </c>
      <c r="GM113" s="1" t="s">
        <v>322</v>
      </c>
      <c r="GN113">
        <v>42954</v>
      </c>
      <c r="GO113" s="1" t="s">
        <v>322</v>
      </c>
      <c r="GQ113" s="1" t="s">
        <v>2176</v>
      </c>
      <c r="GR113" s="1" t="s">
        <v>319</v>
      </c>
      <c r="GS113" s="1" t="s">
        <v>377</v>
      </c>
      <c r="GT113" s="1" t="s">
        <v>322</v>
      </c>
      <c r="GU113" s="1" t="s">
        <v>1479</v>
      </c>
      <c r="GV113" s="1" t="s">
        <v>322</v>
      </c>
      <c r="GW113" s="1" t="s">
        <v>319</v>
      </c>
      <c r="GX113" s="1" t="s">
        <v>322</v>
      </c>
      <c r="GY113" s="1" t="s">
        <v>319</v>
      </c>
      <c r="GZ113" s="1" t="s">
        <v>319</v>
      </c>
      <c r="HA113" s="2">
        <v>44063</v>
      </c>
      <c r="HB113" s="2">
        <v>42660</v>
      </c>
      <c r="HC113" s="1"/>
      <c r="HD113" s="1"/>
      <c r="HE113" s="1" t="s">
        <v>322</v>
      </c>
      <c r="HF113" s="1"/>
      <c r="HG113" s="1"/>
      <c r="HH113" s="1"/>
      <c r="HI113" s="1" t="s">
        <v>322</v>
      </c>
      <c r="HJ113" s="1" t="s">
        <v>330</v>
      </c>
      <c r="HK113" s="2"/>
      <c r="HL113" s="1"/>
      <c r="HM113" s="1" t="s">
        <v>322</v>
      </c>
      <c r="HN113" s="1" t="s">
        <v>322</v>
      </c>
      <c r="HO113" s="1"/>
      <c r="HP113" s="1"/>
      <c r="HQ113" s="1"/>
      <c r="HR113" s="1"/>
      <c r="HS113" s="1"/>
      <c r="HT113" s="1"/>
      <c r="HU113" s="1" t="s">
        <v>331</v>
      </c>
      <c r="HV113">
        <v>4317823</v>
      </c>
      <c r="HW113">
        <v>40638729</v>
      </c>
      <c r="HX113">
        <v>99102569418</v>
      </c>
      <c r="HY113" s="1" t="s">
        <v>2177</v>
      </c>
      <c r="HZ113">
        <v>4317841</v>
      </c>
      <c r="IA113">
        <v>4321357</v>
      </c>
      <c r="IB113" s="1" t="s">
        <v>2178</v>
      </c>
      <c r="IC113">
        <v>830193</v>
      </c>
      <c r="ID113" s="1" t="s">
        <v>2179</v>
      </c>
      <c r="IE113">
        <v>3.1</v>
      </c>
      <c r="IF113">
        <v>3</v>
      </c>
      <c r="IG113">
        <v>2.9</v>
      </c>
      <c r="IH113">
        <v>2.1</v>
      </c>
      <c r="II113">
        <v>1.85</v>
      </c>
      <c r="IJ113">
        <v>3.8314814814814815</v>
      </c>
      <c r="IK113">
        <v>3.85</v>
      </c>
    </row>
    <row r="114" spans="1:245" x14ac:dyDescent="0.3">
      <c r="A114">
        <v>1776</v>
      </c>
      <c r="B114">
        <v>2390</v>
      </c>
      <c r="C114" s="1" t="s">
        <v>1553</v>
      </c>
      <c r="D114" s="1" t="s">
        <v>1074</v>
      </c>
      <c r="E114" t="s">
        <v>3275</v>
      </c>
      <c r="F114" s="1" t="s">
        <v>3300</v>
      </c>
      <c r="G114" s="1" t="s">
        <v>1452</v>
      </c>
      <c r="H114">
        <v>625291561</v>
      </c>
      <c r="I114" s="1" t="s">
        <v>1554</v>
      </c>
      <c r="J114" s="1" t="s">
        <v>1555</v>
      </c>
      <c r="K114">
        <v>622607844</v>
      </c>
      <c r="L114">
        <v>43199</v>
      </c>
      <c r="M114" s="1" t="s">
        <v>1556</v>
      </c>
      <c r="N114" s="1" t="s">
        <v>1557</v>
      </c>
      <c r="O114">
        <v>658281456</v>
      </c>
      <c r="P114" s="1" t="s">
        <v>273</v>
      </c>
      <c r="Q114" s="1" t="s">
        <v>1683</v>
      </c>
      <c r="R114" s="1" t="s">
        <v>1685</v>
      </c>
      <c r="S114" s="1" t="s">
        <v>1558</v>
      </c>
      <c r="T114" s="1" t="s">
        <v>1559</v>
      </c>
      <c r="U114">
        <v>134319247</v>
      </c>
      <c r="V114" s="1" t="s">
        <v>276</v>
      </c>
      <c r="W114" s="1" t="s">
        <v>1459</v>
      </c>
      <c r="X114" s="1" t="s">
        <v>1560</v>
      </c>
      <c r="Y114" s="1" t="s">
        <v>1561</v>
      </c>
      <c r="Z114" s="1" t="s">
        <v>1562</v>
      </c>
      <c r="AA114">
        <v>134319246</v>
      </c>
      <c r="AB114" s="1" t="s">
        <v>1530</v>
      </c>
      <c r="AC114" s="1" t="s">
        <v>1637</v>
      </c>
      <c r="AD114" s="1" t="s">
        <v>1563</v>
      </c>
      <c r="AE114" s="1" t="s">
        <v>1564</v>
      </c>
      <c r="AF114">
        <v>134319243</v>
      </c>
      <c r="AG114" s="1" t="s">
        <v>1617</v>
      </c>
      <c r="AH114" s="1" t="s">
        <v>1689</v>
      </c>
      <c r="AI114" s="1" t="s">
        <v>1565</v>
      </c>
      <c r="AJ114" s="1" t="s">
        <v>1566</v>
      </c>
      <c r="AK114">
        <v>134319245</v>
      </c>
      <c r="AL114" s="1" t="s">
        <v>1658</v>
      </c>
      <c r="AM114" s="1" t="s">
        <v>1668</v>
      </c>
      <c r="AN114" s="1" t="s">
        <v>1567</v>
      </c>
      <c r="AO114" s="1" t="s">
        <v>1568</v>
      </c>
      <c r="AP114">
        <v>134319242</v>
      </c>
      <c r="AQ114" s="1" t="s">
        <v>1453</v>
      </c>
      <c r="AR114" s="1" t="s">
        <v>1466</v>
      </c>
      <c r="AS114" s="1" t="s">
        <v>1569</v>
      </c>
      <c r="AT114" s="1" t="s">
        <v>1570</v>
      </c>
      <c r="AU114">
        <v>134319243</v>
      </c>
      <c r="AV114" s="1" t="s">
        <v>1582</v>
      </c>
      <c r="AW114" s="1" t="s">
        <v>1695</v>
      </c>
      <c r="AX114" s="1" t="s">
        <v>1470</v>
      </c>
      <c r="AY114">
        <v>609519427</v>
      </c>
      <c r="AZ114" s="1" t="s">
        <v>1471</v>
      </c>
      <c r="BA114">
        <v>784179654</v>
      </c>
      <c r="BB114" s="1" t="s">
        <v>1571</v>
      </c>
      <c r="BC114" s="1" t="s">
        <v>1572</v>
      </c>
      <c r="BD114">
        <v>95</v>
      </c>
      <c r="BE114">
        <v>134319240</v>
      </c>
      <c r="BF114">
        <v>49.0936279296875</v>
      </c>
      <c r="BG114">
        <v>2.5287399291992099</v>
      </c>
      <c r="BH114">
        <v>451647903</v>
      </c>
      <c r="BI114">
        <v>454</v>
      </c>
      <c r="BJ114" s="2">
        <v>37958</v>
      </c>
      <c r="BK114" s="1" t="s">
        <v>3374</v>
      </c>
      <c r="BL114" s="1" t="s">
        <v>290</v>
      </c>
      <c r="BM114" s="1" t="s">
        <v>291</v>
      </c>
      <c r="BN114" s="1" t="s">
        <v>292</v>
      </c>
      <c r="BO114" s="1" t="s">
        <v>291</v>
      </c>
      <c r="BP114" s="1" t="s">
        <v>293</v>
      </c>
      <c r="BQ114" s="1" t="s">
        <v>1093</v>
      </c>
      <c r="BR114">
        <v>85</v>
      </c>
      <c r="BS114">
        <v>25321091.359999999</v>
      </c>
      <c r="BT114" s="1" t="s">
        <v>295</v>
      </c>
      <c r="BU114" s="1" t="s">
        <v>296</v>
      </c>
      <c r="BV114">
        <v>420421</v>
      </c>
      <c r="BW114">
        <v>1.5543695731041387E-2</v>
      </c>
      <c r="BX114">
        <v>61.971714907364699</v>
      </c>
      <c r="BY114">
        <v>2.5833333333333335</v>
      </c>
      <c r="BZ114">
        <v>6.6864123865409546</v>
      </c>
      <c r="CA114">
        <v>71.241460627238979</v>
      </c>
      <c r="CB114" s="1" t="s">
        <v>443</v>
      </c>
      <c r="CC114">
        <v>1</v>
      </c>
      <c r="CD114" s="1" t="s">
        <v>361</v>
      </c>
      <c r="CE114" s="1" t="s">
        <v>299</v>
      </c>
      <c r="CF114">
        <v>1101</v>
      </c>
      <c r="CG114" s="1" t="s">
        <v>300</v>
      </c>
      <c r="CH114" s="1" t="s">
        <v>301</v>
      </c>
      <c r="CI114" s="1" t="s">
        <v>302</v>
      </c>
      <c r="CJ114" s="1" t="s">
        <v>301</v>
      </c>
      <c r="CK114" s="1" t="s">
        <v>302</v>
      </c>
      <c r="CL114" s="1" t="s">
        <v>303</v>
      </c>
      <c r="CM114">
        <v>3601651117009</v>
      </c>
      <c r="CO114" s="1"/>
      <c r="CP114" s="1" t="s">
        <v>444</v>
      </c>
      <c r="CQ114" s="1" t="s">
        <v>305</v>
      </c>
      <c r="CR114" s="1" t="s">
        <v>306</v>
      </c>
      <c r="CS114">
        <v>6415</v>
      </c>
      <c r="CT114">
        <v>3702</v>
      </c>
      <c r="CU114">
        <v>3700</v>
      </c>
      <c r="CV114" s="1" t="s">
        <v>307</v>
      </c>
      <c r="CW114" s="1" t="s">
        <v>308</v>
      </c>
      <c r="CY114">
        <v>2713</v>
      </c>
      <c r="CZ114" t="s">
        <v>368</v>
      </c>
      <c r="DA114" s="1" t="s">
        <v>309</v>
      </c>
      <c r="DB114">
        <v>2713</v>
      </c>
      <c r="DC114">
        <v>2713</v>
      </c>
      <c r="DD114">
        <v>0</v>
      </c>
      <c r="DE114">
        <v>0</v>
      </c>
      <c r="DF114">
        <v>1140</v>
      </c>
      <c r="DG114">
        <v>1573</v>
      </c>
      <c r="DH114">
        <v>0</v>
      </c>
      <c r="DI114">
        <v>0</v>
      </c>
      <c r="DJ114">
        <v>0</v>
      </c>
      <c r="DK114" s="1" t="s">
        <v>369</v>
      </c>
      <c r="DL114" s="1" t="s">
        <v>370</v>
      </c>
      <c r="DN114" s="1"/>
      <c r="DO114">
        <v>798</v>
      </c>
      <c r="DP114">
        <v>0</v>
      </c>
      <c r="DQ114">
        <v>798</v>
      </c>
      <c r="DR114" s="1"/>
      <c r="DS114">
        <v>637</v>
      </c>
      <c r="DT114">
        <v>83</v>
      </c>
      <c r="DU114">
        <v>226</v>
      </c>
      <c r="DV114">
        <v>322</v>
      </c>
      <c r="DW114" s="1" t="s">
        <v>371</v>
      </c>
      <c r="DX114">
        <v>20</v>
      </c>
      <c r="DZ114">
        <v>2</v>
      </c>
      <c r="EA114">
        <v>2</v>
      </c>
      <c r="EB114">
        <v>12</v>
      </c>
      <c r="EC114">
        <v>2</v>
      </c>
      <c r="ED114">
        <v>0</v>
      </c>
      <c r="EE114">
        <v>0</v>
      </c>
      <c r="EF114">
        <v>16</v>
      </c>
      <c r="EG114">
        <v>2010</v>
      </c>
      <c r="EI114" s="1"/>
      <c r="EJ114" s="1" t="s">
        <v>313</v>
      </c>
      <c r="EK114" s="1" t="s">
        <v>314</v>
      </c>
      <c r="EL114">
        <v>28</v>
      </c>
      <c r="EM114">
        <v>19</v>
      </c>
      <c r="EN114">
        <v>13</v>
      </c>
      <c r="EO114" s="1" t="s">
        <v>315</v>
      </c>
      <c r="EP114">
        <v>13</v>
      </c>
      <c r="EQ114">
        <v>122.19226394211172</v>
      </c>
      <c r="ER114" s="1" t="s">
        <v>411</v>
      </c>
      <c r="ES114">
        <v>8.2712139583983522</v>
      </c>
      <c r="ET114">
        <v>1</v>
      </c>
      <c r="EU114" s="1" t="s">
        <v>249</v>
      </c>
      <c r="EV114">
        <v>54.91403906400555</v>
      </c>
      <c r="EW114">
        <v>5</v>
      </c>
      <c r="EX114" t="s">
        <v>1574</v>
      </c>
      <c r="EY114">
        <v>6</v>
      </c>
      <c r="EZ114" s="1" t="s">
        <v>1381</v>
      </c>
      <c r="FA114" s="2"/>
      <c r="FB114" s="1" t="s">
        <v>1382</v>
      </c>
      <c r="FC114">
        <v>1</v>
      </c>
      <c r="FD114" s="1"/>
      <c r="FE114" s="2">
        <v>42370</v>
      </c>
      <c r="FF114" s="1" t="s">
        <v>1575</v>
      </c>
      <c r="FG114" s="1" t="s">
        <v>319</v>
      </c>
      <c r="FH114" s="1" t="s">
        <v>319</v>
      </c>
      <c r="FI114" s="1" t="s">
        <v>319</v>
      </c>
      <c r="FJ114" s="1" t="s">
        <v>319</v>
      </c>
      <c r="FK114" s="1" t="s">
        <v>1096</v>
      </c>
      <c r="FL114">
        <v>19.27</v>
      </c>
      <c r="FM114">
        <v>4909.9508021390375</v>
      </c>
      <c r="FN114" s="1" t="s">
        <v>321</v>
      </c>
      <c r="FO114" s="1" t="s">
        <v>322</v>
      </c>
      <c r="FP114" s="1" t="s">
        <v>323</v>
      </c>
      <c r="FQ114" s="1" t="s">
        <v>324</v>
      </c>
      <c r="FR114" s="1" t="s">
        <v>325</v>
      </c>
      <c r="FS114" s="1"/>
      <c r="FT114" s="1" t="s">
        <v>326</v>
      </c>
      <c r="FU114">
        <v>494198191</v>
      </c>
      <c r="FV114" s="1" t="s">
        <v>322</v>
      </c>
      <c r="FW114" s="1" t="s">
        <v>322</v>
      </c>
      <c r="FX114" s="1" t="s">
        <v>322</v>
      </c>
      <c r="FY114" s="1" t="s">
        <v>322</v>
      </c>
      <c r="FZ114" s="1" t="s">
        <v>322</v>
      </c>
      <c r="GA114" s="1" t="s">
        <v>322</v>
      </c>
      <c r="GB114" s="1" t="s">
        <v>322</v>
      </c>
      <c r="GC114" s="1" t="s">
        <v>322</v>
      </c>
      <c r="GD114" s="1" t="s">
        <v>322</v>
      </c>
      <c r="GE114" s="1" t="s">
        <v>322</v>
      </c>
      <c r="GF114" s="1" t="s">
        <v>415</v>
      </c>
      <c r="GG114" s="1"/>
      <c r="GH114" s="1" t="s">
        <v>322</v>
      </c>
      <c r="GI114" s="1" t="s">
        <v>375</v>
      </c>
      <c r="GJ114" s="1" t="s">
        <v>322</v>
      </c>
      <c r="GK114" s="2">
        <v>42005</v>
      </c>
      <c r="GL114" s="1" t="s">
        <v>322</v>
      </c>
      <c r="GM114" s="1" t="s">
        <v>322</v>
      </c>
      <c r="GN114">
        <v>43116</v>
      </c>
      <c r="GO114" s="1" t="s">
        <v>319</v>
      </c>
      <c r="GP114" t="s">
        <v>1576</v>
      </c>
      <c r="GQ114" s="1"/>
      <c r="GR114" s="1"/>
      <c r="GS114" s="1"/>
      <c r="GT114" s="1" t="s">
        <v>319</v>
      </c>
      <c r="GU114" s="1" t="s">
        <v>1577</v>
      </c>
      <c r="GV114" s="1" t="s">
        <v>322</v>
      </c>
      <c r="GW114" s="1" t="s">
        <v>322</v>
      </c>
      <c r="GX114" s="1" t="s">
        <v>319</v>
      </c>
      <c r="GY114" s="1" t="s">
        <v>319</v>
      </c>
      <c r="GZ114" s="1" t="s">
        <v>319</v>
      </c>
      <c r="HA114" s="2">
        <v>44064</v>
      </c>
      <c r="HB114" s="2">
        <v>42660</v>
      </c>
      <c r="HC114" s="1"/>
      <c r="HD114" s="1"/>
      <c r="HE114" s="1"/>
      <c r="HF114" s="1"/>
      <c r="HG114" s="1"/>
      <c r="HH114" s="1"/>
      <c r="HI114" s="1" t="s">
        <v>319</v>
      </c>
      <c r="HJ114" s="1" t="s">
        <v>330</v>
      </c>
      <c r="HK114" s="2"/>
      <c r="HL114" s="1"/>
      <c r="HM114" s="1" t="s">
        <v>322</v>
      </c>
      <c r="HN114" s="1" t="s">
        <v>322</v>
      </c>
      <c r="HO114" s="1"/>
      <c r="HP114" s="1"/>
      <c r="HQ114" s="1"/>
      <c r="HR114" s="1"/>
      <c r="HS114" s="1"/>
      <c r="HT114" s="1"/>
      <c r="HU114" s="1" t="s">
        <v>331</v>
      </c>
      <c r="HV114">
        <v>4621985011</v>
      </c>
      <c r="HW114">
        <v>40638439</v>
      </c>
      <c r="HX114">
        <v>99102567678</v>
      </c>
      <c r="HY114" s="1" t="s">
        <v>1578</v>
      </c>
      <c r="HZ114">
        <v>4320770</v>
      </c>
      <c r="IA114">
        <v>4321089</v>
      </c>
      <c r="IB114" s="1" t="s">
        <v>1579</v>
      </c>
      <c r="IC114">
        <v>830125</v>
      </c>
      <c r="ID114" s="1" t="s">
        <v>1580</v>
      </c>
      <c r="IE114">
        <v>6.4</v>
      </c>
      <c r="IF114">
        <v>7.7</v>
      </c>
      <c r="IG114">
        <v>7.89</v>
      </c>
      <c r="IH114">
        <v>4.88</v>
      </c>
      <c r="II114">
        <v>4.78</v>
      </c>
      <c r="IJ114">
        <v>3.0311111111111111</v>
      </c>
      <c r="IK114">
        <v>3.02</v>
      </c>
    </row>
    <row r="115" spans="1:245" x14ac:dyDescent="0.3">
      <c r="A115">
        <v>1903</v>
      </c>
      <c r="B115">
        <v>2413</v>
      </c>
      <c r="C115" s="1" t="s">
        <v>1429</v>
      </c>
      <c r="D115" s="1" t="s">
        <v>266</v>
      </c>
      <c r="E115" t="s">
        <v>3275</v>
      </c>
      <c r="F115" s="1" t="s">
        <v>1228</v>
      </c>
      <c r="G115" s="1" t="s">
        <v>1229</v>
      </c>
      <c r="H115">
        <v>624328593</v>
      </c>
      <c r="I115" s="1" t="s">
        <v>1430</v>
      </c>
      <c r="J115" s="1" t="s">
        <v>1431</v>
      </c>
      <c r="K115">
        <v>623881073</v>
      </c>
      <c r="L115">
        <v>44592</v>
      </c>
      <c r="M115" s="1" t="s">
        <v>1432</v>
      </c>
      <c r="N115" s="1" t="s">
        <v>1433</v>
      </c>
      <c r="O115">
        <v>388655058</v>
      </c>
      <c r="P115" s="1" t="s">
        <v>884</v>
      </c>
      <c r="Q115" s="1" t="s">
        <v>1430</v>
      </c>
      <c r="R115" s="1" t="s">
        <v>1389</v>
      </c>
      <c r="S115" s="1" t="s">
        <v>1432</v>
      </c>
      <c r="T115" s="1" t="s">
        <v>1434</v>
      </c>
      <c r="U115">
        <v>388655058</v>
      </c>
      <c r="V115" s="1" t="s">
        <v>754</v>
      </c>
      <c r="W115" s="1" t="s">
        <v>1387</v>
      </c>
      <c r="X115" s="1" t="s">
        <v>1299</v>
      </c>
      <c r="Y115" s="1" t="s">
        <v>1435</v>
      </c>
      <c r="Z115" s="1" t="s">
        <v>1436</v>
      </c>
      <c r="AB115" s="1" t="s">
        <v>1255</v>
      </c>
      <c r="AC115" s="1" t="s">
        <v>1259</v>
      </c>
      <c r="AD115" s="1" t="s">
        <v>1437</v>
      </c>
      <c r="AE115" s="1" t="s">
        <v>1438</v>
      </c>
      <c r="AF115">
        <v>388655054</v>
      </c>
      <c r="AG115" s="1" t="s">
        <v>1297</v>
      </c>
      <c r="AH115" s="1" t="s">
        <v>1347</v>
      </c>
      <c r="AI115" s="1" t="s">
        <v>1439</v>
      </c>
      <c r="AJ115" s="1" t="s">
        <v>1440</v>
      </c>
      <c r="AK115">
        <v>786506219</v>
      </c>
      <c r="AL115" s="1" t="s">
        <v>1411</v>
      </c>
      <c r="AM115" s="1" t="s">
        <v>1417</v>
      </c>
      <c r="AN115" s="1" t="s">
        <v>1441</v>
      </c>
      <c r="AO115" s="1" t="s">
        <v>1442</v>
      </c>
      <c r="AP115">
        <v>388655052</v>
      </c>
      <c r="AQ115" s="1" t="s">
        <v>1320</v>
      </c>
      <c r="AR115" s="1" t="s">
        <v>1265</v>
      </c>
      <c r="AS115" s="1" t="s">
        <v>1443</v>
      </c>
      <c r="AT115" s="1" t="s">
        <v>1444</v>
      </c>
      <c r="AU115">
        <v>388655057</v>
      </c>
      <c r="AV115" s="1" t="s">
        <v>1320</v>
      </c>
      <c r="AW115" s="1" t="s">
        <v>1443</v>
      </c>
      <c r="AX115" s="1" t="s">
        <v>1241</v>
      </c>
      <c r="AY115">
        <v>646374593</v>
      </c>
      <c r="AZ115" s="1" t="s">
        <v>1242</v>
      </c>
      <c r="BB115" s="1" t="s">
        <v>1445</v>
      </c>
      <c r="BC115" s="1" t="s">
        <v>1446</v>
      </c>
      <c r="BD115">
        <v>67</v>
      </c>
      <c r="BE115">
        <v>388655050</v>
      </c>
      <c r="BF115">
        <v>48.532470703125</v>
      </c>
      <c r="BG115">
        <v>7.68389892578125</v>
      </c>
      <c r="BH115">
        <v>451647903</v>
      </c>
      <c r="BI115">
        <v>1056</v>
      </c>
      <c r="BJ115" s="2">
        <v>39617</v>
      </c>
      <c r="BK115" s="1" t="s">
        <v>2745</v>
      </c>
      <c r="BL115" s="1" t="s">
        <v>290</v>
      </c>
      <c r="BM115" s="1" t="s">
        <v>291</v>
      </c>
      <c r="BN115" s="1" t="s">
        <v>292</v>
      </c>
      <c r="BO115" s="1" t="s">
        <v>291</v>
      </c>
      <c r="BP115" s="1" t="s">
        <v>293</v>
      </c>
      <c r="BQ115" s="1" t="s">
        <v>1247</v>
      </c>
      <c r="BR115">
        <v>75</v>
      </c>
      <c r="BS115">
        <v>21206058.949999999</v>
      </c>
      <c r="BT115" s="1" t="s">
        <v>295</v>
      </c>
      <c r="BU115" s="1" t="s">
        <v>296</v>
      </c>
      <c r="BV115">
        <v>315519</v>
      </c>
      <c r="BW115">
        <v>1.8057604977739058E-2</v>
      </c>
      <c r="BX115">
        <v>52.714116173270902</v>
      </c>
      <c r="BY115">
        <v>3.1666446891277098</v>
      </c>
      <c r="BZ115">
        <v>7.3006565789762865</v>
      </c>
      <c r="CA115">
        <v>63.181417441374897</v>
      </c>
      <c r="CB115" s="1" t="s">
        <v>476</v>
      </c>
      <c r="CC115">
        <v>1</v>
      </c>
      <c r="CD115" s="1" t="s">
        <v>298</v>
      </c>
      <c r="CE115" s="1" t="s">
        <v>299</v>
      </c>
      <c r="CF115">
        <v>1106</v>
      </c>
      <c r="CG115" s="1" t="s">
        <v>362</v>
      </c>
      <c r="CH115" s="1" t="s">
        <v>972</v>
      </c>
      <c r="CI115" s="1" t="s">
        <v>973</v>
      </c>
      <c r="CJ115" s="1" t="s">
        <v>972</v>
      </c>
      <c r="CK115" s="1" t="s">
        <v>302</v>
      </c>
      <c r="CL115" s="1" t="s">
        <v>974</v>
      </c>
      <c r="CM115">
        <v>3020409000020</v>
      </c>
      <c r="CO115" s="1"/>
      <c r="CP115" s="1" t="s">
        <v>444</v>
      </c>
      <c r="CQ115" s="1" t="s">
        <v>305</v>
      </c>
      <c r="CR115" s="1" t="s">
        <v>306</v>
      </c>
      <c r="CS115">
        <v>8400</v>
      </c>
      <c r="CT115">
        <v>5900</v>
      </c>
      <c r="CU115" t="s">
        <v>477</v>
      </c>
      <c r="CV115" s="1" t="s">
        <v>478</v>
      </c>
      <c r="CW115" s="1" t="s">
        <v>408</v>
      </c>
      <c r="CY115">
        <v>2500</v>
      </c>
      <c r="CZ115" t="s">
        <v>368</v>
      </c>
      <c r="DA115" s="1" t="s">
        <v>309</v>
      </c>
      <c r="DB115">
        <v>2500</v>
      </c>
      <c r="DC115">
        <v>2500</v>
      </c>
      <c r="DD115">
        <v>50</v>
      </c>
      <c r="DE115">
        <v>1700</v>
      </c>
      <c r="DF115">
        <v>0</v>
      </c>
      <c r="DG115">
        <v>2500</v>
      </c>
      <c r="DH115">
        <v>0</v>
      </c>
      <c r="DI115">
        <v>0</v>
      </c>
      <c r="DJ115">
        <v>0</v>
      </c>
      <c r="DK115" s="1" t="s">
        <v>369</v>
      </c>
      <c r="DL115" s="1" t="s">
        <v>311</v>
      </c>
      <c r="DN115" s="1"/>
      <c r="DO115">
        <v>1200</v>
      </c>
      <c r="DP115">
        <v>0</v>
      </c>
      <c r="DQ115">
        <v>1200</v>
      </c>
      <c r="DR115" s="1" t="s">
        <v>790</v>
      </c>
      <c r="DS115">
        <v>750</v>
      </c>
      <c r="DT115">
        <v>120</v>
      </c>
      <c r="DU115">
        <v>266</v>
      </c>
      <c r="DV115">
        <v>366</v>
      </c>
      <c r="DW115" s="1" t="s">
        <v>371</v>
      </c>
      <c r="DX115">
        <v>21</v>
      </c>
      <c r="DY115">
        <v>2018</v>
      </c>
      <c r="DZ115">
        <v>2</v>
      </c>
      <c r="EA115">
        <v>2</v>
      </c>
      <c r="EB115">
        <v>10</v>
      </c>
      <c r="EC115">
        <v>2</v>
      </c>
      <c r="ED115">
        <v>2</v>
      </c>
      <c r="EE115">
        <v>1</v>
      </c>
      <c r="EF115">
        <v>17</v>
      </c>
      <c r="EG115">
        <v>2014</v>
      </c>
      <c r="EI115" s="1"/>
      <c r="EJ115" s="1" t="s">
        <v>313</v>
      </c>
      <c r="EK115" s="1" t="s">
        <v>314</v>
      </c>
      <c r="EL115">
        <v>24</v>
      </c>
      <c r="EM115">
        <v>24</v>
      </c>
      <c r="EN115">
        <v>14</v>
      </c>
      <c r="EO115" s="1" t="s">
        <v>315</v>
      </c>
      <c r="EP115">
        <v>24</v>
      </c>
      <c r="EQ115">
        <v>95.284901856551087</v>
      </c>
      <c r="ER115" s="1" t="s">
        <v>316</v>
      </c>
      <c r="ES115">
        <v>5.197358283084605</v>
      </c>
      <c r="ET115">
        <v>0</v>
      </c>
      <c r="EU115" s="1"/>
      <c r="EV115">
        <v>74.860195621271245</v>
      </c>
      <c r="EW115">
        <v>0</v>
      </c>
      <c r="EX115" t="s">
        <v>316</v>
      </c>
      <c r="EY115">
        <v>0</v>
      </c>
      <c r="EZ115" s="1" t="s">
        <v>412</v>
      </c>
      <c r="FA115" s="2">
        <v>44197</v>
      </c>
      <c r="FB115" s="1" t="s">
        <v>507</v>
      </c>
      <c r="FC115">
        <v>1</v>
      </c>
      <c r="FD115" s="1"/>
      <c r="FE115" s="2"/>
      <c r="FF115" s="1"/>
      <c r="FG115" s="1" t="s">
        <v>322</v>
      </c>
      <c r="FH115" s="1" t="s">
        <v>319</v>
      </c>
      <c r="FI115" s="1" t="s">
        <v>319</v>
      </c>
      <c r="FJ115" s="1" t="s">
        <v>319</v>
      </c>
      <c r="FK115" s="1" t="s">
        <v>320</v>
      </c>
      <c r="FL115">
        <v>18.920000000000002</v>
      </c>
      <c r="FM115">
        <v>4433.2137169743028</v>
      </c>
      <c r="FN115" s="1" t="s">
        <v>321</v>
      </c>
      <c r="FO115" s="1" t="s">
        <v>322</v>
      </c>
      <c r="FP115" s="1" t="s">
        <v>323</v>
      </c>
      <c r="FQ115" s="1" t="s">
        <v>324</v>
      </c>
      <c r="FR115" s="1" t="s">
        <v>325</v>
      </c>
      <c r="FS115" s="1"/>
      <c r="FT115" s="1" t="s">
        <v>326</v>
      </c>
      <c r="FU115">
        <v>494198191</v>
      </c>
      <c r="FV115" s="1" t="s">
        <v>322</v>
      </c>
      <c r="FW115" s="1" t="s">
        <v>322</v>
      </c>
      <c r="FX115" s="1" t="s">
        <v>322</v>
      </c>
      <c r="FY115" s="1" t="s">
        <v>322</v>
      </c>
      <c r="FZ115" s="1" t="s">
        <v>322</v>
      </c>
      <c r="GA115" s="1" t="s">
        <v>322</v>
      </c>
      <c r="GB115" s="1" t="s">
        <v>322</v>
      </c>
      <c r="GC115" s="1" t="s">
        <v>322</v>
      </c>
      <c r="GD115" s="1" t="s">
        <v>322</v>
      </c>
      <c r="GE115" s="1" t="s">
        <v>322</v>
      </c>
      <c r="GF115" s="1" t="s">
        <v>415</v>
      </c>
      <c r="GG115" s="1"/>
      <c r="GH115" s="1" t="s">
        <v>319</v>
      </c>
      <c r="GI115" s="1" t="s">
        <v>1025</v>
      </c>
      <c r="GJ115" s="1" t="s">
        <v>322</v>
      </c>
      <c r="GK115" s="2">
        <v>42005</v>
      </c>
      <c r="GL115" s="1" t="s">
        <v>322</v>
      </c>
      <c r="GM115" s="1" t="s">
        <v>322</v>
      </c>
      <c r="GN115">
        <v>43010</v>
      </c>
      <c r="GO115" s="1" t="s">
        <v>319</v>
      </c>
      <c r="GQ115" s="1"/>
      <c r="GR115" s="1"/>
      <c r="GS115" s="1"/>
      <c r="GT115" s="1" t="s">
        <v>322</v>
      </c>
      <c r="GU115" s="1" t="s">
        <v>1315</v>
      </c>
      <c r="GV115" s="1" t="s">
        <v>322</v>
      </c>
      <c r="GW115" s="1" t="s">
        <v>322</v>
      </c>
      <c r="GX115" s="1" t="s">
        <v>319</v>
      </c>
      <c r="GY115" s="1" t="s">
        <v>319</v>
      </c>
      <c r="GZ115" s="1" t="s">
        <v>319</v>
      </c>
      <c r="HA115" s="2">
        <v>44067</v>
      </c>
      <c r="HB115" s="2">
        <v>42667</v>
      </c>
      <c r="HC115" s="1"/>
      <c r="HD115" s="1"/>
      <c r="HE115" s="1"/>
      <c r="HF115" s="1"/>
      <c r="HG115" s="1"/>
      <c r="HH115" s="1"/>
      <c r="HI115" s="1" t="s">
        <v>319</v>
      </c>
      <c r="HJ115" s="1" t="s">
        <v>794</v>
      </c>
      <c r="HK115" s="2">
        <v>42736</v>
      </c>
      <c r="HL115" s="1"/>
      <c r="HM115" s="1" t="s">
        <v>322</v>
      </c>
      <c r="HN115" s="1" t="s">
        <v>322</v>
      </c>
      <c r="HO115" s="1"/>
      <c r="HP115" s="1"/>
      <c r="HQ115" s="1"/>
      <c r="HR115" s="1"/>
      <c r="HS115" s="1"/>
      <c r="HT115" s="1"/>
      <c r="HU115" s="1" t="s">
        <v>331</v>
      </c>
      <c r="HV115">
        <v>4626869016</v>
      </c>
      <c r="HW115">
        <v>40638385</v>
      </c>
      <c r="HX115">
        <v>99102567537</v>
      </c>
      <c r="HY115" s="1" t="s">
        <v>1447</v>
      </c>
      <c r="HZ115">
        <v>4320895</v>
      </c>
      <c r="IA115">
        <v>4321532</v>
      </c>
      <c r="IB115" s="1" t="s">
        <v>1448</v>
      </c>
      <c r="IC115">
        <v>830027</v>
      </c>
      <c r="ID115" s="1" t="s">
        <v>1449</v>
      </c>
      <c r="IE115">
        <v>3.54</v>
      </c>
      <c r="IF115">
        <v>3.51</v>
      </c>
      <c r="IG115">
        <v>4.1399999999999997</v>
      </c>
      <c r="IH115">
        <v>4.6500000000000004</v>
      </c>
      <c r="II115">
        <v>4.16</v>
      </c>
      <c r="IJ115">
        <v>2.4900000000000002</v>
      </c>
      <c r="IK115">
        <v>2.4900000000000002</v>
      </c>
    </row>
    <row r="116" spans="1:245" x14ac:dyDescent="0.3">
      <c r="A116">
        <v>1733</v>
      </c>
      <c r="B116">
        <v>2351</v>
      </c>
      <c r="C116" s="1" t="s">
        <v>3089</v>
      </c>
      <c r="D116" s="1" t="s">
        <v>336</v>
      </c>
      <c r="E116" t="s">
        <v>3275</v>
      </c>
      <c r="F116" s="1" t="s">
        <v>1149</v>
      </c>
      <c r="G116" s="1" t="s">
        <v>1150</v>
      </c>
      <c r="H116">
        <v>617425644</v>
      </c>
      <c r="I116" s="1" t="s">
        <v>3090</v>
      </c>
      <c r="J116" s="1" t="s">
        <v>3091</v>
      </c>
      <c r="L116">
        <v>44228</v>
      </c>
      <c r="M116" s="1" t="s">
        <v>3092</v>
      </c>
      <c r="N116" s="1" t="s">
        <v>3093</v>
      </c>
      <c r="O116">
        <v>562563205</v>
      </c>
      <c r="P116" s="1" t="s">
        <v>273</v>
      </c>
      <c r="Q116" s="1" t="s">
        <v>1151</v>
      </c>
      <c r="R116" s="1" t="s">
        <v>3117</v>
      </c>
      <c r="S116" s="1" t="s">
        <v>3094</v>
      </c>
      <c r="T116" s="1" t="s">
        <v>3095</v>
      </c>
      <c r="U116">
        <v>787852037</v>
      </c>
      <c r="V116" s="1" t="s">
        <v>276</v>
      </c>
      <c r="W116" s="1" t="s">
        <v>3159</v>
      </c>
      <c r="X116" s="1" t="s">
        <v>3232</v>
      </c>
      <c r="Y116" s="1" t="s">
        <v>3096</v>
      </c>
      <c r="Z116" s="1" t="s">
        <v>3097</v>
      </c>
      <c r="AA116">
        <v>679777544</v>
      </c>
      <c r="AB116" s="1" t="s">
        <v>3248</v>
      </c>
      <c r="AC116" s="1" t="s">
        <v>1157</v>
      </c>
      <c r="AD116" s="1" t="s">
        <v>3098</v>
      </c>
      <c r="AE116" s="1" t="s">
        <v>3099</v>
      </c>
      <c r="AF116">
        <v>610636570</v>
      </c>
      <c r="AG116" s="1" t="s">
        <v>3204</v>
      </c>
      <c r="AH116" s="1" t="s">
        <v>3236</v>
      </c>
      <c r="AI116" s="1" t="s">
        <v>3100</v>
      </c>
      <c r="AJ116" s="1" t="s">
        <v>3101</v>
      </c>
      <c r="AK116">
        <v>562563207</v>
      </c>
      <c r="AL116" s="1" t="s">
        <v>3090</v>
      </c>
      <c r="AM116" s="1" t="s">
        <v>3124</v>
      </c>
      <c r="AN116" s="1" t="s">
        <v>3102</v>
      </c>
      <c r="AO116" s="1" t="s">
        <v>3103</v>
      </c>
      <c r="AP116">
        <v>562563202</v>
      </c>
      <c r="AQ116" s="1" t="s">
        <v>3228</v>
      </c>
      <c r="AR116" s="1" t="s">
        <v>1165</v>
      </c>
      <c r="AS116" s="1" t="s">
        <v>3104</v>
      </c>
      <c r="AT116" s="1" t="s">
        <v>3105</v>
      </c>
      <c r="AU116">
        <v>562561618</v>
      </c>
      <c r="AV116" s="1" t="s">
        <v>3138</v>
      </c>
      <c r="AW116" s="1" t="s">
        <v>1168</v>
      </c>
      <c r="AX116" s="1" t="s">
        <v>1169</v>
      </c>
      <c r="AY116">
        <v>628020691</v>
      </c>
      <c r="AZ116" s="1" t="s">
        <v>946</v>
      </c>
      <c r="BA116">
        <v>629385389</v>
      </c>
      <c r="BB116" s="1" t="s">
        <v>3106</v>
      </c>
      <c r="BC116" s="1" t="s">
        <v>3107</v>
      </c>
      <c r="BD116">
        <v>65</v>
      </c>
      <c r="BE116">
        <v>562563200</v>
      </c>
      <c r="BF116">
        <v>43.211181640625</v>
      </c>
      <c r="BG116">
        <v>4.8919916152954102E-2</v>
      </c>
      <c r="BH116">
        <v>451647903</v>
      </c>
      <c r="BI116">
        <v>397</v>
      </c>
      <c r="BJ116" s="2">
        <v>36131</v>
      </c>
      <c r="BK116" s="1" t="s">
        <v>1356</v>
      </c>
      <c r="BL116" s="1" t="s">
        <v>290</v>
      </c>
      <c r="BM116" s="1" t="s">
        <v>291</v>
      </c>
      <c r="BN116" s="1" t="s">
        <v>292</v>
      </c>
      <c r="BO116" s="1" t="s">
        <v>291</v>
      </c>
      <c r="BP116" s="1" t="s">
        <v>293</v>
      </c>
      <c r="BQ116" s="1" t="s">
        <v>294</v>
      </c>
      <c r="BR116">
        <v>80</v>
      </c>
      <c r="BS116">
        <v>29647212.359999999</v>
      </c>
      <c r="BT116" s="1" t="s">
        <v>295</v>
      </c>
      <c r="BU116" s="1" t="s">
        <v>401</v>
      </c>
      <c r="BV116">
        <v>472571</v>
      </c>
      <c r="BW116">
        <v>1.1619494605333928E-2</v>
      </c>
      <c r="BX116">
        <v>64.400013186523395</v>
      </c>
      <c r="BY116">
        <v>3.9999725280763081</v>
      </c>
      <c r="BZ116">
        <v>5.1530037801366992</v>
      </c>
      <c r="CA116">
        <v>73.552989494736408</v>
      </c>
      <c r="CB116" s="1" t="s">
        <v>360</v>
      </c>
      <c r="CC116">
        <v>1</v>
      </c>
      <c r="CD116" s="1" t="s">
        <v>361</v>
      </c>
      <c r="CE116" s="1" t="s">
        <v>504</v>
      </c>
      <c r="CF116">
        <v>1106</v>
      </c>
      <c r="CG116" s="1" t="s">
        <v>362</v>
      </c>
      <c r="CH116" s="1" t="s">
        <v>363</v>
      </c>
      <c r="CI116" s="1" t="s">
        <v>364</v>
      </c>
      <c r="CJ116" s="1" t="s">
        <v>363</v>
      </c>
      <c r="CK116" s="1" t="s">
        <v>364</v>
      </c>
      <c r="CL116" s="1" t="s">
        <v>365</v>
      </c>
      <c r="CM116">
        <v>3601651110000</v>
      </c>
      <c r="CO116" s="1"/>
      <c r="CP116" s="1" t="s">
        <v>716</v>
      </c>
      <c r="CQ116" s="1" t="s">
        <v>406</v>
      </c>
      <c r="CR116" s="1" t="s">
        <v>306</v>
      </c>
      <c r="CS116">
        <v>6118</v>
      </c>
      <c r="CT116">
        <v>2500</v>
      </c>
      <c r="CU116">
        <v>2500</v>
      </c>
      <c r="CV116" s="1" t="s">
        <v>584</v>
      </c>
      <c r="CW116" s="1" t="s">
        <v>308</v>
      </c>
      <c r="CY116">
        <v>3618</v>
      </c>
      <c r="CZ116">
        <v>3500</v>
      </c>
      <c r="DA116" s="1" t="s">
        <v>307</v>
      </c>
      <c r="DB116">
        <v>3618</v>
      </c>
      <c r="DC116">
        <v>3618</v>
      </c>
      <c r="DD116">
        <v>84</v>
      </c>
      <c r="DE116">
        <v>0</v>
      </c>
      <c r="DF116">
        <v>1019</v>
      </c>
      <c r="DG116">
        <v>2599</v>
      </c>
      <c r="DH116">
        <v>0</v>
      </c>
      <c r="DI116">
        <v>0</v>
      </c>
      <c r="DJ116">
        <v>0</v>
      </c>
      <c r="DK116" s="1" t="s">
        <v>409</v>
      </c>
      <c r="DL116" s="1" t="s">
        <v>445</v>
      </c>
      <c r="DN116" s="1"/>
      <c r="DO116">
        <v>784</v>
      </c>
      <c r="DQ116">
        <v>784</v>
      </c>
      <c r="DR116" s="1"/>
      <c r="DS116">
        <v>400</v>
      </c>
      <c r="DT116">
        <v>140</v>
      </c>
      <c r="DU116">
        <v>303</v>
      </c>
      <c r="DV116">
        <v>207</v>
      </c>
      <c r="DW116" s="1" t="s">
        <v>558</v>
      </c>
      <c r="DX116">
        <v>17</v>
      </c>
      <c r="DZ116">
        <v>2</v>
      </c>
      <c r="EA116">
        <v>2</v>
      </c>
      <c r="EB116">
        <v>6</v>
      </c>
      <c r="EC116">
        <v>2</v>
      </c>
      <c r="ED116">
        <v>0</v>
      </c>
      <c r="EE116">
        <v>0</v>
      </c>
      <c r="EF116">
        <v>10</v>
      </c>
      <c r="EG116">
        <v>2011</v>
      </c>
      <c r="EI116" s="1"/>
      <c r="EJ116" s="1" t="s">
        <v>313</v>
      </c>
      <c r="EK116" s="1" t="s">
        <v>314</v>
      </c>
      <c r="EL116">
        <v>30</v>
      </c>
      <c r="EM116">
        <v>26</v>
      </c>
      <c r="EN116">
        <v>13</v>
      </c>
      <c r="EO116" s="1" t="s">
        <v>315</v>
      </c>
      <c r="EP116">
        <v>15</v>
      </c>
      <c r="EQ116">
        <v>97.843628092557537</v>
      </c>
      <c r="ER116" s="1" t="s">
        <v>316</v>
      </c>
      <c r="ES116">
        <v>2.5413929374690269</v>
      </c>
      <c r="ET116">
        <v>0</v>
      </c>
      <c r="EU116" s="1"/>
      <c r="EV116">
        <v>129.18747432134219</v>
      </c>
      <c r="EW116">
        <v>0</v>
      </c>
      <c r="EX116" t="s">
        <v>316</v>
      </c>
      <c r="EY116">
        <v>0</v>
      </c>
      <c r="EZ116" s="1" t="s">
        <v>412</v>
      </c>
      <c r="FA116" s="2">
        <v>44197</v>
      </c>
      <c r="FB116" s="1" t="s">
        <v>507</v>
      </c>
      <c r="FC116">
        <v>1</v>
      </c>
      <c r="FD116" s="1"/>
      <c r="FE116" s="2"/>
      <c r="FF116" s="1"/>
      <c r="FG116" s="1" t="s">
        <v>319</v>
      </c>
      <c r="FH116" s="1" t="s">
        <v>319</v>
      </c>
      <c r="FI116" s="1" t="s">
        <v>319</v>
      </c>
      <c r="FJ116" s="1" t="s">
        <v>319</v>
      </c>
      <c r="FK116" s="1" t="s">
        <v>373</v>
      </c>
      <c r="FL116">
        <v>18.59</v>
      </c>
      <c r="FM116">
        <v>4330.4906077348069</v>
      </c>
      <c r="FN116" s="1" t="s">
        <v>321</v>
      </c>
      <c r="FO116" s="1" t="s">
        <v>319</v>
      </c>
      <c r="FP116" s="1" t="s">
        <v>323</v>
      </c>
      <c r="FQ116" s="1" t="s">
        <v>324</v>
      </c>
      <c r="FR116" s="1" t="s">
        <v>325</v>
      </c>
      <c r="FS116" s="1"/>
      <c r="FT116" s="1" t="s">
        <v>326</v>
      </c>
      <c r="FU116">
        <v>494198191</v>
      </c>
      <c r="FV116" s="1" t="s">
        <v>319</v>
      </c>
      <c r="FW116" s="1" t="s">
        <v>322</v>
      </c>
      <c r="FX116" s="1" t="s">
        <v>322</v>
      </c>
      <c r="FY116" s="1" t="s">
        <v>322</v>
      </c>
      <c r="FZ116" s="1" t="s">
        <v>322</v>
      </c>
      <c r="GA116" s="1" t="s">
        <v>322</v>
      </c>
      <c r="GB116" s="1" t="s">
        <v>322</v>
      </c>
      <c r="GC116" s="1" t="s">
        <v>322</v>
      </c>
      <c r="GD116" s="1" t="s">
        <v>322</v>
      </c>
      <c r="GE116" s="1" t="s">
        <v>319</v>
      </c>
      <c r="GF116" s="1" t="s">
        <v>327</v>
      </c>
      <c r="GG116" s="1"/>
      <c r="GH116" s="1" t="s">
        <v>322</v>
      </c>
      <c r="GI116" s="1"/>
      <c r="GJ116" s="1" t="s">
        <v>322</v>
      </c>
      <c r="GK116" s="2">
        <v>41640</v>
      </c>
      <c r="GL116" s="1" t="s">
        <v>322</v>
      </c>
      <c r="GM116" s="1" t="s">
        <v>322</v>
      </c>
      <c r="GN116">
        <v>43110</v>
      </c>
      <c r="GO116" s="1" t="s">
        <v>322</v>
      </c>
      <c r="GP116">
        <v>40179</v>
      </c>
      <c r="GQ116" s="1" t="s">
        <v>1425</v>
      </c>
      <c r="GR116" s="1" t="s">
        <v>322</v>
      </c>
      <c r="GS116" s="1" t="s">
        <v>448</v>
      </c>
      <c r="GT116" s="1" t="s">
        <v>322</v>
      </c>
      <c r="GU116" s="1" t="s">
        <v>3108</v>
      </c>
      <c r="GV116" s="1" t="s">
        <v>319</v>
      </c>
      <c r="GW116" s="1" t="s">
        <v>322</v>
      </c>
      <c r="GX116" s="1" t="s">
        <v>319</v>
      </c>
      <c r="GY116" s="1" t="s">
        <v>319</v>
      </c>
      <c r="GZ116" s="1" t="s">
        <v>319</v>
      </c>
      <c r="HA116" s="2">
        <v>44078</v>
      </c>
      <c r="HB116" s="2">
        <v>42674</v>
      </c>
      <c r="HC116" s="1"/>
      <c r="HD116" s="1"/>
      <c r="HE116" s="1"/>
      <c r="HF116" s="1"/>
      <c r="HG116" s="1"/>
      <c r="HH116" s="1"/>
      <c r="HI116" s="1" t="s">
        <v>322</v>
      </c>
      <c r="HJ116" s="1" t="s">
        <v>330</v>
      </c>
      <c r="HK116" s="2"/>
      <c r="HL116" s="1"/>
      <c r="HM116" s="1" t="s">
        <v>322</v>
      </c>
      <c r="HN116" s="1" t="s">
        <v>322</v>
      </c>
      <c r="HO116" s="1"/>
      <c r="HP116" s="1"/>
      <c r="HQ116" s="1"/>
      <c r="HR116" s="1"/>
      <c r="HS116" s="1"/>
      <c r="HT116" s="1"/>
      <c r="HU116" s="1" t="s">
        <v>331</v>
      </c>
      <c r="HV116">
        <v>4622001014</v>
      </c>
      <c r="HW116">
        <v>40639189</v>
      </c>
      <c r="HX116">
        <v>99102571150</v>
      </c>
      <c r="HY116" s="1" t="s">
        <v>3109</v>
      </c>
      <c r="HZ116">
        <v>4242203</v>
      </c>
      <c r="IA116">
        <v>4321244</v>
      </c>
      <c r="IB116" s="1" t="s">
        <v>3110</v>
      </c>
      <c r="IC116">
        <v>830150</v>
      </c>
      <c r="ID116" s="1" t="s">
        <v>3111</v>
      </c>
      <c r="IE116">
        <v>5.13</v>
      </c>
      <c r="IF116">
        <v>6.41</v>
      </c>
      <c r="IG116">
        <v>6.63</v>
      </c>
      <c r="IH116">
        <v>5.3</v>
      </c>
      <c r="II116">
        <v>4.26</v>
      </c>
      <c r="IJ116">
        <v>4.24</v>
      </c>
      <c r="IK116">
        <v>4.24</v>
      </c>
    </row>
    <row r="117" spans="1:245" x14ac:dyDescent="0.3">
      <c r="A117">
        <v>1773</v>
      </c>
      <c r="B117">
        <v>2387</v>
      </c>
      <c r="C117" s="1" t="s">
        <v>3046</v>
      </c>
      <c r="D117" s="1" t="s">
        <v>2861</v>
      </c>
      <c r="E117" t="s">
        <v>3275</v>
      </c>
      <c r="F117" s="1" t="s">
        <v>2862</v>
      </c>
      <c r="G117" s="1" t="s">
        <v>2863</v>
      </c>
      <c r="H117">
        <v>610902271</v>
      </c>
      <c r="I117" s="1" t="s">
        <v>3047</v>
      </c>
      <c r="J117" s="1" t="s">
        <v>3048</v>
      </c>
      <c r="L117">
        <v>42492</v>
      </c>
      <c r="M117" s="1" t="s">
        <v>3049</v>
      </c>
      <c r="N117" s="1" t="s">
        <v>3050</v>
      </c>
      <c r="O117">
        <v>494317018</v>
      </c>
      <c r="P117" s="1" t="s">
        <v>273</v>
      </c>
      <c r="Q117" s="1" t="s">
        <v>2864</v>
      </c>
      <c r="R117" s="1" t="s">
        <v>2866</v>
      </c>
      <c r="S117" s="1" t="s">
        <v>3051</v>
      </c>
      <c r="T117" s="1" t="s">
        <v>3052</v>
      </c>
      <c r="U117">
        <v>494317019</v>
      </c>
      <c r="V117" s="1" t="s">
        <v>276</v>
      </c>
      <c r="W117" s="1" t="s">
        <v>1730</v>
      </c>
      <c r="X117" s="1" t="s">
        <v>2965</v>
      </c>
      <c r="Y117" s="1" t="s">
        <v>3053</v>
      </c>
      <c r="Z117" s="1" t="s">
        <v>3054</v>
      </c>
      <c r="AA117">
        <v>494317014</v>
      </c>
      <c r="AB117" s="1" t="s">
        <v>2984</v>
      </c>
      <c r="AC117" s="1" t="s">
        <v>2990</v>
      </c>
      <c r="AD117" s="1" t="s">
        <v>3055</v>
      </c>
      <c r="AE117" s="1" t="s">
        <v>3056</v>
      </c>
      <c r="AF117">
        <v>494317015</v>
      </c>
      <c r="AG117" s="1" t="s">
        <v>2940</v>
      </c>
      <c r="AH117" s="1" t="s">
        <v>2874</v>
      </c>
      <c r="AI117" s="1" t="s">
        <v>3057</v>
      </c>
      <c r="AJ117" s="1" t="s">
        <v>3058</v>
      </c>
      <c r="AK117">
        <v>494317016</v>
      </c>
      <c r="AL117" s="1" t="s">
        <v>3030</v>
      </c>
      <c r="AM117" s="1" t="s">
        <v>2971</v>
      </c>
      <c r="AN117" s="1" t="s">
        <v>3059</v>
      </c>
      <c r="AO117" s="1" t="s">
        <v>3060</v>
      </c>
      <c r="AP117">
        <v>494317012</v>
      </c>
      <c r="AQ117" s="1" t="s">
        <v>2961</v>
      </c>
      <c r="AR117" s="1" t="s">
        <v>2877</v>
      </c>
      <c r="AS117" s="1" t="s">
        <v>3061</v>
      </c>
      <c r="AT117" s="1" t="s">
        <v>3062</v>
      </c>
      <c r="AU117">
        <v>494317010</v>
      </c>
      <c r="AV117" s="1" t="s">
        <v>2917</v>
      </c>
      <c r="AW117" s="1" t="s">
        <v>2998</v>
      </c>
      <c r="AX117" s="1" t="s">
        <v>2881</v>
      </c>
      <c r="AY117">
        <v>621287386</v>
      </c>
      <c r="AZ117" s="1" t="s">
        <v>2882</v>
      </c>
      <c r="BA117">
        <v>784179658</v>
      </c>
      <c r="BB117" s="1" t="s">
        <v>3063</v>
      </c>
      <c r="BC117" s="1" t="s">
        <v>3064</v>
      </c>
      <c r="BD117">
        <v>83</v>
      </c>
      <c r="BE117">
        <v>494317010</v>
      </c>
      <c r="BF117">
        <v>43.1275634765625</v>
      </c>
      <c r="BG117">
        <v>5.9776153564453098</v>
      </c>
      <c r="BH117">
        <v>451647903</v>
      </c>
      <c r="BI117">
        <v>1080</v>
      </c>
      <c r="BJ117" s="2">
        <v>39645</v>
      </c>
      <c r="BK117" s="1" t="s">
        <v>634</v>
      </c>
      <c r="BL117" s="1" t="s">
        <v>290</v>
      </c>
      <c r="BM117" s="1" t="s">
        <v>291</v>
      </c>
      <c r="BN117" s="1" t="s">
        <v>292</v>
      </c>
      <c r="BO117" s="1" t="s">
        <v>291</v>
      </c>
      <c r="BP117" s="1" t="s">
        <v>293</v>
      </c>
      <c r="BQ117" s="1" t="s">
        <v>294</v>
      </c>
      <c r="BR117">
        <v>80</v>
      </c>
      <c r="BS117">
        <v>27951007.120000001</v>
      </c>
      <c r="BT117" s="1" t="s">
        <v>295</v>
      </c>
      <c r="BU117" s="1" t="s">
        <v>401</v>
      </c>
      <c r="BV117">
        <v>424116</v>
      </c>
      <c r="BW117">
        <v>1.3288451066537692E-2</v>
      </c>
      <c r="BX117">
        <v>67.514076613700794</v>
      </c>
      <c r="BY117">
        <v>0.16666666666666666</v>
      </c>
      <c r="BZ117">
        <v>10.639358475637897</v>
      </c>
      <c r="CA117">
        <v>78.320101756005357</v>
      </c>
      <c r="CB117" s="1" t="s">
        <v>476</v>
      </c>
      <c r="CC117">
        <v>2</v>
      </c>
      <c r="CD117" s="1" t="s">
        <v>298</v>
      </c>
      <c r="CE117" s="1" t="s">
        <v>402</v>
      </c>
      <c r="CF117">
        <v>1106</v>
      </c>
      <c r="CG117" s="1" t="s">
        <v>362</v>
      </c>
      <c r="CH117" s="1" t="s">
        <v>363</v>
      </c>
      <c r="CI117" s="1" t="s">
        <v>364</v>
      </c>
      <c r="CJ117" s="1" t="s">
        <v>363</v>
      </c>
      <c r="CK117" s="1" t="s">
        <v>364</v>
      </c>
      <c r="CL117" s="1" t="s">
        <v>2673</v>
      </c>
      <c r="CM117">
        <v>3601651111007</v>
      </c>
      <c r="CO117" s="1"/>
      <c r="CP117" s="1" t="s">
        <v>444</v>
      </c>
      <c r="CQ117" s="1" t="s">
        <v>367</v>
      </c>
      <c r="CR117" s="1" t="s">
        <v>407</v>
      </c>
      <c r="CS117">
        <v>7292</v>
      </c>
      <c r="CT117">
        <v>5967</v>
      </c>
      <c r="CU117" t="s">
        <v>477</v>
      </c>
      <c r="CV117" s="1" t="s">
        <v>478</v>
      </c>
      <c r="CW117" s="1" t="s">
        <v>408</v>
      </c>
      <c r="CX117">
        <v>200</v>
      </c>
      <c r="CY117">
        <v>1357</v>
      </c>
      <c r="CZ117" t="s">
        <v>368</v>
      </c>
      <c r="DA117" s="1" t="s">
        <v>309</v>
      </c>
      <c r="DB117">
        <v>2825</v>
      </c>
      <c r="DC117">
        <v>1325</v>
      </c>
      <c r="DD117">
        <v>0</v>
      </c>
      <c r="DE117">
        <v>1750</v>
      </c>
      <c r="DF117">
        <v>530</v>
      </c>
      <c r="DG117">
        <v>795</v>
      </c>
      <c r="DH117">
        <v>0</v>
      </c>
      <c r="DI117">
        <v>0</v>
      </c>
      <c r="DJ117">
        <v>0</v>
      </c>
      <c r="DK117" s="1" t="s">
        <v>557</v>
      </c>
      <c r="DL117" s="1" t="s">
        <v>3066</v>
      </c>
      <c r="DM117">
        <v>200</v>
      </c>
      <c r="DN117" s="1"/>
      <c r="DO117">
        <v>669</v>
      </c>
      <c r="DP117">
        <v>0</v>
      </c>
      <c r="DQ117">
        <v>669</v>
      </c>
      <c r="DR117" s="1"/>
      <c r="DS117">
        <v>505</v>
      </c>
      <c r="DT117">
        <v>147</v>
      </c>
      <c r="DU117">
        <v>558</v>
      </c>
      <c r="DV117">
        <v>311</v>
      </c>
      <c r="DW117" s="1" t="s">
        <v>371</v>
      </c>
      <c r="DX117">
        <v>23</v>
      </c>
      <c r="DY117">
        <v>2018</v>
      </c>
      <c r="DZ117">
        <v>2</v>
      </c>
      <c r="EA117">
        <v>2</v>
      </c>
      <c r="EB117">
        <v>11</v>
      </c>
      <c r="EC117">
        <v>2</v>
      </c>
      <c r="ED117">
        <v>2</v>
      </c>
      <c r="EE117">
        <v>1</v>
      </c>
      <c r="EF117">
        <v>18</v>
      </c>
      <c r="EG117">
        <v>2014</v>
      </c>
      <c r="EI117" s="1"/>
      <c r="EJ117" s="1" t="s">
        <v>313</v>
      </c>
      <c r="EK117" s="1" t="s">
        <v>314</v>
      </c>
      <c r="EL117">
        <v>30</v>
      </c>
      <c r="EM117">
        <v>30</v>
      </c>
      <c r="EN117">
        <v>16</v>
      </c>
      <c r="EO117" s="1" t="s">
        <v>315</v>
      </c>
      <c r="EP117">
        <v>30</v>
      </c>
      <c r="EQ117">
        <v>79.681751682142618</v>
      </c>
      <c r="ER117" s="1" t="s">
        <v>316</v>
      </c>
      <c r="ES117">
        <v>7.2800599158903756</v>
      </c>
      <c r="ET117">
        <v>0</v>
      </c>
      <c r="EU117" s="1"/>
      <c r="EV117">
        <v>98.230945440438632</v>
      </c>
      <c r="EW117">
        <v>2</v>
      </c>
      <c r="EX117" t="s">
        <v>316</v>
      </c>
      <c r="EY117">
        <v>2</v>
      </c>
      <c r="EZ117" s="1" t="s">
        <v>412</v>
      </c>
      <c r="FA117" s="2">
        <v>44197</v>
      </c>
      <c r="FB117" s="1" t="s">
        <v>791</v>
      </c>
      <c r="FC117">
        <v>1</v>
      </c>
      <c r="FD117" s="1"/>
      <c r="FE117" s="2">
        <v>41640</v>
      </c>
      <c r="FF117" s="1"/>
      <c r="FG117" s="1" t="s">
        <v>319</v>
      </c>
      <c r="FH117" s="1" t="s">
        <v>322</v>
      </c>
      <c r="FI117" s="1" t="s">
        <v>322</v>
      </c>
      <c r="FJ117" s="1" t="s">
        <v>319</v>
      </c>
      <c r="FK117" s="1" t="s">
        <v>1143</v>
      </c>
      <c r="FL117">
        <v>18.97</v>
      </c>
      <c r="FM117">
        <v>8965.3909420289856</v>
      </c>
      <c r="FN117" s="1" t="s">
        <v>321</v>
      </c>
      <c r="FO117" s="1" t="s">
        <v>322</v>
      </c>
      <c r="FP117" s="1" t="s">
        <v>323</v>
      </c>
      <c r="FQ117" s="1" t="s">
        <v>559</v>
      </c>
      <c r="FR117" s="1" t="s">
        <v>325</v>
      </c>
      <c r="FS117" s="1"/>
      <c r="FT117" s="1" t="s">
        <v>326</v>
      </c>
      <c r="FU117">
        <v>494198191</v>
      </c>
      <c r="FV117" s="1" t="s">
        <v>322</v>
      </c>
      <c r="FW117" s="1" t="s">
        <v>322</v>
      </c>
      <c r="FX117" s="1" t="s">
        <v>322</v>
      </c>
      <c r="FY117" s="1" t="s">
        <v>322</v>
      </c>
      <c r="FZ117" s="1" t="s">
        <v>322</v>
      </c>
      <c r="GA117" s="1" t="s">
        <v>322</v>
      </c>
      <c r="GB117" s="1" t="s">
        <v>319</v>
      </c>
      <c r="GC117" s="1" t="s">
        <v>322</v>
      </c>
      <c r="GD117" s="1" t="s">
        <v>322</v>
      </c>
      <c r="GE117" s="1" t="s">
        <v>319</v>
      </c>
      <c r="GF117" s="1" t="s">
        <v>415</v>
      </c>
      <c r="GG117" s="1" t="s">
        <v>322</v>
      </c>
      <c r="GH117" s="1" t="s">
        <v>319</v>
      </c>
      <c r="GI117" s="1"/>
      <c r="GJ117" s="1" t="s">
        <v>322</v>
      </c>
      <c r="GK117" s="2">
        <v>42005</v>
      </c>
      <c r="GL117" s="1" t="s">
        <v>322</v>
      </c>
      <c r="GM117" s="1" t="s">
        <v>322</v>
      </c>
      <c r="GN117">
        <v>42989</v>
      </c>
      <c r="GO117" s="1" t="s">
        <v>319</v>
      </c>
      <c r="GQ117" s="1"/>
      <c r="GR117" s="1"/>
      <c r="GS117" s="1"/>
      <c r="GT117" s="1" t="s">
        <v>319</v>
      </c>
      <c r="GU117" s="1" t="s">
        <v>319</v>
      </c>
      <c r="GV117" s="1" t="s">
        <v>319</v>
      </c>
      <c r="GW117" s="1" t="s">
        <v>319</v>
      </c>
      <c r="GX117" s="1" t="s">
        <v>319</v>
      </c>
      <c r="GY117" s="1" t="s">
        <v>319</v>
      </c>
      <c r="GZ117" s="1" t="s">
        <v>319</v>
      </c>
      <c r="HA117" s="2">
        <v>44086</v>
      </c>
      <c r="HB117" s="2">
        <v>42674</v>
      </c>
      <c r="HC117" s="1"/>
      <c r="HD117" s="1"/>
      <c r="HE117" s="1"/>
      <c r="HF117" s="1"/>
      <c r="HG117" s="1"/>
      <c r="HH117" s="1"/>
      <c r="HI117" s="1" t="s">
        <v>319</v>
      </c>
      <c r="HJ117" s="1" t="s">
        <v>330</v>
      </c>
      <c r="HK117" s="2"/>
      <c r="HL117" s="1"/>
      <c r="HM117" s="1" t="s">
        <v>322</v>
      </c>
      <c r="HN117" s="1" t="s">
        <v>322</v>
      </c>
      <c r="HO117" s="1" t="s">
        <v>322</v>
      </c>
      <c r="HP117" s="1"/>
      <c r="HQ117" s="1"/>
      <c r="HR117" s="1"/>
      <c r="HS117" s="1"/>
      <c r="HT117" s="1"/>
      <c r="HU117" s="1" t="s">
        <v>331</v>
      </c>
      <c r="HV117">
        <v>4626872014</v>
      </c>
      <c r="HW117">
        <v>40639090</v>
      </c>
      <c r="HX117">
        <v>99102571057</v>
      </c>
      <c r="HY117" s="1" t="s">
        <v>3067</v>
      </c>
      <c r="HZ117">
        <v>4304145</v>
      </c>
      <c r="IA117">
        <v>4321296</v>
      </c>
      <c r="IB117" s="1" t="s">
        <v>3068</v>
      </c>
      <c r="IC117">
        <v>830176</v>
      </c>
      <c r="ID117" s="1" t="s">
        <v>3069</v>
      </c>
      <c r="IE117">
        <v>7.06</v>
      </c>
      <c r="IF117">
        <v>8.82</v>
      </c>
      <c r="IG117">
        <v>10.31</v>
      </c>
      <c r="IH117">
        <v>12.88</v>
      </c>
      <c r="II117">
        <v>10.3</v>
      </c>
      <c r="IJ117">
        <v>11.7</v>
      </c>
      <c r="IK117">
        <v>11.7</v>
      </c>
    </row>
    <row r="118" spans="1:245" x14ac:dyDescent="0.3">
      <c r="A118">
        <v>1755</v>
      </c>
      <c r="B118">
        <v>2370</v>
      </c>
      <c r="C118" s="1" t="s">
        <v>1897</v>
      </c>
      <c r="D118" s="1" t="s">
        <v>1451</v>
      </c>
      <c r="E118" t="s">
        <v>3275</v>
      </c>
      <c r="F118" s="1" t="s">
        <v>1728</v>
      </c>
      <c r="G118" s="1" t="s">
        <v>1729</v>
      </c>
      <c r="H118">
        <v>626529799</v>
      </c>
      <c r="I118" s="1" t="s">
        <v>1898</v>
      </c>
      <c r="J118" s="1" t="s">
        <v>1899</v>
      </c>
      <c r="K118">
        <v>619077572</v>
      </c>
      <c r="L118">
        <v>43500</v>
      </c>
      <c r="M118" s="1" t="s">
        <v>1900</v>
      </c>
      <c r="N118" s="1" t="s">
        <v>1901</v>
      </c>
      <c r="O118">
        <v>616170041</v>
      </c>
      <c r="P118" s="1" t="s">
        <v>273</v>
      </c>
      <c r="Q118" s="1" t="s">
        <v>1898</v>
      </c>
      <c r="R118" s="1" t="s">
        <v>1875</v>
      </c>
      <c r="S118" s="1" t="s">
        <v>1902</v>
      </c>
      <c r="T118" s="1" t="s">
        <v>1903</v>
      </c>
      <c r="U118">
        <v>320282675</v>
      </c>
      <c r="V118" s="1" t="s">
        <v>276</v>
      </c>
      <c r="W118" s="1" t="s">
        <v>1873</v>
      </c>
      <c r="X118" s="1" t="s">
        <v>1734</v>
      </c>
      <c r="Y118" s="1" t="s">
        <v>524</v>
      </c>
      <c r="Z118" s="1"/>
      <c r="AB118" s="1" t="s">
        <v>1764</v>
      </c>
      <c r="AC118" s="1" t="s">
        <v>1806</v>
      </c>
      <c r="AD118" s="1" t="s">
        <v>1904</v>
      </c>
      <c r="AE118" s="1" t="s">
        <v>1905</v>
      </c>
      <c r="AF118">
        <v>327467072</v>
      </c>
      <c r="AG118" s="1" t="s">
        <v>1950</v>
      </c>
      <c r="AH118" s="1" t="s">
        <v>1835</v>
      </c>
      <c r="AI118" s="1" t="s">
        <v>1906</v>
      </c>
      <c r="AJ118" s="1" t="s">
        <v>1907</v>
      </c>
      <c r="AK118">
        <v>391800635</v>
      </c>
      <c r="AL118" s="1" t="s">
        <v>1920</v>
      </c>
      <c r="AM118" s="1" t="s">
        <v>1858</v>
      </c>
      <c r="AN118" s="1" t="s">
        <v>1908</v>
      </c>
      <c r="AO118" s="1" t="s">
        <v>1909</v>
      </c>
      <c r="AP118">
        <v>320282682</v>
      </c>
      <c r="AQ118" s="1" t="s">
        <v>1730</v>
      </c>
      <c r="AR118" s="1" t="s">
        <v>1740</v>
      </c>
      <c r="AS118" s="1" t="s">
        <v>1910</v>
      </c>
      <c r="AT118" s="1" t="s">
        <v>1911</v>
      </c>
      <c r="AU118">
        <v>320282670</v>
      </c>
      <c r="AV118" s="1" t="s">
        <v>1850</v>
      </c>
      <c r="AW118" s="1" t="s">
        <v>1955</v>
      </c>
      <c r="AX118" s="1" t="s">
        <v>1744</v>
      </c>
      <c r="AY118">
        <v>617425658</v>
      </c>
      <c r="AZ118" s="1" t="s">
        <v>660</v>
      </c>
      <c r="BA118">
        <v>678409252</v>
      </c>
      <c r="BB118" s="1" t="s">
        <v>1912</v>
      </c>
      <c r="BC118" s="1" t="s">
        <v>1913</v>
      </c>
      <c r="BD118">
        <v>59</v>
      </c>
      <c r="BE118">
        <v>320282670</v>
      </c>
      <c r="BF118">
        <v>50.738037109375</v>
      </c>
      <c r="BG118">
        <v>3.1615142822265598</v>
      </c>
      <c r="BH118">
        <v>451647903</v>
      </c>
      <c r="BI118">
        <v>330</v>
      </c>
      <c r="BJ118" s="2">
        <v>37351</v>
      </c>
      <c r="BK118" s="1" t="s">
        <v>3379</v>
      </c>
      <c r="BL118" s="1" t="s">
        <v>290</v>
      </c>
      <c r="BM118" s="1" t="s">
        <v>291</v>
      </c>
      <c r="BN118" s="1" t="s">
        <v>292</v>
      </c>
      <c r="BO118" s="1" t="s">
        <v>291</v>
      </c>
      <c r="BP118" s="1" t="s">
        <v>293</v>
      </c>
      <c r="BQ118" s="1" t="s">
        <v>294</v>
      </c>
      <c r="BR118">
        <v>80</v>
      </c>
      <c r="BS118">
        <v>21855360.559999999</v>
      </c>
      <c r="BT118" s="1" t="s">
        <v>295</v>
      </c>
      <c r="BU118" s="1" t="s">
        <v>296</v>
      </c>
      <c r="BV118">
        <v>408144</v>
      </c>
      <c r="BW118">
        <v>1.3677298432100554E-2</v>
      </c>
      <c r="BX118">
        <v>51.999868134766302</v>
      </c>
      <c r="BY118">
        <v>6.8952495549548409</v>
      </c>
      <c r="BZ118">
        <v>6.1106393266082053</v>
      </c>
      <c r="CA118">
        <v>65.005757016329355</v>
      </c>
      <c r="CB118" s="1" t="s">
        <v>297</v>
      </c>
      <c r="CC118">
        <v>2</v>
      </c>
      <c r="CD118" s="1" t="s">
        <v>298</v>
      </c>
      <c r="CE118" s="1" t="s">
        <v>299</v>
      </c>
      <c r="CF118">
        <v>1101</v>
      </c>
      <c r="CG118" s="1" t="s">
        <v>300</v>
      </c>
      <c r="CH118" s="1" t="s">
        <v>1474</v>
      </c>
      <c r="CI118" s="1" t="s">
        <v>1475</v>
      </c>
      <c r="CJ118" s="1" t="s">
        <v>1474</v>
      </c>
      <c r="CK118" s="1" t="s">
        <v>1475</v>
      </c>
      <c r="CL118" s="1" t="s">
        <v>1476</v>
      </c>
      <c r="CM118">
        <v>3020409000010</v>
      </c>
      <c r="CO118" s="1"/>
      <c r="CP118" s="1" t="s">
        <v>444</v>
      </c>
      <c r="CQ118" s="1" t="s">
        <v>766</v>
      </c>
      <c r="CR118" s="1" t="s">
        <v>306</v>
      </c>
      <c r="CS118">
        <v>9300</v>
      </c>
      <c r="CT118">
        <v>3700</v>
      </c>
      <c r="CU118">
        <v>3700</v>
      </c>
      <c r="CV118" s="1" t="s">
        <v>307</v>
      </c>
      <c r="CW118" s="1" t="s">
        <v>408</v>
      </c>
      <c r="CX118">
        <v>400</v>
      </c>
      <c r="CY118">
        <v>5600</v>
      </c>
      <c r="CZ118" t="s">
        <v>873</v>
      </c>
      <c r="DA118" s="1" t="s">
        <v>874</v>
      </c>
      <c r="DB118">
        <v>5600</v>
      </c>
      <c r="DC118">
        <v>5600</v>
      </c>
      <c r="DD118">
        <v>0</v>
      </c>
      <c r="DE118">
        <v>0</v>
      </c>
      <c r="DF118">
        <v>950</v>
      </c>
      <c r="DG118">
        <v>4650</v>
      </c>
      <c r="DH118">
        <v>0</v>
      </c>
      <c r="DI118">
        <v>0</v>
      </c>
      <c r="DJ118">
        <v>0</v>
      </c>
      <c r="DK118" s="1" t="s">
        <v>557</v>
      </c>
      <c r="DL118" s="1" t="s">
        <v>445</v>
      </c>
      <c r="DM118">
        <v>300</v>
      </c>
      <c r="DN118" s="1"/>
      <c r="DO118">
        <v>1315</v>
      </c>
      <c r="DP118">
        <v>0</v>
      </c>
      <c r="DQ118">
        <v>1315</v>
      </c>
      <c r="DR118" s="1"/>
      <c r="DS118">
        <v>907</v>
      </c>
      <c r="DT118">
        <v>185</v>
      </c>
      <c r="DU118">
        <v>221</v>
      </c>
      <c r="DV118">
        <v>369</v>
      </c>
      <c r="DW118" s="1" t="s">
        <v>371</v>
      </c>
      <c r="DX118">
        <v>22</v>
      </c>
      <c r="DZ118">
        <v>3</v>
      </c>
      <c r="EA118">
        <v>2</v>
      </c>
      <c r="EB118">
        <v>8</v>
      </c>
      <c r="EC118">
        <v>3</v>
      </c>
      <c r="ED118">
        <v>0</v>
      </c>
      <c r="EE118">
        <v>0</v>
      </c>
      <c r="EF118">
        <v>13</v>
      </c>
      <c r="EG118">
        <v>2010</v>
      </c>
      <c r="EI118" s="1"/>
      <c r="EJ118" s="1" t="s">
        <v>313</v>
      </c>
      <c r="EK118" s="1" t="s">
        <v>314</v>
      </c>
      <c r="EL118">
        <v>26</v>
      </c>
      <c r="EM118">
        <v>16</v>
      </c>
      <c r="EN118">
        <v>11</v>
      </c>
      <c r="EO118" s="1" t="s">
        <v>315</v>
      </c>
      <c r="EP118">
        <v>20</v>
      </c>
      <c r="EQ118">
        <v>71.873576143802381</v>
      </c>
      <c r="ER118" s="1" t="s">
        <v>411</v>
      </c>
      <c r="ES118">
        <v>8.2842542406944037</v>
      </c>
      <c r="ET118">
        <v>3</v>
      </c>
      <c r="EU118" s="1" t="s">
        <v>1749</v>
      </c>
      <c r="EV118">
        <v>100.13975843728284</v>
      </c>
      <c r="EW118">
        <v>0</v>
      </c>
      <c r="EX118" t="s">
        <v>316</v>
      </c>
      <c r="EY118">
        <v>3</v>
      </c>
      <c r="EZ118" s="1" t="s">
        <v>1381</v>
      </c>
      <c r="FA118" s="2"/>
      <c r="FB118" s="1" t="s">
        <v>1914</v>
      </c>
      <c r="FC118">
        <v>2</v>
      </c>
      <c r="FD118" s="1"/>
      <c r="FE118" s="2"/>
      <c r="FF118" s="1"/>
      <c r="FG118" s="1" t="s">
        <v>319</v>
      </c>
      <c r="FH118" s="1" t="s">
        <v>322</v>
      </c>
      <c r="FI118" s="1" t="s">
        <v>322</v>
      </c>
      <c r="FJ118" s="1" t="s">
        <v>322</v>
      </c>
      <c r="FK118" s="1" t="s">
        <v>320</v>
      </c>
      <c r="FL118">
        <v>18.920000000000002</v>
      </c>
      <c r="FM118">
        <v>8898.4415490408974</v>
      </c>
      <c r="FN118" s="1" t="s">
        <v>321</v>
      </c>
      <c r="FO118" s="1" t="s">
        <v>322</v>
      </c>
      <c r="FP118" s="1" t="s">
        <v>323</v>
      </c>
      <c r="FQ118" s="1" t="s">
        <v>559</v>
      </c>
      <c r="FR118" s="1" t="s">
        <v>1750</v>
      </c>
      <c r="FS118" s="1" t="s">
        <v>325</v>
      </c>
      <c r="FT118" s="1" t="s">
        <v>1751</v>
      </c>
      <c r="FV118" s="1" t="s">
        <v>322</v>
      </c>
      <c r="FW118" s="1" t="s">
        <v>322</v>
      </c>
      <c r="FX118" s="1" t="s">
        <v>322</v>
      </c>
      <c r="FY118" s="1" t="s">
        <v>322</v>
      </c>
      <c r="FZ118" s="1" t="s">
        <v>322</v>
      </c>
      <c r="GA118" s="1" t="s">
        <v>322</v>
      </c>
      <c r="GB118" s="1" t="s">
        <v>322</v>
      </c>
      <c r="GC118" s="1" t="s">
        <v>322</v>
      </c>
      <c r="GD118" s="1" t="s">
        <v>319</v>
      </c>
      <c r="GE118" s="1" t="s">
        <v>319</v>
      </c>
      <c r="GF118" s="1" t="s">
        <v>415</v>
      </c>
      <c r="GG118" s="1"/>
      <c r="GH118" s="1" t="s">
        <v>319</v>
      </c>
      <c r="GI118" s="1" t="s">
        <v>1025</v>
      </c>
      <c r="GJ118" s="1" t="s">
        <v>322</v>
      </c>
      <c r="GK118" s="2">
        <v>42370</v>
      </c>
      <c r="GL118" s="1" t="s">
        <v>322</v>
      </c>
      <c r="GM118" s="1" t="s">
        <v>322</v>
      </c>
      <c r="GN118">
        <v>42954</v>
      </c>
      <c r="GO118" s="1" t="s">
        <v>322</v>
      </c>
      <c r="GP118">
        <v>43344</v>
      </c>
      <c r="GQ118" s="1" t="s">
        <v>1915</v>
      </c>
      <c r="GR118" s="1" t="s">
        <v>322</v>
      </c>
      <c r="GS118" s="1" t="s">
        <v>448</v>
      </c>
      <c r="GT118" s="1" t="s">
        <v>322</v>
      </c>
      <c r="GU118" s="1" t="s">
        <v>1479</v>
      </c>
      <c r="GV118" s="1" t="s">
        <v>322</v>
      </c>
      <c r="GW118" s="1" t="s">
        <v>319</v>
      </c>
      <c r="GX118" s="1" t="s">
        <v>322</v>
      </c>
      <c r="GY118" s="1" t="s">
        <v>319</v>
      </c>
      <c r="GZ118" s="1" t="s">
        <v>319</v>
      </c>
      <c r="HA118" s="2">
        <v>44063</v>
      </c>
      <c r="HB118" s="2">
        <v>42653</v>
      </c>
      <c r="HC118" s="1"/>
      <c r="HD118" s="1"/>
      <c r="HE118" s="1"/>
      <c r="HF118" s="1"/>
      <c r="HG118" s="1"/>
      <c r="HH118" s="1"/>
      <c r="HI118" s="1" t="s">
        <v>319</v>
      </c>
      <c r="HJ118" s="1" t="s">
        <v>330</v>
      </c>
      <c r="HK118" s="2"/>
      <c r="HL118" s="1"/>
      <c r="HM118" s="1" t="s">
        <v>322</v>
      </c>
      <c r="HN118" s="1" t="s">
        <v>322</v>
      </c>
      <c r="HO118" s="1"/>
      <c r="HP118" s="1"/>
      <c r="HQ118" s="1"/>
      <c r="HR118" s="1"/>
      <c r="HS118" s="1"/>
      <c r="HT118" s="1"/>
      <c r="HU118" s="1" t="s">
        <v>331</v>
      </c>
      <c r="HV118">
        <v>4622024015</v>
      </c>
      <c r="HW118">
        <v>40638592</v>
      </c>
      <c r="HX118">
        <v>99102567939</v>
      </c>
      <c r="HY118" s="1" t="s">
        <v>1916</v>
      </c>
      <c r="HZ118">
        <v>4320760</v>
      </c>
      <c r="IA118">
        <v>4321078</v>
      </c>
      <c r="IB118" s="1" t="s">
        <v>1917</v>
      </c>
      <c r="IC118">
        <v>830209</v>
      </c>
      <c r="ID118" s="1" t="s">
        <v>1918</v>
      </c>
      <c r="IE118">
        <v>5.4</v>
      </c>
      <c r="IF118">
        <v>6.75</v>
      </c>
      <c r="IG118">
        <v>8.43</v>
      </c>
      <c r="IH118">
        <v>10.53</v>
      </c>
      <c r="II118">
        <v>13.12</v>
      </c>
      <c r="IJ118">
        <v>8.41</v>
      </c>
      <c r="IK118">
        <v>8.41</v>
      </c>
    </row>
    <row r="119" spans="1:245" x14ac:dyDescent="0.3">
      <c r="A119">
        <v>1770</v>
      </c>
      <c r="B119">
        <v>2384</v>
      </c>
      <c r="C119" s="1" t="s">
        <v>898</v>
      </c>
      <c r="D119" s="1" t="s">
        <v>700</v>
      </c>
      <c r="E119" t="s">
        <v>3275</v>
      </c>
      <c r="F119" s="1" t="s">
        <v>643</v>
      </c>
      <c r="G119" s="1" t="s">
        <v>644</v>
      </c>
      <c r="H119">
        <v>610920310</v>
      </c>
      <c r="I119" s="1" t="s">
        <v>899</v>
      </c>
      <c r="J119" s="1" t="s">
        <v>900</v>
      </c>
      <c r="K119">
        <v>619366301</v>
      </c>
      <c r="L119">
        <v>44564</v>
      </c>
      <c r="M119" s="1" t="s">
        <v>901</v>
      </c>
      <c r="N119" s="1" t="s">
        <v>902</v>
      </c>
      <c r="O119">
        <v>247882908</v>
      </c>
      <c r="P119" s="1" t="s">
        <v>273</v>
      </c>
      <c r="Q119" s="1" t="s">
        <v>723</v>
      </c>
      <c r="R119" s="1" t="s">
        <v>647</v>
      </c>
      <c r="S119" s="1" t="s">
        <v>903</v>
      </c>
      <c r="T119" s="1" t="s">
        <v>904</v>
      </c>
      <c r="U119">
        <v>247882904</v>
      </c>
      <c r="V119" s="1" t="s">
        <v>276</v>
      </c>
      <c r="W119" s="1" t="s">
        <v>645</v>
      </c>
      <c r="X119" s="1" t="s">
        <v>857</v>
      </c>
      <c r="Y119" s="1" t="s">
        <v>905</v>
      </c>
      <c r="Z119" s="1" t="s">
        <v>906</v>
      </c>
      <c r="AA119">
        <v>647855781</v>
      </c>
      <c r="AB119" s="1" t="s">
        <v>853</v>
      </c>
      <c r="AC119" s="1" t="s">
        <v>777</v>
      </c>
      <c r="AD119" s="1" t="s">
        <v>907</v>
      </c>
      <c r="AE119" s="1" t="s">
        <v>908</v>
      </c>
      <c r="AF119">
        <v>247882901</v>
      </c>
      <c r="AG119" s="1" t="s">
        <v>645</v>
      </c>
      <c r="AH119" s="1" t="s">
        <v>838</v>
      </c>
      <c r="AI119" s="1" t="s">
        <v>909</v>
      </c>
      <c r="AJ119" s="1" t="s">
        <v>910</v>
      </c>
      <c r="AK119">
        <v>247882929</v>
      </c>
      <c r="AL119" s="1" t="s">
        <v>748</v>
      </c>
      <c r="AM119" s="1" t="s">
        <v>685</v>
      </c>
      <c r="AN119" s="1" t="s">
        <v>911</v>
      </c>
      <c r="AO119" s="1" t="s">
        <v>912</v>
      </c>
      <c r="AP119">
        <v>247882929</v>
      </c>
      <c r="AQ119" s="1" t="s">
        <v>830</v>
      </c>
      <c r="AR119" s="1" t="s">
        <v>734</v>
      </c>
      <c r="AS119" s="1" t="s">
        <v>913</v>
      </c>
      <c r="AT119" s="1" t="s">
        <v>914</v>
      </c>
      <c r="AU119">
        <v>247882929</v>
      </c>
      <c r="AV119" s="1" t="s">
        <v>787</v>
      </c>
      <c r="AW119" s="1"/>
      <c r="AX119" s="1" t="s">
        <v>659</v>
      </c>
      <c r="AY119">
        <v>617425671</v>
      </c>
      <c r="AZ119" s="1" t="s">
        <v>660</v>
      </c>
      <c r="BA119">
        <v>678409252</v>
      </c>
      <c r="BB119" s="1" t="s">
        <v>915</v>
      </c>
      <c r="BC119" s="1" t="s">
        <v>916</v>
      </c>
      <c r="BD119">
        <v>37</v>
      </c>
      <c r="BE119">
        <v>247882929</v>
      </c>
      <c r="BF119">
        <v>47.4263916015625</v>
      </c>
      <c r="BG119">
        <v>0.66133308410644498</v>
      </c>
      <c r="BH119">
        <v>451647903</v>
      </c>
      <c r="BI119">
        <v>652</v>
      </c>
      <c r="BJ119" s="2">
        <v>38378</v>
      </c>
      <c r="BK119" s="1" t="s">
        <v>3290</v>
      </c>
      <c r="BL119" s="1" t="s">
        <v>290</v>
      </c>
      <c r="BM119" s="1" t="s">
        <v>917</v>
      </c>
      <c r="BN119" s="1" t="s">
        <v>292</v>
      </c>
      <c r="BO119" s="1" t="s">
        <v>291</v>
      </c>
      <c r="BP119" s="1" t="s">
        <v>293</v>
      </c>
      <c r="BQ119" s="1" t="s">
        <v>294</v>
      </c>
      <c r="BR119">
        <v>80</v>
      </c>
      <c r="BS119">
        <v>29992043.469999999</v>
      </c>
      <c r="BT119" s="1" t="s">
        <v>295</v>
      </c>
      <c r="BU119" s="1" t="s">
        <v>401</v>
      </c>
      <c r="BV119">
        <v>445285</v>
      </c>
      <c r="BW119">
        <v>1.0213311127205913E-2</v>
      </c>
      <c r="BX119">
        <v>69.657018527065304</v>
      </c>
      <c r="BY119">
        <v>2.9523691786993691</v>
      </c>
      <c r="BZ119">
        <v>4.4430155381200409</v>
      </c>
      <c r="CA119">
        <v>77.052403243884712</v>
      </c>
      <c r="CB119" s="1" t="s">
        <v>476</v>
      </c>
      <c r="CC119">
        <v>1</v>
      </c>
      <c r="CD119" s="1" t="s">
        <v>298</v>
      </c>
      <c r="CE119" s="1" t="s">
        <v>299</v>
      </c>
      <c r="CF119">
        <v>1101</v>
      </c>
      <c r="CG119" s="1" t="s">
        <v>300</v>
      </c>
      <c r="CH119" s="1" t="s">
        <v>403</v>
      </c>
      <c r="CI119" s="1" t="s">
        <v>404</v>
      </c>
      <c r="CJ119" s="1" t="s">
        <v>301</v>
      </c>
      <c r="CK119" s="1" t="s">
        <v>302</v>
      </c>
      <c r="CL119" s="1" t="s">
        <v>527</v>
      </c>
      <c r="CM119">
        <v>3601651112004</v>
      </c>
      <c r="CO119" s="1"/>
      <c r="CP119" s="1" t="s">
        <v>304</v>
      </c>
      <c r="CQ119" s="1" t="s">
        <v>305</v>
      </c>
      <c r="CR119" s="1" t="s">
        <v>306</v>
      </c>
      <c r="CS119">
        <v>10493</v>
      </c>
      <c r="CT119">
        <v>8383</v>
      </c>
      <c r="CU119" t="s">
        <v>477</v>
      </c>
      <c r="CV119" s="1" t="s">
        <v>478</v>
      </c>
      <c r="CW119" s="1" t="s">
        <v>308</v>
      </c>
      <c r="CY119">
        <v>2110</v>
      </c>
      <c r="CZ119" t="s">
        <v>368</v>
      </c>
      <c r="DA119" s="1" t="s">
        <v>309</v>
      </c>
      <c r="DB119">
        <v>4700</v>
      </c>
      <c r="DC119">
        <v>2110</v>
      </c>
      <c r="DD119">
        <v>0</v>
      </c>
      <c r="DE119">
        <v>2500</v>
      </c>
      <c r="DF119">
        <v>1270</v>
      </c>
      <c r="DG119">
        <v>840</v>
      </c>
      <c r="DH119">
        <v>0</v>
      </c>
      <c r="DI119">
        <v>0</v>
      </c>
      <c r="DJ119">
        <v>0</v>
      </c>
      <c r="DK119" s="1" t="s">
        <v>409</v>
      </c>
      <c r="DL119" s="1" t="s">
        <v>410</v>
      </c>
      <c r="DN119" s="1"/>
      <c r="DO119">
        <v>1250</v>
      </c>
      <c r="DP119">
        <v>0</v>
      </c>
      <c r="DQ119">
        <v>1250</v>
      </c>
      <c r="DR119" s="1" t="s">
        <v>479</v>
      </c>
      <c r="DS119">
        <v>695</v>
      </c>
      <c r="DT119">
        <v>186</v>
      </c>
      <c r="DU119">
        <v>518</v>
      </c>
      <c r="DV119">
        <v>459</v>
      </c>
      <c r="DW119" s="1" t="s">
        <v>371</v>
      </c>
      <c r="DX119">
        <v>17</v>
      </c>
      <c r="DY119">
        <v>2017</v>
      </c>
      <c r="DZ119">
        <v>2</v>
      </c>
      <c r="EA119">
        <v>2</v>
      </c>
      <c r="EB119">
        <v>10</v>
      </c>
      <c r="EC119">
        <v>2</v>
      </c>
      <c r="ED119">
        <v>2</v>
      </c>
      <c r="EE119">
        <v>0</v>
      </c>
      <c r="EF119">
        <v>16</v>
      </c>
      <c r="EG119">
        <v>2010</v>
      </c>
      <c r="EI119" s="1"/>
      <c r="EJ119" s="1" t="s">
        <v>313</v>
      </c>
      <c r="EK119" s="1" t="s">
        <v>314</v>
      </c>
      <c r="EL119">
        <v>34</v>
      </c>
      <c r="EM119">
        <v>30</v>
      </c>
      <c r="EN119">
        <v>23</v>
      </c>
      <c r="EO119" s="1" t="s">
        <v>315</v>
      </c>
      <c r="EP119">
        <v>28</v>
      </c>
      <c r="EQ119">
        <v>79.31440094101832</v>
      </c>
      <c r="ER119" s="1" t="s">
        <v>411</v>
      </c>
      <c r="ES119">
        <v>4.5370525962023187</v>
      </c>
      <c r="ET119">
        <v>0</v>
      </c>
      <c r="EU119" s="1"/>
      <c r="EV119">
        <v>116.28297765081498</v>
      </c>
      <c r="EW119">
        <v>1</v>
      </c>
      <c r="EX119" t="s">
        <v>481</v>
      </c>
      <c r="EY119">
        <v>1</v>
      </c>
      <c r="EZ119" s="1" t="s">
        <v>412</v>
      </c>
      <c r="FA119" s="2">
        <v>43341</v>
      </c>
      <c r="FB119" s="1" t="s">
        <v>791</v>
      </c>
      <c r="FC119">
        <v>1</v>
      </c>
      <c r="FD119" s="1" t="s">
        <v>322</v>
      </c>
      <c r="FE119" s="2"/>
      <c r="FF119" s="1"/>
      <c r="FG119" s="1" t="s">
        <v>322</v>
      </c>
      <c r="FH119" s="1" t="s">
        <v>319</v>
      </c>
      <c r="FI119" s="1" t="s">
        <v>319</v>
      </c>
      <c r="FJ119" s="1" t="s">
        <v>319</v>
      </c>
      <c r="FK119" s="1" t="s">
        <v>373</v>
      </c>
      <c r="FL119">
        <v>18.59</v>
      </c>
      <c r="FM119">
        <v>4348.065930018417</v>
      </c>
      <c r="FN119" s="1" t="s">
        <v>321</v>
      </c>
      <c r="FO119" s="1" t="s">
        <v>322</v>
      </c>
      <c r="FP119" s="1" t="s">
        <v>323</v>
      </c>
      <c r="FQ119" s="1" t="s">
        <v>559</v>
      </c>
      <c r="FR119" s="1" t="s">
        <v>325</v>
      </c>
      <c r="FS119" s="1" t="s">
        <v>918</v>
      </c>
      <c r="FT119" s="1" t="s">
        <v>326</v>
      </c>
      <c r="FU119">
        <v>494198191</v>
      </c>
      <c r="FV119" s="1" t="s">
        <v>319</v>
      </c>
      <c r="FW119" s="1" t="s">
        <v>322</v>
      </c>
      <c r="FX119" s="1" t="s">
        <v>322</v>
      </c>
      <c r="FY119" s="1" t="s">
        <v>322</v>
      </c>
      <c r="FZ119" s="1" t="s">
        <v>322</v>
      </c>
      <c r="GA119" s="1" t="s">
        <v>322</v>
      </c>
      <c r="GB119" s="1" t="s">
        <v>319</v>
      </c>
      <c r="GC119" s="1" t="s">
        <v>322</v>
      </c>
      <c r="GD119" s="1" t="s">
        <v>322</v>
      </c>
      <c r="GE119" s="1" t="s">
        <v>319</v>
      </c>
      <c r="GF119" s="1" t="s">
        <v>327</v>
      </c>
      <c r="GG119" s="1"/>
      <c r="GH119" s="1" t="s">
        <v>319</v>
      </c>
      <c r="GI119" s="1"/>
      <c r="GJ119" s="1" t="s">
        <v>322</v>
      </c>
      <c r="GK119" s="2">
        <v>42005</v>
      </c>
      <c r="GL119" s="1" t="s">
        <v>322</v>
      </c>
      <c r="GM119" s="1" t="s">
        <v>322</v>
      </c>
      <c r="GN119">
        <v>43010</v>
      </c>
      <c r="GO119" s="1" t="s">
        <v>319</v>
      </c>
      <c r="GQ119" s="1"/>
      <c r="GR119" s="1"/>
      <c r="GS119" s="1"/>
      <c r="GT119" s="1" t="s">
        <v>322</v>
      </c>
      <c r="GU119" s="1" t="s">
        <v>919</v>
      </c>
      <c r="GV119" s="1" t="s">
        <v>920</v>
      </c>
      <c r="GW119" s="1" t="s">
        <v>319</v>
      </c>
      <c r="GX119" s="1" t="s">
        <v>322</v>
      </c>
      <c r="GY119" s="1" t="s">
        <v>319</v>
      </c>
      <c r="GZ119" s="1" t="s">
        <v>319</v>
      </c>
      <c r="HA119" s="2">
        <v>44078</v>
      </c>
      <c r="HB119" s="2">
        <v>42667</v>
      </c>
      <c r="HC119" s="1"/>
      <c r="HD119" s="1"/>
      <c r="HE119" s="1"/>
      <c r="HF119" s="1"/>
      <c r="HG119" s="1" t="s">
        <v>322</v>
      </c>
      <c r="HH119" s="1"/>
      <c r="HI119" s="1" t="s">
        <v>322</v>
      </c>
      <c r="HJ119" s="1" t="s">
        <v>921</v>
      </c>
      <c r="HK119" s="2">
        <v>42736</v>
      </c>
      <c r="HL119" s="1"/>
      <c r="HM119" s="1" t="s">
        <v>322</v>
      </c>
      <c r="HN119" s="1" t="s">
        <v>322</v>
      </c>
      <c r="HO119" s="1" t="s">
        <v>322</v>
      </c>
      <c r="HP119" s="1"/>
      <c r="HQ119" s="1"/>
      <c r="HR119" s="1"/>
      <c r="HS119" s="1"/>
      <c r="HT119" s="1"/>
      <c r="HU119" s="1" t="s">
        <v>331</v>
      </c>
      <c r="HV119">
        <v>4622479014</v>
      </c>
      <c r="HW119">
        <v>40638149</v>
      </c>
      <c r="HX119">
        <v>99102519944</v>
      </c>
      <c r="HY119" s="1" t="s">
        <v>922</v>
      </c>
      <c r="HZ119">
        <v>4304142</v>
      </c>
      <c r="IA119">
        <v>4321279</v>
      </c>
      <c r="IB119" s="1" t="s">
        <v>923</v>
      </c>
      <c r="IC119">
        <v>830241</v>
      </c>
      <c r="ID119" s="1" t="s">
        <v>924</v>
      </c>
      <c r="IE119">
        <v>3.01</v>
      </c>
      <c r="IF119">
        <v>3.44</v>
      </c>
      <c r="IG119">
        <v>4.4400000000000004</v>
      </c>
      <c r="IH119">
        <v>4.53</v>
      </c>
      <c r="II119">
        <v>4.72</v>
      </c>
      <c r="IJ119">
        <v>6.25</v>
      </c>
      <c r="IK119">
        <v>6.25</v>
      </c>
    </row>
    <row r="120" spans="1:245" x14ac:dyDescent="0.3">
      <c r="A120">
        <v>1742</v>
      </c>
      <c r="B120">
        <v>2358</v>
      </c>
      <c r="C120" s="1" t="s">
        <v>1203</v>
      </c>
      <c r="D120" s="1" t="s">
        <v>266</v>
      </c>
      <c r="E120" t="s">
        <v>3275</v>
      </c>
      <c r="F120" s="1" t="s">
        <v>927</v>
      </c>
      <c r="G120" s="1" t="s">
        <v>928</v>
      </c>
      <c r="H120">
        <v>603611633</v>
      </c>
      <c r="I120" s="1" t="s">
        <v>1204</v>
      </c>
      <c r="J120" s="1" t="s">
        <v>1205</v>
      </c>
      <c r="K120">
        <v>680510711</v>
      </c>
      <c r="L120">
        <v>44120</v>
      </c>
      <c r="M120" s="1" t="s">
        <v>1206</v>
      </c>
      <c r="N120" s="1" t="s">
        <v>1207</v>
      </c>
      <c r="O120">
        <v>325712546</v>
      </c>
      <c r="P120" s="1" t="s">
        <v>273</v>
      </c>
      <c r="Q120" s="1" t="s">
        <v>929</v>
      </c>
      <c r="R120" s="1" t="s">
        <v>931</v>
      </c>
      <c r="S120" s="1" t="s">
        <v>1208</v>
      </c>
      <c r="T120" s="1" t="s">
        <v>1209</v>
      </c>
      <c r="U120">
        <v>325712539</v>
      </c>
      <c r="V120" s="1" t="s">
        <v>276</v>
      </c>
      <c r="W120" s="1" t="s">
        <v>1180</v>
      </c>
      <c r="X120" s="1" t="s">
        <v>1007</v>
      </c>
      <c r="Y120" s="1" t="s">
        <v>1210</v>
      </c>
      <c r="Z120" s="1" t="s">
        <v>1211</v>
      </c>
      <c r="AA120">
        <v>325712533</v>
      </c>
      <c r="AB120" s="1" t="s">
        <v>1104</v>
      </c>
      <c r="AC120" s="1" t="s">
        <v>1058</v>
      </c>
      <c r="AD120" s="1" t="s">
        <v>389</v>
      </c>
      <c r="AE120" s="1"/>
      <c r="AG120" s="1" t="s">
        <v>956</v>
      </c>
      <c r="AH120" s="1" t="s">
        <v>937</v>
      </c>
      <c r="AI120" s="1" t="s">
        <v>1212</v>
      </c>
      <c r="AJ120" s="1" t="s">
        <v>1213</v>
      </c>
      <c r="AK120">
        <v>325712530</v>
      </c>
      <c r="AL120" s="1" t="s">
        <v>1003</v>
      </c>
      <c r="AM120" s="1" t="s">
        <v>1190</v>
      </c>
      <c r="AN120" s="1" t="s">
        <v>1214</v>
      </c>
      <c r="AO120" s="1" t="s">
        <v>1215</v>
      </c>
      <c r="AP120">
        <v>325712533</v>
      </c>
      <c r="AQ120" s="1" t="s">
        <v>992</v>
      </c>
      <c r="AR120" s="1" t="s">
        <v>1087</v>
      </c>
      <c r="AS120" s="1" t="s">
        <v>1216</v>
      </c>
      <c r="AT120" s="1" t="s">
        <v>1217</v>
      </c>
      <c r="AU120">
        <v>325712543</v>
      </c>
      <c r="AV120" s="1" t="s">
        <v>1204</v>
      </c>
      <c r="AW120" s="1" t="s">
        <v>1216</v>
      </c>
      <c r="AX120" s="1" t="s">
        <v>945</v>
      </c>
      <c r="AY120">
        <v>770016945</v>
      </c>
      <c r="AZ120" s="1" t="s">
        <v>946</v>
      </c>
      <c r="BA120">
        <v>629385391</v>
      </c>
      <c r="BB120" s="1" t="s">
        <v>1218</v>
      </c>
      <c r="BC120" s="1" t="s">
        <v>1219</v>
      </c>
      <c r="BD120">
        <v>10</v>
      </c>
      <c r="BE120">
        <v>325712530</v>
      </c>
      <c r="BF120">
        <v>48.3328857421875</v>
      </c>
      <c r="BG120">
        <v>4.0230407714843697</v>
      </c>
      <c r="BH120">
        <v>451647903</v>
      </c>
      <c r="BI120">
        <v>348</v>
      </c>
      <c r="BJ120" s="2">
        <v>36630</v>
      </c>
      <c r="BK120" s="1" t="s">
        <v>3282</v>
      </c>
      <c r="BL120" s="1" t="s">
        <v>290</v>
      </c>
      <c r="BM120" s="1" t="s">
        <v>291</v>
      </c>
      <c r="BN120" s="1" t="s">
        <v>292</v>
      </c>
      <c r="BO120" s="1" t="s">
        <v>291</v>
      </c>
      <c r="BP120" s="1" t="s">
        <v>293</v>
      </c>
      <c r="BQ120" s="1" t="s">
        <v>294</v>
      </c>
      <c r="BR120">
        <v>80</v>
      </c>
      <c r="BS120">
        <v>30102358.309999999</v>
      </c>
      <c r="BT120" s="1" t="s">
        <v>295</v>
      </c>
      <c r="BU120" s="1" t="s">
        <v>401</v>
      </c>
      <c r="BV120">
        <v>465608</v>
      </c>
      <c r="BW120">
        <v>9.5893428295698597E-3</v>
      </c>
      <c r="BX120">
        <v>66.7712138194765</v>
      </c>
      <c r="BY120">
        <v>5.3118667721588517</v>
      </c>
      <c r="BZ120">
        <v>5.2786625568668821</v>
      </c>
      <c r="CA120">
        <v>77.361743148502228</v>
      </c>
      <c r="CB120" s="1" t="s">
        <v>297</v>
      </c>
      <c r="CC120">
        <v>1</v>
      </c>
      <c r="CD120" s="1" t="s">
        <v>298</v>
      </c>
      <c r="CE120" s="1" t="s">
        <v>504</v>
      </c>
      <c r="CF120">
        <v>1101</v>
      </c>
      <c r="CG120" s="1" t="s">
        <v>300</v>
      </c>
      <c r="CH120" s="1" t="s">
        <v>301</v>
      </c>
      <c r="CI120" s="1" t="s">
        <v>302</v>
      </c>
      <c r="CJ120" s="1" t="s">
        <v>301</v>
      </c>
      <c r="CK120" s="1" t="s">
        <v>302</v>
      </c>
      <c r="CL120" s="1" t="s">
        <v>303</v>
      </c>
      <c r="CM120">
        <v>3601651117009</v>
      </c>
      <c r="CO120" s="1" t="s">
        <v>322</v>
      </c>
      <c r="CP120" s="1" t="s">
        <v>304</v>
      </c>
      <c r="CQ120" s="1" t="s">
        <v>556</v>
      </c>
      <c r="CR120" s="1" t="s">
        <v>505</v>
      </c>
      <c r="CS120">
        <v>5689</v>
      </c>
      <c r="CT120">
        <v>3161</v>
      </c>
      <c r="CU120">
        <v>3000</v>
      </c>
      <c r="CV120" s="1" t="s">
        <v>309</v>
      </c>
      <c r="CW120" s="1" t="s">
        <v>308</v>
      </c>
      <c r="CY120">
        <v>2810</v>
      </c>
      <c r="CZ120" t="s">
        <v>368</v>
      </c>
      <c r="DA120" s="1" t="s">
        <v>309</v>
      </c>
      <c r="DB120">
        <v>2528</v>
      </c>
      <c r="DC120">
        <v>2528</v>
      </c>
      <c r="DD120">
        <v>0</v>
      </c>
      <c r="DE120">
        <v>0</v>
      </c>
      <c r="DF120">
        <v>1182</v>
      </c>
      <c r="DG120">
        <v>1346</v>
      </c>
      <c r="DH120">
        <v>0</v>
      </c>
      <c r="DI120">
        <v>0</v>
      </c>
      <c r="DJ120">
        <v>0</v>
      </c>
      <c r="DK120" s="1" t="s">
        <v>557</v>
      </c>
      <c r="DL120" s="1" t="s">
        <v>445</v>
      </c>
      <c r="DN120" s="1" t="s">
        <v>1095</v>
      </c>
      <c r="DO120">
        <v>1230</v>
      </c>
      <c r="DP120">
        <v>0</v>
      </c>
      <c r="DQ120">
        <v>1230</v>
      </c>
      <c r="DR120" s="1"/>
      <c r="DS120">
        <v>388</v>
      </c>
      <c r="DT120">
        <v>120</v>
      </c>
      <c r="DU120">
        <v>284</v>
      </c>
      <c r="DV120">
        <v>361</v>
      </c>
      <c r="DW120" s="1" t="s">
        <v>558</v>
      </c>
      <c r="DX120">
        <v>20</v>
      </c>
      <c r="DZ120">
        <v>2</v>
      </c>
      <c r="EA120">
        <v>2</v>
      </c>
      <c r="EB120">
        <v>8</v>
      </c>
      <c r="EC120">
        <v>2</v>
      </c>
      <c r="ED120">
        <v>0</v>
      </c>
      <c r="EE120">
        <v>0</v>
      </c>
      <c r="EF120">
        <v>12</v>
      </c>
      <c r="EG120">
        <v>2010</v>
      </c>
      <c r="EI120" s="1"/>
      <c r="EJ120" s="1" t="s">
        <v>313</v>
      </c>
      <c r="EK120" s="1" t="s">
        <v>314</v>
      </c>
      <c r="EL120">
        <v>30</v>
      </c>
      <c r="EM120">
        <v>24</v>
      </c>
      <c r="EN120">
        <v>9</v>
      </c>
      <c r="EO120" s="1" t="s">
        <v>315</v>
      </c>
      <c r="EP120">
        <v>20</v>
      </c>
      <c r="EQ120">
        <v>161.42468630775065</v>
      </c>
      <c r="ER120" s="1" t="s">
        <v>480</v>
      </c>
      <c r="ES120">
        <v>4.8621893466189956</v>
      </c>
      <c r="ET120">
        <v>0</v>
      </c>
      <c r="EU120" s="1"/>
      <c r="EV120">
        <v>130.63082044583035</v>
      </c>
      <c r="EW120">
        <v>1</v>
      </c>
      <c r="EX120" t="s">
        <v>481</v>
      </c>
      <c r="EY120">
        <v>1</v>
      </c>
      <c r="EZ120" s="1" t="s">
        <v>412</v>
      </c>
      <c r="FA120" s="2">
        <v>44197</v>
      </c>
      <c r="FB120" s="1" t="s">
        <v>507</v>
      </c>
      <c r="FC120">
        <v>1</v>
      </c>
      <c r="FD120" s="1"/>
      <c r="FE120" s="2"/>
      <c r="FF120" s="1"/>
      <c r="FG120" s="1" t="s">
        <v>322</v>
      </c>
      <c r="FH120" s="1" t="s">
        <v>322</v>
      </c>
      <c r="FI120" s="1" t="s">
        <v>322</v>
      </c>
      <c r="FJ120" s="1" t="s">
        <v>322</v>
      </c>
      <c r="FK120" s="1" t="s">
        <v>320</v>
      </c>
      <c r="FL120">
        <v>18.920000000000002</v>
      </c>
      <c r="FM120">
        <v>5723.2873688020272</v>
      </c>
      <c r="FN120" s="1" t="s">
        <v>1220</v>
      </c>
      <c r="FO120" s="1" t="s">
        <v>1221</v>
      </c>
      <c r="FP120" s="1" t="s">
        <v>1222</v>
      </c>
      <c r="FQ120" s="1" t="s">
        <v>559</v>
      </c>
      <c r="FR120" s="1" t="s">
        <v>325</v>
      </c>
      <c r="FS120" s="1"/>
      <c r="FT120" s="1" t="s">
        <v>326</v>
      </c>
      <c r="FU120">
        <v>494198191</v>
      </c>
      <c r="FV120" s="1" t="s">
        <v>322</v>
      </c>
      <c r="FW120" s="1" t="s">
        <v>322</v>
      </c>
      <c r="FX120" s="1" t="s">
        <v>322</v>
      </c>
      <c r="FY120" s="1" t="s">
        <v>322</v>
      </c>
      <c r="FZ120" s="1" t="s">
        <v>322</v>
      </c>
      <c r="GA120" s="1" t="s">
        <v>322</v>
      </c>
      <c r="GB120" s="1" t="s">
        <v>319</v>
      </c>
      <c r="GC120" s="1" t="s">
        <v>322</v>
      </c>
      <c r="GD120" s="1" t="s">
        <v>319</v>
      </c>
      <c r="GE120" s="1" t="s">
        <v>319</v>
      </c>
      <c r="GF120" s="1" t="s">
        <v>327</v>
      </c>
      <c r="GG120" s="1"/>
      <c r="GH120" s="1" t="s">
        <v>322</v>
      </c>
      <c r="GI120" s="1"/>
      <c r="GJ120" s="1" t="s">
        <v>322</v>
      </c>
      <c r="GK120" s="2">
        <v>42005</v>
      </c>
      <c r="GL120" s="1" t="s">
        <v>322</v>
      </c>
      <c r="GM120" s="1" t="s">
        <v>322</v>
      </c>
      <c r="GN120">
        <v>43062</v>
      </c>
      <c r="GO120" s="1" t="s">
        <v>322</v>
      </c>
      <c r="GP120">
        <v>41671</v>
      </c>
      <c r="GQ120" s="1" t="s">
        <v>1223</v>
      </c>
      <c r="GR120" s="1" t="s">
        <v>322</v>
      </c>
      <c r="GS120" s="1" t="s">
        <v>448</v>
      </c>
      <c r="GT120" s="1" t="s">
        <v>319</v>
      </c>
      <c r="GU120" s="1" t="s">
        <v>319</v>
      </c>
      <c r="GV120" s="1" t="s">
        <v>319</v>
      </c>
      <c r="GW120" s="1" t="s">
        <v>319</v>
      </c>
      <c r="GX120" s="1" t="s">
        <v>319</v>
      </c>
      <c r="GY120" s="1" t="s">
        <v>319</v>
      </c>
      <c r="GZ120" s="1" t="s">
        <v>319</v>
      </c>
      <c r="HA120" s="2">
        <v>44063</v>
      </c>
      <c r="HB120" s="2">
        <v>42653</v>
      </c>
      <c r="HC120" s="1"/>
      <c r="HD120" s="1"/>
      <c r="HE120" s="1"/>
      <c r="HF120" s="1"/>
      <c r="HG120" s="1"/>
      <c r="HH120" s="1"/>
      <c r="HI120" s="1" t="s">
        <v>322</v>
      </c>
      <c r="HJ120" s="1" t="s">
        <v>330</v>
      </c>
      <c r="HK120" s="2"/>
      <c r="HL120" s="1"/>
      <c r="HM120" s="1" t="s">
        <v>322</v>
      </c>
      <c r="HN120" s="1" t="s">
        <v>322</v>
      </c>
      <c r="HO120" s="1"/>
      <c r="HP120" s="1"/>
      <c r="HQ120" s="1"/>
      <c r="HR120" s="1"/>
      <c r="HS120" s="1"/>
      <c r="HT120" s="1"/>
      <c r="HU120" s="1" t="s">
        <v>331</v>
      </c>
      <c r="HV120">
        <v>4622012016</v>
      </c>
      <c r="HW120">
        <v>40638238</v>
      </c>
      <c r="HX120">
        <v>99102565577</v>
      </c>
      <c r="HY120" s="1" t="s">
        <v>1224</v>
      </c>
      <c r="HZ120">
        <v>4304169</v>
      </c>
      <c r="IA120">
        <v>4321246</v>
      </c>
      <c r="IB120" s="1" t="s">
        <v>1225</v>
      </c>
      <c r="IC120">
        <v>830105</v>
      </c>
      <c r="ID120" s="1" t="s">
        <v>1226</v>
      </c>
      <c r="IE120">
        <v>2.66</v>
      </c>
      <c r="IF120">
        <v>2.33</v>
      </c>
      <c r="IG120">
        <v>2.63</v>
      </c>
      <c r="IH120">
        <v>2.16</v>
      </c>
      <c r="II120">
        <v>2.1800000000000002</v>
      </c>
      <c r="IJ120">
        <v>2.36</v>
      </c>
      <c r="IK120">
        <v>2.36</v>
      </c>
    </row>
    <row r="121" spans="1:245" x14ac:dyDescent="0.3">
      <c r="A121">
        <v>1906</v>
      </c>
      <c r="B121">
        <v>2415</v>
      </c>
      <c r="C121" s="1" t="s">
        <v>1581</v>
      </c>
      <c r="D121" s="1" t="s">
        <v>1074</v>
      </c>
      <c r="E121" t="s">
        <v>3275</v>
      </c>
      <c r="F121" s="1" t="s">
        <v>3300</v>
      </c>
      <c r="G121" s="1" t="s">
        <v>1452</v>
      </c>
      <c r="H121">
        <v>625291561</v>
      </c>
      <c r="I121" s="1" t="s">
        <v>1582</v>
      </c>
      <c r="J121" s="1" t="s">
        <v>1583</v>
      </c>
      <c r="K121">
        <v>623216508</v>
      </c>
      <c r="L121">
        <v>44074</v>
      </c>
      <c r="M121" s="1" t="s">
        <v>1584</v>
      </c>
      <c r="N121" s="1" t="s">
        <v>1585</v>
      </c>
      <c r="O121">
        <v>160931352</v>
      </c>
      <c r="P121" s="1" t="s">
        <v>273</v>
      </c>
      <c r="Q121" s="1" t="s">
        <v>1683</v>
      </c>
      <c r="R121" s="1" t="s">
        <v>1685</v>
      </c>
      <c r="S121" s="1" t="s">
        <v>1586</v>
      </c>
      <c r="T121" s="1" t="s">
        <v>1587</v>
      </c>
      <c r="U121">
        <v>160931359</v>
      </c>
      <c r="V121" s="1" t="s">
        <v>276</v>
      </c>
      <c r="W121" s="1" t="s">
        <v>1459</v>
      </c>
      <c r="X121" s="1" t="s">
        <v>1560</v>
      </c>
      <c r="Y121" s="1" t="s">
        <v>1588</v>
      </c>
      <c r="Z121" s="1" t="s">
        <v>1589</v>
      </c>
      <c r="AA121">
        <v>160931350</v>
      </c>
      <c r="AB121" s="1" t="s">
        <v>1530</v>
      </c>
      <c r="AC121" s="1" t="s">
        <v>1637</v>
      </c>
      <c r="AD121" s="1" t="s">
        <v>1590</v>
      </c>
      <c r="AE121" s="1" t="s">
        <v>1591</v>
      </c>
      <c r="AF121">
        <v>160931350</v>
      </c>
      <c r="AG121" s="1" t="s">
        <v>1617</v>
      </c>
      <c r="AH121" s="1" t="s">
        <v>1689</v>
      </c>
      <c r="AI121" s="1" t="s">
        <v>1592</v>
      </c>
      <c r="AJ121" s="1" t="s">
        <v>1593</v>
      </c>
      <c r="AK121">
        <v>160931350</v>
      </c>
      <c r="AL121" s="1" t="s">
        <v>1658</v>
      </c>
      <c r="AM121" s="1" t="s">
        <v>1668</v>
      </c>
      <c r="AN121" s="1" t="s">
        <v>1594</v>
      </c>
      <c r="AO121" s="1" t="s">
        <v>1595</v>
      </c>
      <c r="AP121">
        <v>160931355</v>
      </c>
      <c r="AQ121" s="1" t="s">
        <v>1453</v>
      </c>
      <c r="AR121" s="1" t="s">
        <v>1466</v>
      </c>
      <c r="AS121" s="1" t="s">
        <v>1596</v>
      </c>
      <c r="AT121" s="1" t="s">
        <v>1597</v>
      </c>
      <c r="AU121">
        <v>160931358</v>
      </c>
      <c r="AV121" s="1" t="s">
        <v>1582</v>
      </c>
      <c r="AW121" s="1" t="s">
        <v>1695</v>
      </c>
      <c r="AX121" s="1" t="s">
        <v>1470</v>
      </c>
      <c r="AY121">
        <v>609519428</v>
      </c>
      <c r="AZ121" s="1" t="s">
        <v>1471</v>
      </c>
      <c r="BA121">
        <v>784179655</v>
      </c>
      <c r="BB121" s="1" t="s">
        <v>1598</v>
      </c>
      <c r="BC121" s="1" t="s">
        <v>1599</v>
      </c>
      <c r="BD121">
        <v>77</v>
      </c>
      <c r="BE121">
        <v>160931350</v>
      </c>
      <c r="BF121">
        <v>48.869140625</v>
      </c>
      <c r="BG121">
        <v>2.6215438842773402</v>
      </c>
      <c r="BH121">
        <v>451647903</v>
      </c>
      <c r="BI121">
        <v>868</v>
      </c>
      <c r="BJ121" s="2">
        <v>39199</v>
      </c>
      <c r="BK121" s="1" t="s">
        <v>3302</v>
      </c>
      <c r="BL121" s="1" t="s">
        <v>290</v>
      </c>
      <c r="BM121" s="1" t="s">
        <v>291</v>
      </c>
      <c r="BN121" s="1" t="s">
        <v>292</v>
      </c>
      <c r="BO121" s="1" t="s">
        <v>291</v>
      </c>
      <c r="BP121" s="1" t="s">
        <v>293</v>
      </c>
      <c r="BQ121" s="1" t="s">
        <v>1093</v>
      </c>
      <c r="BR121">
        <v>85</v>
      </c>
      <c r="BS121">
        <v>29891940.829999998</v>
      </c>
      <c r="BT121" s="1" t="s">
        <v>295</v>
      </c>
      <c r="BU121" s="1" t="s">
        <v>401</v>
      </c>
      <c r="BV121">
        <v>376147</v>
      </c>
      <c r="BW121">
        <v>1.1144726133112346E-2</v>
      </c>
      <c r="BX121">
        <v>75.000197797850603</v>
      </c>
      <c r="BY121">
        <v>15.607124019252318</v>
      </c>
      <c r="BZ121">
        <v>0.36617766642491373</v>
      </c>
      <c r="CA121">
        <v>90.973499483527846</v>
      </c>
      <c r="CB121" s="1" t="s">
        <v>476</v>
      </c>
      <c r="CC121">
        <v>1</v>
      </c>
      <c r="CD121" s="1" t="s">
        <v>361</v>
      </c>
      <c r="CE121" s="1" t="s">
        <v>402</v>
      </c>
      <c r="CF121">
        <v>1101</v>
      </c>
      <c r="CG121" s="1" t="s">
        <v>300</v>
      </c>
      <c r="CH121" s="1" t="s">
        <v>301</v>
      </c>
      <c r="CI121" s="1" t="s">
        <v>302</v>
      </c>
      <c r="CJ121" s="1" t="s">
        <v>301</v>
      </c>
      <c r="CK121" s="1" t="s">
        <v>302</v>
      </c>
      <c r="CL121" s="1" t="s">
        <v>303</v>
      </c>
      <c r="CM121">
        <v>3601651117009</v>
      </c>
      <c r="CO121" s="1"/>
      <c r="CP121" s="1" t="s">
        <v>1601</v>
      </c>
      <c r="CQ121" s="1" t="s">
        <v>305</v>
      </c>
      <c r="CR121" s="1" t="s">
        <v>505</v>
      </c>
      <c r="CS121">
        <v>8356</v>
      </c>
      <c r="CT121">
        <v>5856</v>
      </c>
      <c r="CU121" t="s">
        <v>477</v>
      </c>
      <c r="CV121" s="1" t="s">
        <v>478</v>
      </c>
      <c r="CW121" s="1" t="s">
        <v>308</v>
      </c>
      <c r="CY121">
        <v>2500</v>
      </c>
      <c r="CZ121" t="s">
        <v>368</v>
      </c>
      <c r="DA121" s="1" t="s">
        <v>309</v>
      </c>
      <c r="DB121">
        <v>2500</v>
      </c>
      <c r="DC121">
        <v>2500</v>
      </c>
      <c r="DD121">
        <v>0</v>
      </c>
      <c r="DE121">
        <v>1582</v>
      </c>
      <c r="DF121">
        <v>0</v>
      </c>
      <c r="DG121">
        <v>2500</v>
      </c>
      <c r="DH121">
        <v>0</v>
      </c>
      <c r="DI121">
        <v>0</v>
      </c>
      <c r="DJ121">
        <v>0</v>
      </c>
      <c r="DK121" s="1" t="s">
        <v>409</v>
      </c>
      <c r="DL121" s="1" t="s">
        <v>311</v>
      </c>
      <c r="DN121" s="1"/>
      <c r="DO121">
        <v>1200</v>
      </c>
      <c r="DP121">
        <v>0</v>
      </c>
      <c r="DQ121">
        <v>1200</v>
      </c>
      <c r="DR121" s="1" t="s">
        <v>790</v>
      </c>
      <c r="DS121">
        <v>1150</v>
      </c>
      <c r="DT121">
        <v>278</v>
      </c>
      <c r="DU121">
        <v>405</v>
      </c>
      <c r="DV121">
        <v>481</v>
      </c>
      <c r="DW121" s="1" t="s">
        <v>371</v>
      </c>
      <c r="DX121">
        <v>18</v>
      </c>
      <c r="DY121">
        <v>2017</v>
      </c>
      <c r="DZ121">
        <v>2</v>
      </c>
      <c r="EA121">
        <v>2</v>
      </c>
      <c r="EB121">
        <v>10</v>
      </c>
      <c r="EC121">
        <v>1</v>
      </c>
      <c r="ED121">
        <v>1</v>
      </c>
      <c r="EE121">
        <v>1</v>
      </c>
      <c r="EF121">
        <v>15</v>
      </c>
      <c r="EG121">
        <v>2014</v>
      </c>
      <c r="EI121" s="1"/>
      <c r="EJ121" s="1" t="s">
        <v>313</v>
      </c>
      <c r="EK121" s="1" t="s">
        <v>314</v>
      </c>
      <c r="EL121">
        <v>29</v>
      </c>
      <c r="EM121">
        <v>22</v>
      </c>
      <c r="EN121">
        <v>16</v>
      </c>
      <c r="EO121" s="1" t="s">
        <v>315</v>
      </c>
      <c r="EP121">
        <v>34</v>
      </c>
      <c r="EQ121">
        <v>142.26552833648191</v>
      </c>
      <c r="ER121" s="1" t="s">
        <v>411</v>
      </c>
      <c r="ES121">
        <v>11.430672200759677</v>
      </c>
      <c r="ET121">
        <v>0</v>
      </c>
      <c r="EU121" s="1"/>
      <c r="EV121">
        <v>83.413013356894936</v>
      </c>
      <c r="EW121">
        <v>1</v>
      </c>
      <c r="EX121" t="s">
        <v>316</v>
      </c>
      <c r="EY121">
        <v>1</v>
      </c>
      <c r="EZ121" s="1" t="s">
        <v>412</v>
      </c>
      <c r="FA121" s="2">
        <v>44197</v>
      </c>
      <c r="FB121" s="1" t="s">
        <v>507</v>
      </c>
      <c r="FC121">
        <v>1</v>
      </c>
      <c r="FD121" s="1"/>
      <c r="FE121" s="2">
        <v>42005</v>
      </c>
      <c r="FF121" s="1" t="s">
        <v>1575</v>
      </c>
      <c r="FG121" s="1" t="s">
        <v>322</v>
      </c>
      <c r="FH121" s="1" t="s">
        <v>322</v>
      </c>
      <c r="FI121" s="1" t="s">
        <v>322</v>
      </c>
      <c r="FJ121" s="1" t="s">
        <v>319</v>
      </c>
      <c r="FK121" s="1" t="s">
        <v>1096</v>
      </c>
      <c r="FL121">
        <v>19.27</v>
      </c>
      <c r="FM121">
        <v>10051.738324420679</v>
      </c>
      <c r="FN121" s="1" t="s">
        <v>1602</v>
      </c>
      <c r="FO121" s="1" t="s">
        <v>322</v>
      </c>
      <c r="FP121" s="1" t="s">
        <v>323</v>
      </c>
      <c r="FQ121" s="1" t="s">
        <v>559</v>
      </c>
      <c r="FR121" s="1" t="s">
        <v>325</v>
      </c>
      <c r="FS121" s="1" t="s">
        <v>374</v>
      </c>
      <c r="FT121" s="1" t="s">
        <v>326</v>
      </c>
      <c r="FU121">
        <v>494198191</v>
      </c>
      <c r="FV121" s="1" t="s">
        <v>322</v>
      </c>
      <c r="FW121" s="1" t="s">
        <v>322</v>
      </c>
      <c r="FX121" s="1" t="s">
        <v>322</v>
      </c>
      <c r="FY121" s="1" t="s">
        <v>322</v>
      </c>
      <c r="FZ121" s="1" t="s">
        <v>322</v>
      </c>
      <c r="GA121" s="1" t="s">
        <v>322</v>
      </c>
      <c r="GB121" s="1" t="s">
        <v>322</v>
      </c>
      <c r="GC121" s="1" t="s">
        <v>322</v>
      </c>
      <c r="GD121" s="1" t="s">
        <v>322</v>
      </c>
      <c r="GE121" s="1" t="s">
        <v>319</v>
      </c>
      <c r="GF121" s="1" t="s">
        <v>415</v>
      </c>
      <c r="GG121" s="1"/>
      <c r="GH121" s="1" t="s">
        <v>322</v>
      </c>
      <c r="GI121" s="1"/>
      <c r="GJ121" s="1" t="s">
        <v>322</v>
      </c>
      <c r="GK121" s="2">
        <v>41640</v>
      </c>
      <c r="GL121" s="1" t="s">
        <v>322</v>
      </c>
      <c r="GM121" s="1" t="s">
        <v>322</v>
      </c>
      <c r="GN121">
        <v>43116</v>
      </c>
      <c r="GO121" s="1" t="s">
        <v>319</v>
      </c>
      <c r="GQ121" s="1"/>
      <c r="GR121" s="1"/>
      <c r="GS121" s="1"/>
      <c r="GT121" s="1" t="s">
        <v>319</v>
      </c>
      <c r="GU121" s="1" t="s">
        <v>319</v>
      </c>
      <c r="GV121" s="1" t="s">
        <v>322</v>
      </c>
      <c r="GW121" s="1" t="s">
        <v>322</v>
      </c>
      <c r="GX121" s="1" t="s">
        <v>319</v>
      </c>
      <c r="GY121" s="1" t="s">
        <v>319</v>
      </c>
      <c r="GZ121" s="1" t="s">
        <v>319</v>
      </c>
      <c r="HA121" s="2">
        <v>44064</v>
      </c>
      <c r="HB121" s="2">
        <v>42660</v>
      </c>
      <c r="HC121" s="1"/>
      <c r="HD121" s="1"/>
      <c r="HE121" s="1"/>
      <c r="HF121" s="1"/>
      <c r="HG121" s="1"/>
      <c r="HH121" s="1"/>
      <c r="HI121" s="1" t="s">
        <v>319</v>
      </c>
      <c r="HJ121" s="1" t="s">
        <v>1122</v>
      </c>
      <c r="HK121" s="2">
        <v>43101</v>
      </c>
      <c r="HL121" s="1"/>
      <c r="HM121" s="1" t="s">
        <v>322</v>
      </c>
      <c r="HN121" s="1" t="s">
        <v>322</v>
      </c>
      <c r="HO121" s="1" t="s">
        <v>322</v>
      </c>
      <c r="HP121" s="1"/>
      <c r="HQ121" s="1"/>
      <c r="HR121" s="1"/>
      <c r="HS121" s="1"/>
      <c r="HT121" s="1"/>
      <c r="HU121" s="1" t="s">
        <v>331</v>
      </c>
      <c r="HV121">
        <v>4625375016</v>
      </c>
      <c r="HW121">
        <v>40638445</v>
      </c>
      <c r="HX121">
        <v>99102567692</v>
      </c>
      <c r="HY121" s="1" t="s">
        <v>1603</v>
      </c>
      <c r="HZ121">
        <v>4242189</v>
      </c>
      <c r="IA121">
        <v>4321328</v>
      </c>
      <c r="IB121" s="1" t="s">
        <v>1604</v>
      </c>
      <c r="IC121">
        <v>830015</v>
      </c>
      <c r="ID121" s="1" t="s">
        <v>1605</v>
      </c>
      <c r="IE121">
        <v>4.3</v>
      </c>
      <c r="IF121">
        <v>5.37</v>
      </c>
      <c r="IG121">
        <v>6.71</v>
      </c>
      <c r="IH121">
        <v>6.51</v>
      </c>
      <c r="II121">
        <v>5.25</v>
      </c>
      <c r="IJ121">
        <v>8.0872727272727278</v>
      </c>
      <c r="IK121">
        <v>8.1199999999999992</v>
      </c>
    </row>
    <row r="122" spans="1:245" x14ac:dyDescent="0.3">
      <c r="A122">
        <v>1768</v>
      </c>
      <c r="B122">
        <v>2382</v>
      </c>
      <c r="C122" s="1" t="s">
        <v>3070</v>
      </c>
      <c r="D122" s="1" t="s">
        <v>1103</v>
      </c>
      <c r="E122" t="s">
        <v>3275</v>
      </c>
      <c r="F122" s="1" t="s">
        <v>2862</v>
      </c>
      <c r="G122" s="1" t="s">
        <v>2863</v>
      </c>
      <c r="H122">
        <v>610902271</v>
      </c>
      <c r="I122" s="1" t="s">
        <v>3071</v>
      </c>
      <c r="J122" s="1" t="s">
        <v>3072</v>
      </c>
      <c r="L122">
        <v>43922</v>
      </c>
      <c r="M122" s="1" t="s">
        <v>524</v>
      </c>
      <c r="N122" s="1"/>
      <c r="P122" s="1"/>
      <c r="Q122" s="1" t="s">
        <v>2864</v>
      </c>
      <c r="R122" s="1" t="s">
        <v>2866</v>
      </c>
      <c r="S122" s="1" t="s">
        <v>524</v>
      </c>
      <c r="T122" s="1"/>
      <c r="V122" s="1"/>
      <c r="W122" s="1" t="s">
        <v>1730</v>
      </c>
      <c r="X122" s="1" t="s">
        <v>2965</v>
      </c>
      <c r="Y122" s="1" t="s">
        <v>3073</v>
      </c>
      <c r="Z122" s="1" t="s">
        <v>3074</v>
      </c>
      <c r="AA122">
        <v>787925863</v>
      </c>
      <c r="AB122" s="1" t="s">
        <v>2984</v>
      </c>
      <c r="AC122" s="1" t="s">
        <v>2990</v>
      </c>
      <c r="AD122" s="1" t="s">
        <v>3075</v>
      </c>
      <c r="AE122" s="1" t="s">
        <v>3076</v>
      </c>
      <c r="AF122">
        <v>475572599</v>
      </c>
      <c r="AG122" s="1" t="s">
        <v>2940</v>
      </c>
      <c r="AH122" s="1" t="s">
        <v>2874</v>
      </c>
      <c r="AI122" s="1" t="s">
        <v>3077</v>
      </c>
      <c r="AJ122" s="1" t="s">
        <v>3078</v>
      </c>
      <c r="AK122">
        <v>475578351</v>
      </c>
      <c r="AL122" s="1" t="s">
        <v>3030</v>
      </c>
      <c r="AM122" s="1" t="s">
        <v>2971</v>
      </c>
      <c r="AN122" s="1" t="s">
        <v>3079</v>
      </c>
      <c r="AO122" s="1" t="s">
        <v>3080</v>
      </c>
      <c r="AP122">
        <v>475578356</v>
      </c>
      <c r="AQ122" s="1" t="s">
        <v>2961</v>
      </c>
      <c r="AR122" s="1" t="s">
        <v>2877</v>
      </c>
      <c r="AS122" s="1" t="s">
        <v>3081</v>
      </c>
      <c r="AT122" s="1" t="s">
        <v>3082</v>
      </c>
      <c r="AU122">
        <v>475578357</v>
      </c>
      <c r="AV122" s="1" t="s">
        <v>2917</v>
      </c>
      <c r="AW122" s="1" t="s">
        <v>2998</v>
      </c>
      <c r="AX122" s="1" t="s">
        <v>2881</v>
      </c>
      <c r="AY122">
        <v>621287387</v>
      </c>
      <c r="AZ122" s="1" t="s">
        <v>2882</v>
      </c>
      <c r="BA122">
        <v>784179659</v>
      </c>
      <c r="BB122" s="1" t="s">
        <v>3083</v>
      </c>
      <c r="BC122" s="1" t="s">
        <v>3084</v>
      </c>
      <c r="BD122">
        <v>26</v>
      </c>
      <c r="BE122">
        <v>475572599</v>
      </c>
      <c r="BF122">
        <v>44.8577880859375</v>
      </c>
      <c r="BG122">
        <v>4.8709259033203098</v>
      </c>
      <c r="BH122">
        <v>451647903</v>
      </c>
      <c r="BI122">
        <v>538</v>
      </c>
      <c r="BJ122" s="2">
        <v>37883</v>
      </c>
      <c r="BK122" s="1" t="s">
        <v>3326</v>
      </c>
      <c r="BL122" s="1" t="s">
        <v>290</v>
      </c>
      <c r="BM122" s="1" t="s">
        <v>291</v>
      </c>
      <c r="BN122" s="1" t="s">
        <v>292</v>
      </c>
      <c r="BO122" s="1" t="s">
        <v>291</v>
      </c>
      <c r="BP122" s="1" t="s">
        <v>293</v>
      </c>
      <c r="BQ122" s="1" t="s">
        <v>294</v>
      </c>
      <c r="BR122">
        <v>80</v>
      </c>
      <c r="BS122">
        <v>20765783.82</v>
      </c>
      <c r="BT122" s="1" t="s">
        <v>295</v>
      </c>
      <c r="BU122" s="1" t="s">
        <v>359</v>
      </c>
      <c r="BV122">
        <v>309875</v>
      </c>
      <c r="BW122">
        <v>1.0793292842381692E-2</v>
      </c>
      <c r="BX122">
        <v>45.6285356365794</v>
      </c>
      <c r="BY122">
        <v>1.2690655150436259</v>
      </c>
      <c r="BZ122">
        <v>9.8719940221094031</v>
      </c>
      <c r="CA122">
        <v>56.769595173732434</v>
      </c>
      <c r="CB122" s="1" t="s">
        <v>297</v>
      </c>
      <c r="CC122">
        <v>1</v>
      </c>
      <c r="CD122" s="1" t="s">
        <v>402</v>
      </c>
      <c r="CE122" s="1" t="s">
        <v>504</v>
      </c>
      <c r="CF122">
        <v>1106</v>
      </c>
      <c r="CG122" s="1" t="s">
        <v>362</v>
      </c>
      <c r="CH122" s="1" t="s">
        <v>363</v>
      </c>
      <c r="CI122" s="1" t="s">
        <v>364</v>
      </c>
      <c r="CJ122" s="1" t="s">
        <v>363</v>
      </c>
      <c r="CK122" s="1" t="s">
        <v>364</v>
      </c>
      <c r="CL122" s="1" t="s">
        <v>2673</v>
      </c>
      <c r="CM122">
        <v>3601651111007</v>
      </c>
      <c r="CO122" s="1"/>
      <c r="CP122" s="1" t="s">
        <v>3024</v>
      </c>
      <c r="CQ122" s="1" t="s">
        <v>305</v>
      </c>
      <c r="CR122" s="1" t="s">
        <v>306</v>
      </c>
      <c r="CS122">
        <v>6030</v>
      </c>
      <c r="CT122">
        <v>2970</v>
      </c>
      <c r="CU122">
        <v>3000</v>
      </c>
      <c r="CV122" s="1" t="s">
        <v>309</v>
      </c>
      <c r="CW122" s="1" t="s">
        <v>308</v>
      </c>
      <c r="CY122">
        <v>4530</v>
      </c>
      <c r="CZ122" t="s">
        <v>873</v>
      </c>
      <c r="DA122" s="1" t="s">
        <v>874</v>
      </c>
      <c r="DB122">
        <v>3060</v>
      </c>
      <c r="DC122">
        <v>3060</v>
      </c>
      <c r="DD122">
        <v>0</v>
      </c>
      <c r="DE122">
        <v>0</v>
      </c>
      <c r="DF122">
        <v>0</v>
      </c>
      <c r="DG122">
        <v>3060</v>
      </c>
      <c r="DH122">
        <v>0</v>
      </c>
      <c r="DI122">
        <v>0</v>
      </c>
      <c r="DJ122">
        <v>0</v>
      </c>
      <c r="DK122" s="1" t="s">
        <v>369</v>
      </c>
      <c r="DL122" s="1" t="s">
        <v>445</v>
      </c>
      <c r="DN122" s="1"/>
      <c r="DO122">
        <v>800</v>
      </c>
      <c r="DP122">
        <v>0</v>
      </c>
      <c r="DQ122">
        <v>800</v>
      </c>
      <c r="DR122" s="1"/>
      <c r="DS122">
        <v>1055</v>
      </c>
      <c r="DT122">
        <v>150</v>
      </c>
      <c r="DU122">
        <v>266</v>
      </c>
      <c r="DV122">
        <v>334</v>
      </c>
      <c r="DW122" s="1" t="s">
        <v>371</v>
      </c>
      <c r="DX122">
        <v>25</v>
      </c>
      <c r="DZ122">
        <v>2</v>
      </c>
      <c r="EA122">
        <v>2</v>
      </c>
      <c r="EB122">
        <v>8</v>
      </c>
      <c r="EC122">
        <v>3</v>
      </c>
      <c r="ED122">
        <v>0</v>
      </c>
      <c r="EE122">
        <v>0</v>
      </c>
      <c r="EF122">
        <v>13</v>
      </c>
      <c r="EG122">
        <v>2010</v>
      </c>
      <c r="EI122" s="1"/>
      <c r="EJ122" s="1" t="s">
        <v>313</v>
      </c>
      <c r="EK122" s="1" t="s">
        <v>314</v>
      </c>
      <c r="EL122">
        <v>28</v>
      </c>
      <c r="EM122">
        <v>26</v>
      </c>
      <c r="EN122">
        <v>11</v>
      </c>
      <c r="EO122" s="1" t="s">
        <v>315</v>
      </c>
      <c r="EP122">
        <v>26</v>
      </c>
      <c r="EQ122">
        <v>84.658055969531389</v>
      </c>
      <c r="ER122" s="1" t="s">
        <v>316</v>
      </c>
      <c r="ES122">
        <v>3.7257824143070044</v>
      </c>
      <c r="ET122">
        <v>2</v>
      </c>
      <c r="EU122" s="1" t="s">
        <v>249</v>
      </c>
      <c r="EV122">
        <v>173.24888226527571</v>
      </c>
      <c r="EW122">
        <v>2</v>
      </c>
      <c r="EX122" t="s">
        <v>1314</v>
      </c>
      <c r="EY122">
        <v>4</v>
      </c>
      <c r="EZ122" s="1" t="s">
        <v>317</v>
      </c>
      <c r="FA122" s="2"/>
      <c r="FB122" s="1" t="s">
        <v>607</v>
      </c>
      <c r="FC122">
        <v>1</v>
      </c>
      <c r="FD122" s="1"/>
      <c r="FE122" s="2"/>
      <c r="FF122" s="1"/>
      <c r="FG122" s="1" t="s">
        <v>322</v>
      </c>
      <c r="FH122" s="1" t="s">
        <v>319</v>
      </c>
      <c r="FI122" s="1" t="s">
        <v>322</v>
      </c>
      <c r="FJ122" s="1" t="s">
        <v>319</v>
      </c>
      <c r="FK122" s="1" t="s">
        <v>1143</v>
      </c>
      <c r="FL122">
        <v>18.97</v>
      </c>
      <c r="FM122">
        <v>4829.4842391304355</v>
      </c>
      <c r="FN122" s="1" t="s">
        <v>321</v>
      </c>
      <c r="FO122" s="1" t="s">
        <v>319</v>
      </c>
      <c r="FP122" s="1" t="s">
        <v>323</v>
      </c>
      <c r="FQ122" s="1" t="s">
        <v>559</v>
      </c>
      <c r="FR122" s="1" t="s">
        <v>325</v>
      </c>
      <c r="FS122" s="1"/>
      <c r="FT122" s="1" t="s">
        <v>326</v>
      </c>
      <c r="FU122">
        <v>494198191</v>
      </c>
      <c r="FV122" s="1" t="s">
        <v>319</v>
      </c>
      <c r="FW122" s="1" t="s">
        <v>322</v>
      </c>
      <c r="FX122" s="1" t="s">
        <v>322</v>
      </c>
      <c r="FY122" s="1" t="s">
        <v>322</v>
      </c>
      <c r="FZ122" s="1" t="s">
        <v>322</v>
      </c>
      <c r="GA122" s="1" t="s">
        <v>322</v>
      </c>
      <c r="GB122" s="1" t="s">
        <v>322</v>
      </c>
      <c r="GC122" s="1" t="s">
        <v>322</v>
      </c>
      <c r="GD122" s="1" t="s">
        <v>322</v>
      </c>
      <c r="GE122" s="1" t="s">
        <v>319</v>
      </c>
      <c r="GF122" s="1" t="s">
        <v>327</v>
      </c>
      <c r="GG122" s="1"/>
      <c r="GH122" s="1" t="s">
        <v>322</v>
      </c>
      <c r="GI122" s="1" t="s">
        <v>2043</v>
      </c>
      <c r="GJ122" s="1" t="s">
        <v>322</v>
      </c>
      <c r="GK122" s="2">
        <v>42005</v>
      </c>
      <c r="GL122" s="1" t="s">
        <v>322</v>
      </c>
      <c r="GM122" s="1" t="s">
        <v>322</v>
      </c>
      <c r="GN122">
        <v>42989</v>
      </c>
      <c r="GO122" s="1" t="s">
        <v>319</v>
      </c>
      <c r="GQ122" s="1"/>
      <c r="GR122" s="1"/>
      <c r="GS122" s="1"/>
      <c r="GT122" s="1" t="s">
        <v>322</v>
      </c>
      <c r="GU122" s="1" t="s">
        <v>3085</v>
      </c>
      <c r="GV122" s="1" t="s">
        <v>322</v>
      </c>
      <c r="GW122" s="1" t="s">
        <v>322</v>
      </c>
      <c r="GX122" s="1" t="s">
        <v>319</v>
      </c>
      <c r="GY122" s="1" t="s">
        <v>319</v>
      </c>
      <c r="GZ122" s="1" t="s">
        <v>319</v>
      </c>
      <c r="HA122" s="2">
        <v>44077</v>
      </c>
      <c r="HB122" s="2">
        <v>42667</v>
      </c>
      <c r="HC122" s="1"/>
      <c r="HD122" s="1"/>
      <c r="HE122" s="1"/>
      <c r="HF122" s="1"/>
      <c r="HG122" s="1"/>
      <c r="HH122" s="1"/>
      <c r="HI122" s="1" t="s">
        <v>322</v>
      </c>
      <c r="HJ122" s="1" t="s">
        <v>330</v>
      </c>
      <c r="HK122" s="2"/>
      <c r="HL122" s="1"/>
      <c r="HM122" s="1" t="s">
        <v>322</v>
      </c>
      <c r="HN122" s="1" t="s">
        <v>322</v>
      </c>
      <c r="HO122" s="1"/>
      <c r="HP122" s="1"/>
      <c r="HQ122" s="1"/>
      <c r="HR122" s="1"/>
      <c r="HS122" s="1"/>
      <c r="HT122" s="1"/>
      <c r="HU122" s="1" t="s">
        <v>331</v>
      </c>
      <c r="HV122">
        <v>4621983010</v>
      </c>
      <c r="HW122">
        <v>40639108</v>
      </c>
      <c r="HX122">
        <v>99102571069</v>
      </c>
      <c r="HY122" s="1" t="s">
        <v>3086</v>
      </c>
      <c r="HZ122">
        <v>4304138</v>
      </c>
      <c r="IA122">
        <v>4321276</v>
      </c>
      <c r="IB122" s="1" t="s">
        <v>3087</v>
      </c>
      <c r="IC122">
        <v>830264</v>
      </c>
      <c r="ID122" s="1" t="s">
        <v>3088</v>
      </c>
      <c r="IE122">
        <v>2.89</v>
      </c>
      <c r="IF122">
        <v>3.89</v>
      </c>
      <c r="IG122">
        <v>4.0199999999999996</v>
      </c>
      <c r="IH122">
        <v>3.32</v>
      </c>
      <c r="II122">
        <v>4.32</v>
      </c>
      <c r="IJ122">
        <v>5.8948936170212765</v>
      </c>
      <c r="IK122">
        <v>5.92</v>
      </c>
    </row>
    <row r="123" spans="1:245" x14ac:dyDescent="0.3">
      <c r="A123">
        <v>1709</v>
      </c>
      <c r="B123">
        <v>2336</v>
      </c>
      <c r="C123" s="1" t="s">
        <v>1919</v>
      </c>
      <c r="D123" s="1" t="s">
        <v>1451</v>
      </c>
      <c r="E123" t="s">
        <v>3275</v>
      </c>
      <c r="F123" s="1" t="s">
        <v>1728</v>
      </c>
      <c r="G123" s="1" t="s">
        <v>1729</v>
      </c>
      <c r="H123">
        <v>626529799</v>
      </c>
      <c r="I123" s="1" t="s">
        <v>1920</v>
      </c>
      <c r="J123" s="1" t="s">
        <v>1921</v>
      </c>
      <c r="K123">
        <v>619491376</v>
      </c>
      <c r="L123">
        <v>43150</v>
      </c>
      <c r="M123" s="1" t="s">
        <v>1922</v>
      </c>
      <c r="N123" s="1" t="s">
        <v>1923</v>
      </c>
      <c r="O123">
        <v>327466666</v>
      </c>
      <c r="P123" s="1" t="s">
        <v>273</v>
      </c>
      <c r="Q123" s="1" t="s">
        <v>1898</v>
      </c>
      <c r="R123" s="1" t="s">
        <v>1875</v>
      </c>
      <c r="S123" s="1" t="s">
        <v>1924</v>
      </c>
      <c r="T123" s="1" t="s">
        <v>1925</v>
      </c>
      <c r="U123">
        <v>610920312</v>
      </c>
      <c r="V123" s="1" t="s">
        <v>276</v>
      </c>
      <c r="W123" s="1" t="s">
        <v>1873</v>
      </c>
      <c r="X123" s="1" t="s">
        <v>1734</v>
      </c>
      <c r="Y123" s="1" t="s">
        <v>1926</v>
      </c>
      <c r="Z123" s="1" t="s">
        <v>1927</v>
      </c>
      <c r="AA123">
        <v>327466666</v>
      </c>
      <c r="AB123" s="1" t="s">
        <v>1764</v>
      </c>
      <c r="AC123" s="1" t="s">
        <v>1806</v>
      </c>
      <c r="AD123" s="1" t="s">
        <v>1928</v>
      </c>
      <c r="AE123" s="1" t="s">
        <v>1929</v>
      </c>
      <c r="AF123">
        <v>327466666</v>
      </c>
      <c r="AG123" s="1" t="s">
        <v>1950</v>
      </c>
      <c r="AH123" s="1" t="s">
        <v>1835</v>
      </c>
      <c r="AI123" s="1" t="s">
        <v>1930</v>
      </c>
      <c r="AJ123" s="1" t="s">
        <v>1931</v>
      </c>
      <c r="AL123" s="1" t="s">
        <v>1920</v>
      </c>
      <c r="AM123" s="1" t="s">
        <v>1858</v>
      </c>
      <c r="AN123" s="1" t="s">
        <v>1932</v>
      </c>
      <c r="AO123" s="1" t="s">
        <v>1933</v>
      </c>
      <c r="AP123">
        <v>327466666</v>
      </c>
      <c r="AQ123" s="1" t="s">
        <v>1730</v>
      </c>
      <c r="AR123" s="1" t="s">
        <v>1740</v>
      </c>
      <c r="AS123" s="1" t="s">
        <v>524</v>
      </c>
      <c r="AT123" s="1"/>
      <c r="AV123" s="1" t="s">
        <v>1850</v>
      </c>
      <c r="AW123" s="1" t="s">
        <v>1955</v>
      </c>
      <c r="AX123" s="1" t="s">
        <v>1744</v>
      </c>
      <c r="AY123">
        <v>617425659</v>
      </c>
      <c r="AZ123" s="1" t="s">
        <v>660</v>
      </c>
      <c r="BA123">
        <v>678409252</v>
      </c>
      <c r="BB123" s="1" t="s">
        <v>1934</v>
      </c>
      <c r="BC123" s="1" t="s">
        <v>1935</v>
      </c>
      <c r="BD123">
        <v>59</v>
      </c>
      <c r="BE123">
        <v>327466666</v>
      </c>
      <c r="BF123">
        <v>50.33447265625</v>
      </c>
      <c r="BG123">
        <v>3.5146713256835902</v>
      </c>
      <c r="BH123">
        <v>451647903</v>
      </c>
      <c r="BI123">
        <v>215</v>
      </c>
      <c r="BJ123" s="2">
        <v>35165</v>
      </c>
      <c r="BK123" s="1" t="s">
        <v>3386</v>
      </c>
      <c r="BL123" s="1" t="s">
        <v>290</v>
      </c>
      <c r="BM123" s="1" t="s">
        <v>291</v>
      </c>
      <c r="BN123" s="1" t="s">
        <v>292</v>
      </c>
      <c r="BO123" s="1" t="s">
        <v>291</v>
      </c>
      <c r="BP123" s="1" t="s">
        <v>293</v>
      </c>
      <c r="BQ123" s="1" t="s">
        <v>294</v>
      </c>
      <c r="BR123">
        <v>80</v>
      </c>
      <c r="BS123">
        <v>25563698.27</v>
      </c>
      <c r="BT123" s="1" t="s">
        <v>295</v>
      </c>
      <c r="BU123" s="1" t="s">
        <v>296</v>
      </c>
      <c r="BV123">
        <v>435574</v>
      </c>
      <c r="BW123">
        <v>1.1324808494001424E-2</v>
      </c>
      <c r="BX123">
        <v>53.299927474121503</v>
      </c>
      <c r="BY123">
        <v>10.171391837542034</v>
      </c>
      <c r="BZ123">
        <v>7.9879249906595469</v>
      </c>
      <c r="CA123">
        <v>71.459244302323086</v>
      </c>
      <c r="CB123" s="1" t="s">
        <v>297</v>
      </c>
      <c r="CC123">
        <v>1</v>
      </c>
      <c r="CD123" s="1" t="s">
        <v>298</v>
      </c>
      <c r="CE123" s="1" t="s">
        <v>504</v>
      </c>
      <c r="CF123">
        <v>1101</v>
      </c>
      <c r="CG123" s="1" t="s">
        <v>300</v>
      </c>
      <c r="CH123" s="1" t="s">
        <v>1474</v>
      </c>
      <c r="CI123" s="1" t="s">
        <v>1475</v>
      </c>
      <c r="CJ123" s="1" t="s">
        <v>1474</v>
      </c>
      <c r="CK123" s="1" t="s">
        <v>1475</v>
      </c>
      <c r="CL123" s="1" t="s">
        <v>1476</v>
      </c>
      <c r="CM123">
        <v>3020409000010</v>
      </c>
      <c r="CO123" s="1"/>
      <c r="CP123" s="1" t="s">
        <v>765</v>
      </c>
      <c r="CQ123" s="1" t="s">
        <v>556</v>
      </c>
      <c r="CR123" s="1" t="s">
        <v>306</v>
      </c>
      <c r="CS123">
        <v>5538</v>
      </c>
      <c r="CT123">
        <v>3850</v>
      </c>
      <c r="CU123">
        <v>3700</v>
      </c>
      <c r="CV123" s="1" t="s">
        <v>307</v>
      </c>
      <c r="CW123" s="1" t="s">
        <v>308</v>
      </c>
      <c r="CY123">
        <v>1688</v>
      </c>
      <c r="CZ123" t="s">
        <v>368</v>
      </c>
      <c r="DA123" s="1" t="s">
        <v>309</v>
      </c>
      <c r="DB123">
        <v>1688</v>
      </c>
      <c r="DC123">
        <v>1688</v>
      </c>
      <c r="DD123">
        <v>0</v>
      </c>
      <c r="DE123">
        <v>0</v>
      </c>
      <c r="DF123">
        <v>414</v>
      </c>
      <c r="DG123">
        <v>1274</v>
      </c>
      <c r="DH123">
        <v>0</v>
      </c>
      <c r="DI123">
        <v>0</v>
      </c>
      <c r="DJ123">
        <v>0</v>
      </c>
      <c r="DK123" s="1" t="s">
        <v>310</v>
      </c>
      <c r="DL123" s="1" t="s">
        <v>311</v>
      </c>
      <c r="DN123" s="1"/>
      <c r="DO123">
        <v>572</v>
      </c>
      <c r="DP123">
        <v>572</v>
      </c>
      <c r="DQ123">
        <v>0</v>
      </c>
      <c r="DR123" s="1"/>
      <c r="DS123">
        <v>400</v>
      </c>
      <c r="DT123">
        <v>55</v>
      </c>
      <c r="DU123">
        <v>230</v>
      </c>
      <c r="DV123" t="s">
        <v>556</v>
      </c>
      <c r="DW123" s="1" t="s">
        <v>558</v>
      </c>
      <c r="DX123">
        <v>19</v>
      </c>
      <c r="DZ123">
        <v>2</v>
      </c>
      <c r="EA123">
        <v>2</v>
      </c>
      <c r="EB123">
        <v>8</v>
      </c>
      <c r="EC123">
        <v>2</v>
      </c>
      <c r="ED123">
        <v>0</v>
      </c>
      <c r="EE123">
        <v>0</v>
      </c>
      <c r="EF123">
        <v>12</v>
      </c>
      <c r="EG123">
        <v>2010</v>
      </c>
      <c r="EI123" s="1"/>
      <c r="EJ123" s="1" t="s">
        <v>313</v>
      </c>
      <c r="EK123" s="1" t="s">
        <v>314</v>
      </c>
      <c r="EL123">
        <v>24</v>
      </c>
      <c r="EM123">
        <v>21</v>
      </c>
      <c r="EN123">
        <v>16</v>
      </c>
      <c r="EO123" s="1" t="s">
        <v>315</v>
      </c>
      <c r="EP123">
        <v>24</v>
      </c>
      <c r="EQ123">
        <v>71.873576143802381</v>
      </c>
      <c r="ER123" s="1" t="s">
        <v>411</v>
      </c>
      <c r="ES123">
        <v>8.2842542406944037</v>
      </c>
      <c r="ET123">
        <v>0</v>
      </c>
      <c r="EU123" s="1"/>
      <c r="EV123">
        <v>100.13975843728284</v>
      </c>
      <c r="EW123">
        <v>2</v>
      </c>
      <c r="EX123" t="s">
        <v>316</v>
      </c>
      <c r="EY123">
        <v>2</v>
      </c>
      <c r="EZ123" s="1" t="s">
        <v>412</v>
      </c>
      <c r="FA123" s="2">
        <v>44197</v>
      </c>
      <c r="FB123" s="1" t="s">
        <v>529</v>
      </c>
      <c r="FC123">
        <v>1</v>
      </c>
      <c r="FD123" s="1"/>
      <c r="FE123" s="2"/>
      <c r="FF123" s="1"/>
      <c r="FG123" s="1" t="s">
        <v>319</v>
      </c>
      <c r="FH123" s="1" t="s">
        <v>319</v>
      </c>
      <c r="FI123" s="1" t="s">
        <v>319</v>
      </c>
      <c r="FJ123" s="1" t="s">
        <v>319</v>
      </c>
      <c r="FK123" s="1" t="s">
        <v>320</v>
      </c>
      <c r="FL123">
        <v>18.920000000000002</v>
      </c>
      <c r="FM123">
        <v>3920.414585595367</v>
      </c>
      <c r="FN123" s="1" t="s">
        <v>321</v>
      </c>
      <c r="FO123" s="1" t="s">
        <v>322</v>
      </c>
      <c r="FP123" s="1" t="s">
        <v>323</v>
      </c>
      <c r="FQ123" s="1" t="s">
        <v>324</v>
      </c>
      <c r="FR123" s="1" t="s">
        <v>1750</v>
      </c>
      <c r="FS123" s="1"/>
      <c r="FT123" s="1" t="s">
        <v>1751</v>
      </c>
      <c r="FV123" s="1" t="s">
        <v>322</v>
      </c>
      <c r="FW123" s="1" t="s">
        <v>319</v>
      </c>
      <c r="FX123" s="1" t="s">
        <v>322</v>
      </c>
      <c r="FY123" s="1" t="s">
        <v>1752</v>
      </c>
      <c r="FZ123" s="1" t="s">
        <v>322</v>
      </c>
      <c r="GA123" s="1" t="s">
        <v>322</v>
      </c>
      <c r="GB123" s="1" t="s">
        <v>322</v>
      </c>
      <c r="GC123" s="1" t="s">
        <v>319</v>
      </c>
      <c r="GD123" s="1" t="s">
        <v>319</v>
      </c>
      <c r="GE123" s="1" t="s">
        <v>319</v>
      </c>
      <c r="GF123" s="1" t="s">
        <v>327</v>
      </c>
      <c r="GG123" s="1"/>
      <c r="GH123" s="1" t="s">
        <v>322</v>
      </c>
      <c r="GI123" s="1" t="s">
        <v>416</v>
      </c>
      <c r="GJ123" s="1" t="s">
        <v>322</v>
      </c>
      <c r="GK123" s="2">
        <v>42005</v>
      </c>
      <c r="GL123" s="1" t="s">
        <v>322</v>
      </c>
      <c r="GM123" s="1" t="s">
        <v>322</v>
      </c>
      <c r="GN123">
        <v>42954</v>
      </c>
      <c r="GO123" s="1" t="s">
        <v>319</v>
      </c>
      <c r="GQ123" s="1"/>
      <c r="GR123" s="1"/>
      <c r="GS123" s="1" t="s">
        <v>448</v>
      </c>
      <c r="GT123" s="1" t="s">
        <v>319</v>
      </c>
      <c r="GU123" s="1" t="s">
        <v>319</v>
      </c>
      <c r="GV123" s="1" t="s">
        <v>319</v>
      </c>
      <c r="GW123" s="1" t="s">
        <v>319</v>
      </c>
      <c r="GX123" s="1" t="s">
        <v>319</v>
      </c>
      <c r="GY123" s="1" t="s">
        <v>319</v>
      </c>
      <c r="GZ123" s="1" t="s">
        <v>319</v>
      </c>
      <c r="HA123" s="2">
        <v>44064</v>
      </c>
      <c r="HB123" s="2">
        <v>42660</v>
      </c>
      <c r="HC123" s="1"/>
      <c r="HD123" s="1"/>
      <c r="HE123" s="1"/>
      <c r="HF123" s="1"/>
      <c r="HG123" s="1"/>
      <c r="HH123" s="1"/>
      <c r="HI123" s="1" t="s">
        <v>322</v>
      </c>
      <c r="HJ123" s="1" t="s">
        <v>330</v>
      </c>
      <c r="HK123" s="2"/>
      <c r="HL123" s="1"/>
      <c r="HM123" s="1" t="s">
        <v>322</v>
      </c>
      <c r="HN123" s="1" t="s">
        <v>322</v>
      </c>
      <c r="HO123" s="1"/>
      <c r="HP123" s="1"/>
      <c r="HQ123" s="1"/>
      <c r="HR123" s="1"/>
      <c r="HS123" s="1"/>
      <c r="HT123" s="1"/>
      <c r="HU123" s="1" t="s">
        <v>331</v>
      </c>
      <c r="HV123">
        <v>4621962010</v>
      </c>
      <c r="HW123">
        <v>40638600</v>
      </c>
      <c r="HX123">
        <v>99102567941</v>
      </c>
      <c r="HY123" s="1" t="s">
        <v>1936</v>
      </c>
      <c r="HZ123">
        <v>4318801</v>
      </c>
      <c r="IA123">
        <v>4321519</v>
      </c>
      <c r="IB123" s="1" t="s">
        <v>1937</v>
      </c>
      <c r="IC123">
        <v>830215</v>
      </c>
      <c r="ID123" s="1" t="s">
        <v>1938</v>
      </c>
      <c r="IE123">
        <v>7.31</v>
      </c>
      <c r="IF123">
        <v>5.84</v>
      </c>
      <c r="IG123">
        <v>4.67</v>
      </c>
      <c r="IH123">
        <v>3.78</v>
      </c>
      <c r="II123">
        <v>3.09</v>
      </c>
      <c r="IJ123">
        <v>2.59</v>
      </c>
      <c r="IK123">
        <v>2.59</v>
      </c>
    </row>
    <row r="124" spans="1:245" x14ac:dyDescent="0.3">
      <c r="A124">
        <v>1796</v>
      </c>
      <c r="B124">
        <v>2408</v>
      </c>
      <c r="C124" s="1" t="s">
        <v>1939</v>
      </c>
      <c r="D124" s="1" t="s">
        <v>1451</v>
      </c>
      <c r="E124" t="s">
        <v>3275</v>
      </c>
      <c r="F124" s="1" t="s">
        <v>1728</v>
      </c>
      <c r="G124" s="1" t="s">
        <v>1729</v>
      </c>
      <c r="H124">
        <v>626529799</v>
      </c>
      <c r="I124" s="1" t="s">
        <v>1940</v>
      </c>
      <c r="J124" s="1" t="s">
        <v>1941</v>
      </c>
      <c r="K124">
        <v>614540257</v>
      </c>
      <c r="L124">
        <v>44592</v>
      </c>
      <c r="M124" s="1" t="s">
        <v>1942</v>
      </c>
      <c r="N124" s="1" t="s">
        <v>1943</v>
      </c>
      <c r="O124">
        <v>327198708</v>
      </c>
      <c r="P124" s="1" t="s">
        <v>273</v>
      </c>
      <c r="Q124" s="1" t="s">
        <v>1898</v>
      </c>
      <c r="R124" s="1" t="s">
        <v>1875</v>
      </c>
      <c r="S124" s="1" t="s">
        <v>1944</v>
      </c>
      <c r="T124" s="1" t="s">
        <v>1945</v>
      </c>
      <c r="U124">
        <v>327198700</v>
      </c>
      <c r="V124" s="1" t="s">
        <v>276</v>
      </c>
      <c r="W124" s="1" t="s">
        <v>1873</v>
      </c>
      <c r="X124" s="1" t="s">
        <v>1734</v>
      </c>
      <c r="Y124" s="1" t="s">
        <v>1946</v>
      </c>
      <c r="Z124" s="1" t="s">
        <v>1947</v>
      </c>
      <c r="AA124">
        <v>647615932</v>
      </c>
      <c r="AB124" s="1" t="s">
        <v>1764</v>
      </c>
      <c r="AC124" s="1" t="s">
        <v>1806</v>
      </c>
      <c r="AD124" s="1" t="s">
        <v>1948</v>
      </c>
      <c r="AE124" s="1" t="s">
        <v>1949</v>
      </c>
      <c r="AF124">
        <v>327198705</v>
      </c>
      <c r="AG124" s="1" t="s">
        <v>1950</v>
      </c>
      <c r="AH124" s="1" t="s">
        <v>1835</v>
      </c>
      <c r="AI124" s="1" t="s">
        <v>1951</v>
      </c>
      <c r="AJ124" s="1" t="s">
        <v>1952</v>
      </c>
      <c r="AK124">
        <v>327198700</v>
      </c>
      <c r="AL124" s="1" t="s">
        <v>1920</v>
      </c>
      <c r="AM124" s="1" t="s">
        <v>1858</v>
      </c>
      <c r="AN124" s="1" t="s">
        <v>1953</v>
      </c>
      <c r="AO124" s="1" t="s">
        <v>1954</v>
      </c>
      <c r="AP124">
        <v>327198702</v>
      </c>
      <c r="AQ124" s="1" t="s">
        <v>1730</v>
      </c>
      <c r="AR124" s="1" t="s">
        <v>1740</v>
      </c>
      <c r="AS124" s="1" t="s">
        <v>1955</v>
      </c>
      <c r="AT124" s="1" t="s">
        <v>1956</v>
      </c>
      <c r="AU124">
        <v>327198700</v>
      </c>
      <c r="AV124" s="1" t="s">
        <v>1850</v>
      </c>
      <c r="AW124" s="1" t="s">
        <v>1955</v>
      </c>
      <c r="AX124" s="1" t="s">
        <v>1744</v>
      </c>
      <c r="AY124">
        <v>617425660</v>
      </c>
      <c r="AZ124" s="1" t="s">
        <v>660</v>
      </c>
      <c r="BA124">
        <v>678409252</v>
      </c>
      <c r="BB124" s="1" t="s">
        <v>1957</v>
      </c>
      <c r="BC124" s="1" t="s">
        <v>1958</v>
      </c>
      <c r="BD124">
        <v>59</v>
      </c>
      <c r="BE124">
        <v>327198700</v>
      </c>
      <c r="BF124">
        <v>50.3753662109375</v>
      </c>
      <c r="BG124">
        <v>3.4801712036132799</v>
      </c>
      <c r="BH124">
        <v>451647903</v>
      </c>
      <c r="BI124">
        <v>769</v>
      </c>
      <c r="BJ124" s="2">
        <v>38917</v>
      </c>
      <c r="BK124" s="1" t="s">
        <v>3306</v>
      </c>
      <c r="BL124" s="1" t="s">
        <v>290</v>
      </c>
      <c r="BM124" s="1" t="s">
        <v>291</v>
      </c>
      <c r="BN124" s="1" t="s">
        <v>292</v>
      </c>
      <c r="BO124" s="1" t="s">
        <v>291</v>
      </c>
      <c r="BP124" s="1" t="s">
        <v>293</v>
      </c>
      <c r="BQ124" s="1" t="s">
        <v>294</v>
      </c>
      <c r="BR124">
        <v>80</v>
      </c>
      <c r="BS124">
        <v>29805143.300000001</v>
      </c>
      <c r="BT124" s="1" t="s">
        <v>295</v>
      </c>
      <c r="BU124" s="1" t="s">
        <v>401</v>
      </c>
      <c r="BV124">
        <v>498247</v>
      </c>
      <c r="BW124">
        <v>1.0859963033118402E-2</v>
      </c>
      <c r="BX124">
        <v>62.428364211775602</v>
      </c>
      <c r="BY124">
        <v>9.0119063317289712</v>
      </c>
      <c r="BZ124">
        <v>7.8780411419529237</v>
      </c>
      <c r="CA124">
        <v>79.318311685457488</v>
      </c>
      <c r="CB124" s="1" t="s">
        <v>1380</v>
      </c>
      <c r="CC124">
        <v>1</v>
      </c>
      <c r="CD124" s="1" t="s">
        <v>298</v>
      </c>
      <c r="CE124" s="1" t="s">
        <v>504</v>
      </c>
      <c r="CF124">
        <v>1101</v>
      </c>
      <c r="CG124" s="1" t="s">
        <v>300</v>
      </c>
      <c r="CH124" s="1" t="s">
        <v>1474</v>
      </c>
      <c r="CI124" s="1" t="s">
        <v>1475</v>
      </c>
      <c r="CJ124" s="1" t="s">
        <v>1474</v>
      </c>
      <c r="CK124" s="1" t="s">
        <v>1475</v>
      </c>
      <c r="CL124" s="1" t="s">
        <v>1476</v>
      </c>
      <c r="CM124">
        <v>3020409000010</v>
      </c>
      <c r="CO124" s="1"/>
      <c r="CP124" s="1" t="s">
        <v>304</v>
      </c>
      <c r="CQ124" s="1" t="s">
        <v>406</v>
      </c>
      <c r="CR124" s="1" t="s">
        <v>505</v>
      </c>
      <c r="CS124">
        <v>8260</v>
      </c>
      <c r="CT124">
        <v>5360</v>
      </c>
      <c r="CU124" t="s">
        <v>693</v>
      </c>
      <c r="CV124" s="1" t="s">
        <v>478</v>
      </c>
      <c r="CW124" s="1" t="s">
        <v>308</v>
      </c>
      <c r="CY124">
        <v>2900</v>
      </c>
      <c r="CZ124">
        <v>3000</v>
      </c>
      <c r="DA124" s="1" t="s">
        <v>309</v>
      </c>
      <c r="DB124">
        <v>2900</v>
      </c>
      <c r="DC124">
        <v>2900</v>
      </c>
      <c r="DD124">
        <v>0</v>
      </c>
      <c r="DE124">
        <v>0</v>
      </c>
      <c r="DF124">
        <v>1080</v>
      </c>
      <c r="DG124">
        <v>1820</v>
      </c>
      <c r="DH124">
        <v>0</v>
      </c>
      <c r="DI124">
        <v>0</v>
      </c>
      <c r="DJ124">
        <v>0</v>
      </c>
      <c r="DK124" s="1" t="s">
        <v>409</v>
      </c>
      <c r="DL124" s="1" t="s">
        <v>741</v>
      </c>
      <c r="DN124" s="1"/>
      <c r="DO124">
        <v>1000</v>
      </c>
      <c r="DP124">
        <v>0</v>
      </c>
      <c r="DQ124">
        <v>1000</v>
      </c>
      <c r="DR124" s="1" t="s">
        <v>479</v>
      </c>
      <c r="DS124">
        <v>460</v>
      </c>
      <c r="DT124">
        <v>110</v>
      </c>
      <c r="DU124">
        <v>200</v>
      </c>
      <c r="DV124">
        <v>212</v>
      </c>
      <c r="DW124" s="1" t="s">
        <v>371</v>
      </c>
      <c r="DX124">
        <v>18</v>
      </c>
      <c r="DZ124">
        <v>2</v>
      </c>
      <c r="EA124">
        <v>2</v>
      </c>
      <c r="EB124">
        <v>12</v>
      </c>
      <c r="EC124">
        <v>3</v>
      </c>
      <c r="ED124">
        <v>1</v>
      </c>
      <c r="EE124">
        <v>0</v>
      </c>
      <c r="EF124">
        <v>18</v>
      </c>
      <c r="EG124">
        <v>2012</v>
      </c>
      <c r="EI124" s="1"/>
      <c r="EJ124" s="1" t="s">
        <v>313</v>
      </c>
      <c r="EK124" s="1" t="s">
        <v>314</v>
      </c>
      <c r="EL124">
        <v>35</v>
      </c>
      <c r="EM124">
        <v>22</v>
      </c>
      <c r="EN124">
        <v>12</v>
      </c>
      <c r="EO124" s="1" t="s">
        <v>315</v>
      </c>
      <c r="EP124">
        <v>32</v>
      </c>
      <c r="EQ124">
        <v>71.873576143802381</v>
      </c>
      <c r="ER124" s="1" t="s">
        <v>316</v>
      </c>
      <c r="ES124">
        <v>8.2842542406944037</v>
      </c>
      <c r="ET124">
        <v>1</v>
      </c>
      <c r="EU124" s="1" t="s">
        <v>1749</v>
      </c>
      <c r="EV124">
        <v>100.13975843728284</v>
      </c>
      <c r="EW124">
        <v>0</v>
      </c>
      <c r="EX124" t="s">
        <v>316</v>
      </c>
      <c r="EY124">
        <v>1</v>
      </c>
      <c r="EZ124" s="1" t="s">
        <v>412</v>
      </c>
      <c r="FA124" s="2">
        <v>44197</v>
      </c>
      <c r="FB124" s="1" t="s">
        <v>507</v>
      </c>
      <c r="FC124">
        <v>1</v>
      </c>
      <c r="FD124" s="1"/>
      <c r="FE124" s="2"/>
      <c r="FF124" s="1"/>
      <c r="FG124" s="1" t="s">
        <v>319</v>
      </c>
      <c r="FH124" s="1" t="s">
        <v>322</v>
      </c>
      <c r="FI124" s="1" t="s">
        <v>319</v>
      </c>
      <c r="FJ124" s="1" t="s">
        <v>319</v>
      </c>
      <c r="FK124" s="1" t="s">
        <v>320</v>
      </c>
      <c r="FL124">
        <v>18.920000000000002</v>
      </c>
      <c r="FM124">
        <v>4244.4739413680772</v>
      </c>
      <c r="FN124" s="1" t="s">
        <v>321</v>
      </c>
      <c r="FO124" s="1" t="s">
        <v>322</v>
      </c>
      <c r="FP124" s="1" t="s">
        <v>323</v>
      </c>
      <c r="FQ124" s="1" t="s">
        <v>324</v>
      </c>
      <c r="FR124" s="1" t="s">
        <v>1750</v>
      </c>
      <c r="FS124" s="1"/>
      <c r="FT124" s="1" t="s">
        <v>1751</v>
      </c>
      <c r="FV124" s="1" t="s">
        <v>322</v>
      </c>
      <c r="FW124" s="1" t="s">
        <v>322</v>
      </c>
      <c r="FX124" s="1" t="s">
        <v>322</v>
      </c>
      <c r="FY124" s="1" t="s">
        <v>1752</v>
      </c>
      <c r="FZ124" s="1" t="s">
        <v>322</v>
      </c>
      <c r="GA124" s="1" t="s">
        <v>322</v>
      </c>
      <c r="GB124" s="1" t="s">
        <v>319</v>
      </c>
      <c r="GC124" s="1" t="s">
        <v>322</v>
      </c>
      <c r="GD124" s="1" t="s">
        <v>319</v>
      </c>
      <c r="GE124" s="1" t="s">
        <v>322</v>
      </c>
      <c r="GF124" s="1" t="s">
        <v>415</v>
      </c>
      <c r="GG124" s="1"/>
      <c r="GH124" s="1" t="s">
        <v>319</v>
      </c>
      <c r="GI124" s="1"/>
      <c r="GJ124" s="1" t="s">
        <v>322</v>
      </c>
      <c r="GK124" s="2">
        <v>41640</v>
      </c>
      <c r="GL124" s="1" t="s">
        <v>322</v>
      </c>
      <c r="GM124" s="1" t="s">
        <v>322</v>
      </c>
      <c r="GN124">
        <v>42954</v>
      </c>
      <c r="GO124" s="1" t="s">
        <v>319</v>
      </c>
      <c r="GQ124" s="1"/>
      <c r="GR124" s="1"/>
      <c r="GS124" s="1"/>
      <c r="GT124" s="1" t="s">
        <v>322</v>
      </c>
      <c r="GU124" s="1" t="s">
        <v>1479</v>
      </c>
      <c r="GV124" s="1" t="s">
        <v>322</v>
      </c>
      <c r="GW124" s="1" t="s">
        <v>319</v>
      </c>
      <c r="GX124" s="1" t="s">
        <v>322</v>
      </c>
      <c r="GY124" s="1" t="s">
        <v>319</v>
      </c>
      <c r="GZ124" s="1" t="s">
        <v>319</v>
      </c>
      <c r="HA124" s="2">
        <v>44076</v>
      </c>
      <c r="HB124" s="2">
        <v>42660</v>
      </c>
      <c r="HC124" s="1"/>
      <c r="HD124" s="1"/>
      <c r="HE124" s="1"/>
      <c r="HF124" s="1"/>
      <c r="HG124" s="1"/>
      <c r="HH124" s="1"/>
      <c r="HI124" s="1" t="s">
        <v>322</v>
      </c>
      <c r="HJ124" s="1" t="s">
        <v>485</v>
      </c>
      <c r="HK124" s="2">
        <v>42736</v>
      </c>
      <c r="HL124" s="1"/>
      <c r="HM124" s="1" t="s">
        <v>322</v>
      </c>
      <c r="HN124" s="1" t="s">
        <v>322</v>
      </c>
      <c r="HO124" s="1"/>
      <c r="HP124" s="1"/>
      <c r="HQ124" s="1"/>
      <c r="HR124" s="1"/>
      <c r="HS124" s="1"/>
      <c r="HT124" s="1"/>
      <c r="HU124" s="1" t="s">
        <v>331</v>
      </c>
      <c r="HV124">
        <v>4624433014</v>
      </c>
      <c r="HW124">
        <v>40638617</v>
      </c>
      <c r="HX124">
        <v>99102567965</v>
      </c>
      <c r="HY124" s="1" t="s">
        <v>1959</v>
      </c>
      <c r="HZ124">
        <v>4242190</v>
      </c>
      <c r="IA124">
        <v>4321322</v>
      </c>
      <c r="IB124" s="1" t="s">
        <v>1960</v>
      </c>
      <c r="IC124">
        <v>830219</v>
      </c>
      <c r="ID124" s="1" t="s">
        <v>1961</v>
      </c>
      <c r="IE124">
        <v>3.57</v>
      </c>
      <c r="IF124">
        <v>3.66</v>
      </c>
      <c r="IG124">
        <v>2.86</v>
      </c>
      <c r="IH124">
        <v>3.86</v>
      </c>
      <c r="II124">
        <v>3.74</v>
      </c>
      <c r="IJ124">
        <v>3.32</v>
      </c>
      <c r="IK124">
        <v>3.32</v>
      </c>
    </row>
    <row r="125" spans="1:245" x14ac:dyDescent="0.3">
      <c r="A125">
        <v>1901</v>
      </c>
      <c r="B125">
        <v>2411</v>
      </c>
      <c r="C125" s="1" t="s">
        <v>2839</v>
      </c>
      <c r="D125" s="1" t="s">
        <v>1103</v>
      </c>
      <c r="E125" t="s">
        <v>3275</v>
      </c>
      <c r="F125" s="1" t="s">
        <v>2504</v>
      </c>
      <c r="G125" s="1" t="s">
        <v>2505</v>
      </c>
      <c r="H125">
        <v>610925352</v>
      </c>
      <c r="I125" s="1" t="s">
        <v>2840</v>
      </c>
      <c r="J125" s="1" t="s">
        <v>2841</v>
      </c>
      <c r="L125">
        <v>43591</v>
      </c>
      <c r="M125" s="1" t="s">
        <v>2842</v>
      </c>
      <c r="N125" s="1" t="s">
        <v>2843</v>
      </c>
      <c r="O125">
        <v>474041908</v>
      </c>
      <c r="P125" s="1" t="s">
        <v>273</v>
      </c>
      <c r="Q125" s="1" t="s">
        <v>2658</v>
      </c>
      <c r="R125" s="1" t="s">
        <v>2729</v>
      </c>
      <c r="S125" s="1" t="s">
        <v>524</v>
      </c>
      <c r="T125" s="1"/>
      <c r="V125" s="1"/>
      <c r="W125" s="1" t="s">
        <v>2840</v>
      </c>
      <c r="X125" s="1" t="s">
        <v>2796</v>
      </c>
      <c r="Y125" s="1" t="s">
        <v>2844</v>
      </c>
      <c r="Z125" s="1" t="s">
        <v>2845</v>
      </c>
      <c r="AA125">
        <v>474041905</v>
      </c>
      <c r="AB125" s="1" t="s">
        <v>2751</v>
      </c>
      <c r="AC125" s="1" t="s">
        <v>2707</v>
      </c>
      <c r="AD125" s="1" t="s">
        <v>2846</v>
      </c>
      <c r="AE125" s="1" t="s">
        <v>2847</v>
      </c>
      <c r="AF125">
        <v>606458526</v>
      </c>
      <c r="AG125" s="1" t="s">
        <v>2701</v>
      </c>
      <c r="AH125" s="1" t="s">
        <v>2736</v>
      </c>
      <c r="AI125" s="1" t="s">
        <v>2848</v>
      </c>
      <c r="AJ125" s="1" t="s">
        <v>2849</v>
      </c>
      <c r="AK125">
        <v>474041904</v>
      </c>
      <c r="AL125" s="1" t="s">
        <v>2804</v>
      </c>
      <c r="AM125" s="1" t="s">
        <v>2514</v>
      </c>
      <c r="AN125" s="1" t="s">
        <v>2850</v>
      </c>
      <c r="AO125" s="1" t="s">
        <v>2851</v>
      </c>
      <c r="AP125">
        <v>474041902</v>
      </c>
      <c r="AQ125" s="1" t="s">
        <v>2725</v>
      </c>
      <c r="AR125" s="1" t="s">
        <v>2829</v>
      </c>
      <c r="AS125" s="1" t="s">
        <v>2852</v>
      </c>
      <c r="AT125" s="1" t="s">
        <v>2853</v>
      </c>
      <c r="AU125">
        <v>474041907</v>
      </c>
      <c r="AV125" s="1" t="s">
        <v>2725</v>
      </c>
      <c r="AW125" s="1" t="s">
        <v>2741</v>
      </c>
      <c r="AX125" s="1" t="s">
        <v>2520</v>
      </c>
      <c r="AY125">
        <v>789331673</v>
      </c>
      <c r="AZ125" s="1" t="s">
        <v>2430</v>
      </c>
      <c r="BB125" s="1" t="s">
        <v>2854</v>
      </c>
      <c r="BC125" s="1" t="s">
        <v>2855</v>
      </c>
      <c r="BD125">
        <v>69</v>
      </c>
      <c r="BE125">
        <v>474041900</v>
      </c>
      <c r="BF125">
        <v>45.997314453125</v>
      </c>
      <c r="BG125">
        <v>4.7345275878906197</v>
      </c>
      <c r="BH125">
        <v>451647903</v>
      </c>
      <c r="BI125">
        <v>884</v>
      </c>
      <c r="BJ125" s="2">
        <v>39220</v>
      </c>
      <c r="BK125" s="1" t="s">
        <v>1649</v>
      </c>
      <c r="BL125" s="1" t="s">
        <v>290</v>
      </c>
      <c r="BM125" s="1" t="s">
        <v>291</v>
      </c>
      <c r="BN125" s="1" t="s">
        <v>292</v>
      </c>
      <c r="BO125" s="1" t="s">
        <v>291</v>
      </c>
      <c r="BP125" s="1" t="s">
        <v>293</v>
      </c>
      <c r="BQ125" s="1" t="s">
        <v>294</v>
      </c>
      <c r="BR125">
        <v>80</v>
      </c>
      <c r="BS125">
        <v>26172394.41</v>
      </c>
      <c r="BT125" s="1" t="s">
        <v>295</v>
      </c>
      <c r="BU125" s="1" t="s">
        <v>296</v>
      </c>
      <c r="BV125">
        <v>505701</v>
      </c>
      <c r="BW125">
        <v>6.79339879048684E-3</v>
      </c>
      <c r="BX125">
        <v>62.114261225028002</v>
      </c>
      <c r="BY125">
        <v>13.680891628755406</v>
      </c>
      <c r="BZ125">
        <v>1.9365002966967755</v>
      </c>
      <c r="CA125">
        <v>77.731653150480184</v>
      </c>
      <c r="CB125" s="1" t="s">
        <v>360</v>
      </c>
      <c r="CC125">
        <v>2</v>
      </c>
      <c r="CD125" s="1" t="s">
        <v>402</v>
      </c>
      <c r="CE125" s="1" t="s">
        <v>299</v>
      </c>
      <c r="CF125">
        <v>1106</v>
      </c>
      <c r="CG125" s="1" t="s">
        <v>362</v>
      </c>
      <c r="CH125" s="1" t="s">
        <v>972</v>
      </c>
      <c r="CI125" s="1" t="s">
        <v>973</v>
      </c>
      <c r="CJ125" s="1" t="s">
        <v>972</v>
      </c>
      <c r="CK125" s="1" t="s">
        <v>302</v>
      </c>
      <c r="CL125" s="1" t="s">
        <v>974</v>
      </c>
      <c r="CM125">
        <v>3020409000020</v>
      </c>
      <c r="CO125" s="1"/>
      <c r="CP125" s="1" t="s">
        <v>304</v>
      </c>
      <c r="CQ125" s="1" t="s">
        <v>406</v>
      </c>
      <c r="CR125" s="1" t="s">
        <v>306</v>
      </c>
      <c r="CS125">
        <v>5515</v>
      </c>
      <c r="CT125">
        <v>2950</v>
      </c>
      <c r="CU125">
        <v>3000</v>
      </c>
      <c r="CV125" s="1" t="s">
        <v>309</v>
      </c>
      <c r="CW125" s="1" t="s">
        <v>308</v>
      </c>
      <c r="CY125">
        <v>2652</v>
      </c>
      <c r="CZ125" t="s">
        <v>368</v>
      </c>
      <c r="DA125" s="1" t="s">
        <v>309</v>
      </c>
      <c r="DB125">
        <v>2565</v>
      </c>
      <c r="DC125">
        <v>2565</v>
      </c>
      <c r="DD125">
        <v>0</v>
      </c>
      <c r="DE125">
        <v>0</v>
      </c>
      <c r="DF125">
        <v>915</v>
      </c>
      <c r="DG125">
        <v>1650</v>
      </c>
      <c r="DH125">
        <v>0</v>
      </c>
      <c r="DI125">
        <v>0</v>
      </c>
      <c r="DJ125">
        <v>0</v>
      </c>
      <c r="DK125" s="1" t="s">
        <v>557</v>
      </c>
      <c r="DL125" s="1" t="s">
        <v>445</v>
      </c>
      <c r="DM125">
        <v>2000</v>
      </c>
      <c r="DN125" s="1"/>
      <c r="DO125">
        <v>955</v>
      </c>
      <c r="DP125">
        <v>0</v>
      </c>
      <c r="DQ125">
        <v>955</v>
      </c>
      <c r="DR125" s="1"/>
      <c r="DS125">
        <v>316</v>
      </c>
      <c r="DT125">
        <v>83</v>
      </c>
      <c r="DU125">
        <v>392</v>
      </c>
      <c r="DV125">
        <v>190</v>
      </c>
      <c r="DW125" s="1" t="s">
        <v>371</v>
      </c>
      <c r="DX125">
        <v>20</v>
      </c>
      <c r="DY125">
        <v>2017</v>
      </c>
      <c r="DZ125">
        <v>2</v>
      </c>
      <c r="EA125">
        <v>2</v>
      </c>
      <c r="EB125">
        <v>10</v>
      </c>
      <c r="EC125">
        <v>3</v>
      </c>
      <c r="ED125">
        <v>0</v>
      </c>
      <c r="EE125">
        <v>1</v>
      </c>
      <c r="EF125">
        <v>16</v>
      </c>
      <c r="EG125">
        <v>2014</v>
      </c>
      <c r="EI125" s="1"/>
      <c r="EJ125" s="1" t="s">
        <v>313</v>
      </c>
      <c r="EK125" s="1" t="s">
        <v>314</v>
      </c>
      <c r="EL125">
        <v>26</v>
      </c>
      <c r="EM125">
        <v>20</v>
      </c>
      <c r="EN125">
        <v>11</v>
      </c>
      <c r="EO125" s="1" t="s">
        <v>315</v>
      </c>
      <c r="EP125">
        <v>26</v>
      </c>
      <c r="EQ125">
        <v>170.89714532373424</v>
      </c>
      <c r="ER125" s="1" t="s">
        <v>480</v>
      </c>
      <c r="ES125">
        <v>9.1152985289672426</v>
      </c>
      <c r="ET125">
        <v>0</v>
      </c>
      <c r="EU125" s="1"/>
      <c r="EV125">
        <v>172.48497151910271</v>
      </c>
      <c r="EW125">
        <v>0</v>
      </c>
      <c r="EX125" t="s">
        <v>316</v>
      </c>
      <c r="EY125">
        <v>0</v>
      </c>
      <c r="EZ125" s="1" t="s">
        <v>412</v>
      </c>
      <c r="FA125" s="2">
        <v>44197</v>
      </c>
      <c r="FB125" s="1" t="s">
        <v>791</v>
      </c>
      <c r="FC125">
        <v>1</v>
      </c>
      <c r="FD125" s="1"/>
      <c r="FE125" s="2"/>
      <c r="FF125" s="1"/>
      <c r="FG125" s="1" t="s">
        <v>322</v>
      </c>
      <c r="FH125" s="1" t="s">
        <v>322</v>
      </c>
      <c r="FI125" s="1" t="s">
        <v>322</v>
      </c>
      <c r="FJ125" s="1" t="s">
        <v>319</v>
      </c>
      <c r="FK125" s="1" t="s">
        <v>1143</v>
      </c>
      <c r="FL125">
        <v>18.97</v>
      </c>
      <c r="FM125">
        <v>4702.3538043478266</v>
      </c>
      <c r="FN125" s="1" t="s">
        <v>321</v>
      </c>
      <c r="FO125" s="1" t="s">
        <v>319</v>
      </c>
      <c r="FP125" s="1" t="s">
        <v>323</v>
      </c>
      <c r="FQ125" s="1" t="s">
        <v>324</v>
      </c>
      <c r="FR125" s="1" t="s">
        <v>325</v>
      </c>
      <c r="FS125" s="1"/>
      <c r="FT125" s="1" t="s">
        <v>326</v>
      </c>
      <c r="FU125">
        <v>494198191</v>
      </c>
      <c r="FV125" s="1" t="s">
        <v>319</v>
      </c>
      <c r="FW125" s="1" t="s">
        <v>322</v>
      </c>
      <c r="FX125" s="1" t="s">
        <v>322</v>
      </c>
      <c r="FY125" s="1" t="s">
        <v>322</v>
      </c>
      <c r="FZ125" s="1" t="s">
        <v>322</v>
      </c>
      <c r="GA125" s="1" t="s">
        <v>322</v>
      </c>
      <c r="GB125" s="1" t="s">
        <v>322</v>
      </c>
      <c r="GC125" s="1" t="s">
        <v>322</v>
      </c>
      <c r="GD125" s="1" t="s">
        <v>319</v>
      </c>
      <c r="GE125" s="1" t="s">
        <v>319</v>
      </c>
      <c r="GF125" s="1" t="s">
        <v>415</v>
      </c>
      <c r="GG125" s="1"/>
      <c r="GH125" s="1" t="s">
        <v>319</v>
      </c>
      <c r="GI125" s="1"/>
      <c r="GJ125" s="1" t="s">
        <v>322</v>
      </c>
      <c r="GK125" s="2">
        <v>42370</v>
      </c>
      <c r="GL125" s="1" t="s">
        <v>322</v>
      </c>
      <c r="GM125" s="1" t="s">
        <v>322</v>
      </c>
      <c r="GN125">
        <v>43132</v>
      </c>
      <c r="GO125" s="1" t="s">
        <v>322</v>
      </c>
      <c r="GP125">
        <v>43875</v>
      </c>
      <c r="GQ125" s="1" t="s">
        <v>2856</v>
      </c>
      <c r="GR125" s="1" t="s">
        <v>322</v>
      </c>
      <c r="GS125" s="1" t="s">
        <v>448</v>
      </c>
      <c r="GT125" s="1" t="s">
        <v>319</v>
      </c>
      <c r="GU125" s="1" t="s">
        <v>319</v>
      </c>
      <c r="GV125" s="1" t="s">
        <v>319</v>
      </c>
      <c r="GW125" s="1" t="s">
        <v>319</v>
      </c>
      <c r="GX125" s="1" t="s">
        <v>319</v>
      </c>
      <c r="GY125" s="1" t="s">
        <v>319</v>
      </c>
      <c r="GZ125" s="1" t="s">
        <v>319</v>
      </c>
      <c r="HA125" s="2">
        <v>44078</v>
      </c>
      <c r="HB125" s="2">
        <v>42667</v>
      </c>
      <c r="HC125" s="1"/>
      <c r="HD125" s="1"/>
      <c r="HE125" s="1"/>
      <c r="HF125" s="1"/>
      <c r="HG125" s="1"/>
      <c r="HH125" s="1"/>
      <c r="HI125" s="1" t="s">
        <v>319</v>
      </c>
      <c r="HJ125" s="1" t="s">
        <v>330</v>
      </c>
      <c r="HK125" s="2"/>
      <c r="HL125" s="1"/>
      <c r="HM125" s="1" t="s">
        <v>322</v>
      </c>
      <c r="HN125" s="1" t="s">
        <v>322</v>
      </c>
      <c r="HO125" s="1"/>
      <c r="HP125" s="1"/>
      <c r="HQ125" s="1"/>
      <c r="HR125" s="1"/>
      <c r="HS125" s="1"/>
      <c r="HT125" s="1"/>
      <c r="HU125" s="1" t="s">
        <v>331</v>
      </c>
      <c r="HV125">
        <v>4625380015</v>
      </c>
      <c r="HW125">
        <v>40639002</v>
      </c>
      <c r="HX125">
        <v>99102570821</v>
      </c>
      <c r="HY125" s="1" t="s">
        <v>2857</v>
      </c>
      <c r="HZ125">
        <v>4320880</v>
      </c>
      <c r="IA125">
        <v>4321527</v>
      </c>
      <c r="IB125" s="1" t="s">
        <v>2858</v>
      </c>
      <c r="IC125">
        <v>830265</v>
      </c>
      <c r="ID125" s="1" t="s">
        <v>2859</v>
      </c>
      <c r="IE125">
        <v>6.71</v>
      </c>
      <c r="IF125">
        <v>8.1300000000000008</v>
      </c>
      <c r="IG125">
        <v>10.16</v>
      </c>
      <c r="IH125">
        <v>8.1199999999999992</v>
      </c>
      <c r="II125">
        <v>7.09</v>
      </c>
      <c r="IJ125">
        <v>6.48</v>
      </c>
      <c r="IK125">
        <v>6.48</v>
      </c>
    </row>
    <row r="126" spans="1:245" x14ac:dyDescent="0.3">
      <c r="A126">
        <v>1937</v>
      </c>
      <c r="B126">
        <v>2438</v>
      </c>
      <c r="C126" s="1" t="s">
        <v>1606</v>
      </c>
      <c r="D126" s="1" t="s">
        <v>1074</v>
      </c>
      <c r="E126" t="s">
        <v>3275</v>
      </c>
      <c r="F126" s="1" t="s">
        <v>3300</v>
      </c>
      <c r="G126" s="1" t="s">
        <v>1452</v>
      </c>
      <c r="H126">
        <v>625291561</v>
      </c>
      <c r="I126" s="1" t="s">
        <v>1607</v>
      </c>
      <c r="J126" s="1" t="s">
        <v>1608</v>
      </c>
      <c r="K126">
        <v>617345660</v>
      </c>
      <c r="L126">
        <v>44074</v>
      </c>
      <c r="M126" s="1" t="s">
        <v>1609</v>
      </c>
      <c r="N126" s="1" t="s">
        <v>1610</v>
      </c>
      <c r="O126">
        <v>149713878</v>
      </c>
      <c r="P126" s="1" t="s">
        <v>273</v>
      </c>
      <c r="Q126" s="1" t="s">
        <v>1683</v>
      </c>
      <c r="R126" s="1" t="s">
        <v>1685</v>
      </c>
      <c r="S126" s="1" t="s">
        <v>1611</v>
      </c>
      <c r="T126" s="1" t="s">
        <v>1612</v>
      </c>
      <c r="U126">
        <v>149713879</v>
      </c>
      <c r="V126" s="1" t="s">
        <v>276</v>
      </c>
      <c r="W126" s="1" t="s">
        <v>1459</v>
      </c>
      <c r="X126" s="1" t="s">
        <v>1560</v>
      </c>
      <c r="Y126" s="1" t="s">
        <v>1613</v>
      </c>
      <c r="Z126" s="1" t="s">
        <v>1614</v>
      </c>
      <c r="AA126">
        <v>149713876</v>
      </c>
      <c r="AB126" s="1" t="s">
        <v>1530</v>
      </c>
      <c r="AC126" s="1" t="s">
        <v>1637</v>
      </c>
      <c r="AD126" s="1" t="s">
        <v>1615</v>
      </c>
      <c r="AE126" s="1" t="s">
        <v>1616</v>
      </c>
      <c r="AG126" s="1" t="s">
        <v>1617</v>
      </c>
      <c r="AH126" s="1" t="s">
        <v>1689</v>
      </c>
      <c r="AI126" s="1" t="s">
        <v>1618</v>
      </c>
      <c r="AJ126" s="1" t="s">
        <v>1619</v>
      </c>
      <c r="AK126">
        <v>149713870</v>
      </c>
      <c r="AL126" s="1" t="s">
        <v>1658</v>
      </c>
      <c r="AM126" s="1" t="s">
        <v>1668</v>
      </c>
      <c r="AN126" s="1" t="s">
        <v>1620</v>
      </c>
      <c r="AO126" s="1" t="s">
        <v>1621</v>
      </c>
      <c r="AP126">
        <v>149713872</v>
      </c>
      <c r="AQ126" s="1" t="s">
        <v>1453</v>
      </c>
      <c r="AR126" s="1" t="s">
        <v>1466</v>
      </c>
      <c r="AS126" s="1" t="s">
        <v>1622</v>
      </c>
      <c r="AT126" s="1" t="s">
        <v>1623</v>
      </c>
      <c r="AU126">
        <v>149713870</v>
      </c>
      <c r="AV126" s="1" t="s">
        <v>1582</v>
      </c>
      <c r="AW126" s="1" t="s">
        <v>1695</v>
      </c>
      <c r="AX126" s="1" t="s">
        <v>1470</v>
      </c>
      <c r="AY126">
        <v>609519429</v>
      </c>
      <c r="AZ126" s="1" t="s">
        <v>1471</v>
      </c>
      <c r="BA126">
        <v>784179656</v>
      </c>
      <c r="BB126" s="1" t="s">
        <v>1624</v>
      </c>
      <c r="BC126" s="1" t="s">
        <v>1625</v>
      </c>
      <c r="BD126">
        <v>93</v>
      </c>
      <c r="BE126">
        <v>149713870</v>
      </c>
      <c r="BF126">
        <v>48.947385999999902</v>
      </c>
      <c r="BG126">
        <v>2.3450437000000099</v>
      </c>
      <c r="BH126">
        <v>451647903</v>
      </c>
      <c r="BI126">
        <v>1288</v>
      </c>
      <c r="BJ126" s="2">
        <v>41801</v>
      </c>
      <c r="BK126" s="1" t="s">
        <v>3385</v>
      </c>
      <c r="BL126" s="1" t="s">
        <v>290</v>
      </c>
      <c r="BM126" s="1" t="s">
        <v>291</v>
      </c>
      <c r="BN126" s="1" t="s">
        <v>292</v>
      </c>
      <c r="BO126" s="1" t="s">
        <v>1502</v>
      </c>
      <c r="BP126" s="1" t="s">
        <v>293</v>
      </c>
      <c r="BQ126" s="1" t="s">
        <v>1093</v>
      </c>
      <c r="BR126">
        <v>85</v>
      </c>
      <c r="BS126">
        <v>31179054.489999998</v>
      </c>
      <c r="BT126" s="1" t="s">
        <v>295</v>
      </c>
      <c r="BU126" s="1" t="s">
        <v>296</v>
      </c>
      <c r="BV126">
        <v>502174</v>
      </c>
      <c r="BW126">
        <v>1.244509128854787E-2</v>
      </c>
      <c r="BX126">
        <v>83.743126524691803</v>
      </c>
      <c r="BY126">
        <v>10.200006593261687</v>
      </c>
      <c r="BZ126">
        <v>2.6744511109645939</v>
      </c>
      <c r="CA126">
        <v>96.617584228918091</v>
      </c>
      <c r="CB126" s="1" t="s">
        <v>443</v>
      </c>
      <c r="CC126">
        <v>1</v>
      </c>
      <c r="CD126" s="1" t="s">
        <v>361</v>
      </c>
      <c r="CE126" s="1" t="s">
        <v>402</v>
      </c>
      <c r="CF126">
        <v>1101</v>
      </c>
      <c r="CG126" s="1" t="s">
        <v>300</v>
      </c>
      <c r="CH126" s="1" t="s">
        <v>301</v>
      </c>
      <c r="CI126" s="1" t="s">
        <v>302</v>
      </c>
      <c r="CJ126" s="1" t="s">
        <v>301</v>
      </c>
      <c r="CK126" s="1" t="s">
        <v>302</v>
      </c>
      <c r="CL126" s="1" t="s">
        <v>303</v>
      </c>
      <c r="CM126">
        <v>3601651117009</v>
      </c>
      <c r="CO126" s="1"/>
      <c r="CP126" s="1" t="s">
        <v>304</v>
      </c>
      <c r="CQ126" s="1" t="s">
        <v>556</v>
      </c>
      <c r="CR126" s="1" t="s">
        <v>505</v>
      </c>
      <c r="CS126">
        <v>7000</v>
      </c>
      <c r="CT126">
        <v>3880</v>
      </c>
      <c r="CU126">
        <v>3000</v>
      </c>
      <c r="CV126" s="1" t="s">
        <v>309</v>
      </c>
      <c r="CW126" s="1" t="s">
        <v>308</v>
      </c>
      <c r="CY126">
        <v>3120</v>
      </c>
      <c r="CZ126">
        <v>3000</v>
      </c>
      <c r="DA126" s="1" t="s">
        <v>309</v>
      </c>
      <c r="DB126">
        <v>3120</v>
      </c>
      <c r="DC126">
        <v>3120</v>
      </c>
      <c r="DD126">
        <v>0</v>
      </c>
      <c r="DE126">
        <v>0</v>
      </c>
      <c r="DF126">
        <v>0</v>
      </c>
      <c r="DG126">
        <v>3120</v>
      </c>
      <c r="DH126">
        <v>0</v>
      </c>
      <c r="DI126">
        <v>0</v>
      </c>
      <c r="DJ126">
        <v>0</v>
      </c>
      <c r="DK126" s="1" t="s">
        <v>310</v>
      </c>
      <c r="DL126" s="1"/>
      <c r="DN126" s="1"/>
      <c r="DO126">
        <v>800</v>
      </c>
      <c r="DP126">
        <v>800</v>
      </c>
      <c r="DQ126">
        <v>0</v>
      </c>
      <c r="DR126" s="1"/>
      <c r="DS126">
        <v>522</v>
      </c>
      <c r="DT126">
        <v>58</v>
      </c>
      <c r="DU126">
        <v>390</v>
      </c>
      <c r="DV126">
        <v>298</v>
      </c>
      <c r="DW126" s="1" t="s">
        <v>371</v>
      </c>
      <c r="DX126">
        <v>17</v>
      </c>
      <c r="DY126">
        <v>2017</v>
      </c>
      <c r="DZ126">
        <v>2</v>
      </c>
      <c r="EA126">
        <v>2</v>
      </c>
      <c r="EB126">
        <v>8</v>
      </c>
      <c r="EC126">
        <v>2</v>
      </c>
      <c r="ED126">
        <v>0</v>
      </c>
      <c r="EE126">
        <v>1</v>
      </c>
      <c r="EF126">
        <v>13</v>
      </c>
      <c r="EG126">
        <v>2014</v>
      </c>
      <c r="EI126" s="1"/>
      <c r="EJ126" s="1" t="s">
        <v>313</v>
      </c>
      <c r="EK126" s="1" t="s">
        <v>314</v>
      </c>
      <c r="EL126">
        <v>28</v>
      </c>
      <c r="EM126">
        <v>25</v>
      </c>
      <c r="EN126">
        <v>9</v>
      </c>
      <c r="EO126" s="1" t="s">
        <v>664</v>
      </c>
      <c r="EP126">
        <v>16</v>
      </c>
      <c r="EQ126">
        <v>155.30057145289504</v>
      </c>
      <c r="ER126" s="1" t="s">
        <v>411</v>
      </c>
      <c r="ES126">
        <v>12.969426738036201</v>
      </c>
      <c r="ET126">
        <v>0</v>
      </c>
      <c r="EU126" s="1"/>
      <c r="EV126">
        <v>65.179683093720399</v>
      </c>
      <c r="EW126">
        <v>0</v>
      </c>
      <c r="EX126" t="s">
        <v>316</v>
      </c>
      <c r="EY126">
        <v>0</v>
      </c>
      <c r="EZ126" s="1" t="s">
        <v>412</v>
      </c>
      <c r="FA126" s="2">
        <v>43983</v>
      </c>
      <c r="FB126" s="1" t="s">
        <v>818</v>
      </c>
      <c r="FC126">
        <v>1</v>
      </c>
      <c r="FD126" s="1"/>
      <c r="FE126" s="2">
        <v>42370</v>
      </c>
      <c r="FF126" s="1" t="s">
        <v>1503</v>
      </c>
      <c r="FG126" s="1" t="s">
        <v>322</v>
      </c>
      <c r="FH126" s="1" t="s">
        <v>322</v>
      </c>
      <c r="FI126" s="1" t="s">
        <v>322</v>
      </c>
      <c r="FJ126" s="1" t="s">
        <v>322</v>
      </c>
      <c r="FK126" s="1" t="s">
        <v>1096</v>
      </c>
      <c r="FL126">
        <v>19.27</v>
      </c>
      <c r="FM126">
        <v>13136.402139037433</v>
      </c>
      <c r="FN126" s="1" t="s">
        <v>321</v>
      </c>
      <c r="FO126" s="1" t="s">
        <v>322</v>
      </c>
      <c r="FP126" s="1" t="s">
        <v>665</v>
      </c>
      <c r="FQ126" s="1" t="s">
        <v>324</v>
      </c>
      <c r="FR126" s="1" t="s">
        <v>325</v>
      </c>
      <c r="FS126" s="1"/>
      <c r="FT126" s="1" t="s">
        <v>666</v>
      </c>
      <c r="FV126" s="1" t="s">
        <v>319</v>
      </c>
      <c r="FW126" s="1" t="s">
        <v>322</v>
      </c>
      <c r="FX126" s="1" t="s">
        <v>322</v>
      </c>
      <c r="FY126" s="1" t="s">
        <v>322</v>
      </c>
      <c r="FZ126" s="1" t="s">
        <v>319</v>
      </c>
      <c r="GA126" s="1" t="s">
        <v>322</v>
      </c>
      <c r="GB126" s="1" t="s">
        <v>322</v>
      </c>
      <c r="GC126" s="1"/>
      <c r="GD126" s="1" t="s">
        <v>319</v>
      </c>
      <c r="GE126" s="1" t="s">
        <v>322</v>
      </c>
      <c r="GF126" s="1" t="s">
        <v>667</v>
      </c>
      <c r="GG126" s="1"/>
      <c r="GH126" s="1" t="s">
        <v>322</v>
      </c>
      <c r="GI126" s="1"/>
      <c r="GJ126" s="1" t="s">
        <v>322</v>
      </c>
      <c r="GK126" s="2">
        <v>41640</v>
      </c>
      <c r="GL126" s="1" t="s">
        <v>322</v>
      </c>
      <c r="GM126" s="1" t="s">
        <v>322</v>
      </c>
      <c r="GN126">
        <v>43116</v>
      </c>
      <c r="GO126" s="1" t="s">
        <v>319</v>
      </c>
      <c r="GP126" t="s">
        <v>1626</v>
      </c>
      <c r="GQ126" s="1"/>
      <c r="GR126" s="1"/>
      <c r="GS126" s="1"/>
      <c r="GT126" s="1" t="s">
        <v>319</v>
      </c>
      <c r="GU126" s="1" t="s">
        <v>319</v>
      </c>
      <c r="GV126" s="1" t="s">
        <v>319</v>
      </c>
      <c r="GW126" s="1" t="s">
        <v>319</v>
      </c>
      <c r="GX126" s="1" t="s">
        <v>319</v>
      </c>
      <c r="GY126" s="1" t="s">
        <v>319</v>
      </c>
      <c r="GZ126" s="1" t="s">
        <v>319</v>
      </c>
      <c r="HA126" s="2">
        <v>44091</v>
      </c>
      <c r="HB126" s="2">
        <v>42660</v>
      </c>
      <c r="HC126" s="1"/>
      <c r="HD126" s="1"/>
      <c r="HE126" s="1"/>
      <c r="HF126" s="1"/>
      <c r="HG126" s="1"/>
      <c r="HH126" s="1"/>
      <c r="HI126" s="1" t="s">
        <v>322</v>
      </c>
      <c r="HJ126" s="1" t="s">
        <v>330</v>
      </c>
      <c r="HK126" s="2"/>
      <c r="HL126" s="1"/>
      <c r="HM126" s="1" t="s">
        <v>322</v>
      </c>
      <c r="HN126" s="1" t="s">
        <v>322</v>
      </c>
      <c r="HO126" s="1"/>
      <c r="HP126" s="1"/>
      <c r="HQ126" s="1"/>
      <c r="HR126" s="1"/>
      <c r="HS126" s="1"/>
      <c r="HT126" s="1"/>
      <c r="HU126" s="1" t="s">
        <v>331</v>
      </c>
      <c r="HV126">
        <v>4216690011</v>
      </c>
      <c r="HW126">
        <v>40638451</v>
      </c>
      <c r="HX126">
        <v>99102567707</v>
      </c>
      <c r="HY126" s="1" t="s">
        <v>1627</v>
      </c>
      <c r="HZ126">
        <v>4222539</v>
      </c>
      <c r="IA126">
        <v>4321349</v>
      </c>
      <c r="IB126" s="1" t="s">
        <v>1628</v>
      </c>
      <c r="IC126">
        <v>830123</v>
      </c>
      <c r="ID126" s="1" t="s">
        <v>1629</v>
      </c>
      <c r="IE126">
        <v>3.1</v>
      </c>
      <c r="IF126">
        <v>2.2999999999999998</v>
      </c>
      <c r="IG126">
        <v>3.3</v>
      </c>
      <c r="IH126">
        <v>3.47</v>
      </c>
      <c r="II126">
        <v>4.46</v>
      </c>
      <c r="IJ126">
        <v>6.97</v>
      </c>
      <c r="IK126">
        <v>6.97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6434F4-1300-4F31-B037-DC9139B3F1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73</vt:i4>
      </vt:variant>
    </vt:vector>
  </HeadingPairs>
  <TitlesOfParts>
    <vt:vector size="74" baseType="lpstr">
      <vt:lpstr>Config</vt:lpstr>
      <vt:lpstr>Chemin_BDD</vt:lpstr>
      <vt:lpstr>cluster2021</vt:lpstr>
      <vt:lpstr>cluster2021_multi</vt:lpstr>
      <vt:lpstr>cluster2021_multi2</vt:lpstr>
      <vt:lpstr>cluster2021_multi3</vt:lpstr>
      <vt:lpstr>'Recherche unique'!code_BRICO_unique</vt:lpstr>
      <vt:lpstr>'Recherche unique'!code_EASIER_unique</vt:lpstr>
      <vt:lpstr>CSadministratif_multi</vt:lpstr>
      <vt:lpstr>CSadministratif_multi2</vt:lpstr>
      <vt:lpstr>CSadministratif_multi3</vt:lpstr>
      <vt:lpstr>CSamenagement_multi</vt:lpstr>
      <vt:lpstr>CSamenagement_multi2</vt:lpstr>
      <vt:lpstr>CSamenagement_multi3</vt:lpstr>
      <vt:lpstr>CScaisse_multi</vt:lpstr>
      <vt:lpstr>CScaisse_multi2</vt:lpstr>
      <vt:lpstr>CScaisse_multi3</vt:lpstr>
      <vt:lpstr>CSchoix</vt:lpstr>
      <vt:lpstr>CSconstruction_multi</vt:lpstr>
      <vt:lpstr>CSconstruction_multi2</vt:lpstr>
      <vt:lpstr>CSconstruction_multi3</vt:lpstr>
      <vt:lpstr>CSlogistique_multi</vt:lpstr>
      <vt:lpstr>CSlogistique_multi2</vt:lpstr>
      <vt:lpstr>CSlogistique_multi3</vt:lpstr>
      <vt:lpstr>csRefAdmi</vt:lpstr>
      <vt:lpstr>csRefAmen</vt:lpstr>
      <vt:lpstr>csRefCais</vt:lpstr>
      <vt:lpstr>csRefCons</vt:lpstr>
      <vt:lpstr>csRefLogi</vt:lpstr>
      <vt:lpstr>csRefSecu</vt:lpstr>
      <vt:lpstr>csRefTech</vt:lpstr>
      <vt:lpstr>CSsecurite_multi</vt:lpstr>
      <vt:lpstr>CSsecurite_multi2</vt:lpstr>
      <vt:lpstr>CSsecurite_multi3</vt:lpstr>
      <vt:lpstr>CStechnique_multi</vt:lpstr>
      <vt:lpstr>CStechnique_multi2</vt:lpstr>
      <vt:lpstr>CStechnique_multi3</vt:lpstr>
      <vt:lpstr>departement_multi</vt:lpstr>
      <vt:lpstr>departement_multi2</vt:lpstr>
      <vt:lpstr>departement_multi3</vt:lpstr>
      <vt:lpstr>depot_unique</vt:lpstr>
      <vt:lpstr>'Recherche unique'!dirDepot_unique</vt:lpstr>
      <vt:lpstr>fermDep_CodeBRICO</vt:lpstr>
      <vt:lpstr>fermDep_CodeEASIER</vt:lpstr>
      <vt:lpstr>fermDep_Depot</vt:lpstr>
      <vt:lpstr>fermDep_Region</vt:lpstr>
      <vt:lpstr>fermDep_Statut</vt:lpstr>
      <vt:lpstr>'Fermeture depot'!modifDep_CodeBRICO</vt:lpstr>
      <vt:lpstr>'Modifier depot'!modifDep_CodeBRICO</vt:lpstr>
      <vt:lpstr>'Fermeture depot'!modifDep_CodeEASIER</vt:lpstr>
      <vt:lpstr>'Modifier depot'!modifDep_CodeEASIER</vt:lpstr>
      <vt:lpstr>'Fermeture depot'!modifDep_Depot</vt:lpstr>
      <vt:lpstr>'Modifier depot'!modifDep_Depot</vt:lpstr>
      <vt:lpstr>'Fermeture depot'!modifDep_Region</vt:lpstr>
      <vt:lpstr>'Modifier depot'!modifDep_Region</vt:lpstr>
      <vt:lpstr>'Fermeture depot'!modifDep_Statut</vt:lpstr>
      <vt:lpstr>'Modifier depot'!modifDep_Statut</vt:lpstr>
      <vt:lpstr>nouvDep_CodeBRICO</vt:lpstr>
      <vt:lpstr>nouvDep_CodeEASIER</vt:lpstr>
      <vt:lpstr>nouvDep_Depot</vt:lpstr>
      <vt:lpstr>nouvDep_Region</vt:lpstr>
      <vt:lpstr>proprietaire</vt:lpstr>
      <vt:lpstr>proprietaire_multi</vt:lpstr>
      <vt:lpstr>propriétaire_multi</vt:lpstr>
      <vt:lpstr>proprietaire_multi2</vt:lpstr>
      <vt:lpstr>proprietaire_multi3</vt:lpstr>
      <vt:lpstr>region2022_multi</vt:lpstr>
      <vt:lpstr>region2022_multi2</vt:lpstr>
      <vt:lpstr>region2022_multi3</vt:lpstr>
      <vt:lpstr>regions</vt:lpstr>
      <vt:lpstr>Surface_Totale_CDAC</vt:lpstr>
      <vt:lpstr>surfaceTot_multi</vt:lpstr>
      <vt:lpstr>surfaceTot_multi2</vt:lpstr>
      <vt:lpstr>surfaceTot_multi3</vt:lpstr>
    </vt:vector>
  </TitlesOfParts>
  <Company>SOLUTEC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dsi</dc:creator>
  <cp:lastModifiedBy>Lucas Pin-Belloc</cp:lastModifiedBy>
  <dcterms:created xsi:type="dcterms:W3CDTF">2022-04-06T08:55:59Z</dcterms:created>
  <dcterms:modified xsi:type="dcterms:W3CDTF">2023-01-16T11:22:22Z</dcterms:modified>
</cp:coreProperties>
</file>